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kpi_dataset" sheetId="1" state="visible" r:id="rId1"/>
    <sheet name="dim_university" sheetId="2" state="visible" r:id="rId2"/>
    <sheet name="dim_count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</t>
        </is>
      </c>
      <c r="B1" t="inlineStr">
        <is>
          <t>Country</t>
        </is>
      </c>
      <c r="C1" t="inlineStr">
        <is>
          <t>QS_Rank</t>
        </is>
      </c>
      <c r="D1" t="inlineStr">
        <is>
          <t>QS_Overall_Score</t>
        </is>
      </c>
      <c r="E1" t="inlineStr">
        <is>
          <t>QS_Academic_Reputation</t>
        </is>
      </c>
      <c r="F1" t="inlineStr">
        <is>
          <t>QS_Employer_Reputation</t>
        </is>
      </c>
      <c r="G1" t="inlineStr">
        <is>
          <t>QS_Faculty_Student</t>
        </is>
      </c>
      <c r="H1" t="inlineStr">
        <is>
          <t>QS_Citations_Per_Faculty</t>
        </is>
      </c>
      <c r="I1" t="inlineStr">
        <is>
          <t>QS_International_Faculty</t>
        </is>
      </c>
      <c r="J1" t="inlineStr">
        <is>
          <t>QS_International_Students</t>
        </is>
      </c>
      <c r="K1" t="inlineStr">
        <is>
          <t>QS_International_Research_Network</t>
        </is>
      </c>
      <c r="L1" t="inlineStr">
        <is>
          <t>QS_Employment_Outcomes</t>
        </is>
      </c>
      <c r="M1" t="inlineStr">
        <is>
          <t>QS_Sustainability</t>
        </is>
      </c>
      <c r="N1" t="inlineStr">
        <is>
          <t>THE_Rank</t>
        </is>
      </c>
      <c r="O1" t="inlineStr">
        <is>
          <t>THE_Overall_Score</t>
        </is>
      </c>
      <c r="P1" t="inlineStr">
        <is>
          <t>THE_Teaching</t>
        </is>
      </c>
      <c r="Q1" t="inlineStr">
        <is>
          <t>THE_Research</t>
        </is>
      </c>
      <c r="R1" t="inlineStr">
        <is>
          <t>THE_Citations</t>
        </is>
      </c>
      <c r="S1" t="inlineStr">
        <is>
          <t>THE_Industry_Income</t>
        </is>
      </c>
      <c r="T1" t="inlineStr">
        <is>
          <t>THE_International_Outlook</t>
        </is>
      </c>
      <c r="U1" t="inlineStr">
        <is>
          <t>THE_Number_Students</t>
        </is>
      </c>
      <c r="V1" t="inlineStr">
        <is>
          <t>THE_Student_Staff_Ratio</t>
        </is>
      </c>
      <c r="W1" t="inlineStr">
        <is>
          <t>THE_International_Students</t>
        </is>
      </c>
      <c r="X1" t="inlineStr">
        <is>
          <t>THE_Female_Male_Ratio</t>
        </is>
      </c>
      <c r="Y1" t="inlineStr">
        <is>
          <t>QS_Rank_Numeric</t>
        </is>
      </c>
      <c r="Z1" t="inlineStr">
        <is>
          <t>THE_Rank_Numeric</t>
        </is>
      </c>
      <c r="AA1" t="inlineStr">
        <is>
          <t>THE_Overall_Score_Numeric</t>
        </is>
      </c>
      <c r="AB1" t="inlineStr">
        <is>
          <t>university_id</t>
        </is>
      </c>
      <c r="AC1" t="inlineStr">
        <is>
          <t>country_id</t>
        </is>
      </c>
      <c r="AD1" t="inlineStr">
        <is>
          <t>kpi1_global_ranking_score</t>
        </is>
      </c>
      <c r="AE1" t="inlineStr">
        <is>
          <t>kpi2_research_impact_score</t>
        </is>
      </c>
      <c r="AF1" t="inlineStr">
        <is>
          <t>kpi3_students_per_staff_num</t>
        </is>
      </c>
      <c r="AG1" t="inlineStr">
        <is>
          <t>kpi3_faculty_to_student_ratio</t>
        </is>
      </c>
      <c r="AH1" t="inlineStr">
        <is>
          <t>kpi4_international_student_pct</t>
        </is>
      </c>
      <c r="AI1" t="inlineStr">
        <is>
          <t>kpi5_academic_reputation_score</t>
        </is>
      </c>
      <c r="AJ1" t="inlineStr">
        <is>
          <t>kpi6_research_productivity_index</t>
        </is>
      </c>
    </row>
    <row r="2">
      <c r="A2" t="inlineStr">
        <is>
          <t>Aalborg University</t>
        </is>
      </c>
      <c r="B2" t="inlineStr">
        <is>
          <t>Denmark</t>
        </is>
      </c>
      <c r="C2" t="inlineStr">
        <is>
          <t>306</t>
        </is>
      </c>
      <c r="D2" t="n">
        <v>35.7</v>
      </c>
      <c r="E2" t="n">
        <v>19.9</v>
      </c>
      <c r="F2" t="n">
        <v>20.8</v>
      </c>
      <c r="G2" t="n">
        <v>25.5</v>
      </c>
      <c r="H2" t="n">
        <v>53.2</v>
      </c>
      <c r="I2" t="n">
        <v>77.3</v>
      </c>
      <c r="J2" t="n">
        <v>14.9</v>
      </c>
      <c r="K2" t="n">
        <v>92.09999999999999</v>
      </c>
      <c r="L2" t="n">
        <v>23.3</v>
      </c>
      <c r="M2" t="n">
        <v>75.59999999999999</v>
      </c>
      <c r="N2" t="inlineStr">
        <is>
          <t>201–250</t>
        </is>
      </c>
      <c r="O2" t="inlineStr">
        <is>
          <t>55.9–58.6</t>
        </is>
      </c>
      <c r="P2" t="n">
        <v>33.7</v>
      </c>
      <c r="Q2" t="n">
        <v>45</v>
      </c>
      <c r="R2" t="n">
        <v>83</v>
      </c>
      <c r="S2" t="n">
        <v>80.59999999999999</v>
      </c>
      <c r="T2" t="n">
        <v>72.40000000000001</v>
      </c>
      <c r="U2" t="inlineStr">
        <is>
          <t>17,275</t>
        </is>
      </c>
      <c r="V2" t="n">
        <v>14.9</v>
      </c>
      <c r="W2" t="inlineStr">
        <is>
          <t>12%</t>
        </is>
      </c>
      <c r="X2" t="inlineStr"/>
      <c r="Y2" t="n">
        <v>306</v>
      </c>
      <c r="Z2" t="n">
        <v>201</v>
      </c>
      <c r="AA2" t="n">
        <v>57.25</v>
      </c>
      <c r="AB2" t="inlineStr">
        <is>
          <t>U0001</t>
        </is>
      </c>
      <c r="AC2" t="inlineStr">
        <is>
          <t>DE</t>
        </is>
      </c>
      <c r="AD2" t="n">
        <v>35.7</v>
      </c>
      <c r="AE2" t="n">
        <v>53.2</v>
      </c>
      <c r="AF2" t="n">
        <v>14.9</v>
      </c>
      <c r="AG2" t="inlineStr">
        <is>
          <t>1:14.9</t>
        </is>
      </c>
      <c r="AH2" t="inlineStr">
        <is>
          <t>12%</t>
        </is>
      </c>
      <c r="AI2" t="n">
        <v>19.9</v>
      </c>
      <c r="AJ2" t="n">
        <v>50.61</v>
      </c>
    </row>
    <row r="3">
      <c r="A3" t="inlineStr">
        <is>
          <t>Aalto University</t>
        </is>
      </c>
      <c r="B3" t="inlineStr">
        <is>
          <t>Finland</t>
        </is>
      </c>
      <c r="C3" t="inlineStr">
        <is>
          <t>113</t>
        </is>
      </c>
      <c r="D3" t="n">
        <v>57.9</v>
      </c>
      <c r="E3" t="n">
        <v>45.7</v>
      </c>
      <c r="F3" t="n">
        <v>40.6</v>
      </c>
      <c r="G3" t="n">
        <v>33.2</v>
      </c>
      <c r="H3" t="n">
        <v>73.59999999999999</v>
      </c>
      <c r="I3" t="n">
        <v>95.2</v>
      </c>
      <c r="J3" t="n">
        <v>40.1</v>
      </c>
      <c r="K3" t="n">
        <v>78.2</v>
      </c>
      <c r="L3" t="n">
        <v>95.09999999999999</v>
      </c>
      <c r="M3" t="n">
        <v>94.7</v>
      </c>
      <c r="N3" t="inlineStr">
        <is>
          <t>201–250</t>
        </is>
      </c>
      <c r="O3" t="inlineStr">
        <is>
          <t>55.9–58.6</t>
        </is>
      </c>
      <c r="P3" t="n">
        <v>42</v>
      </c>
      <c r="Q3" t="n">
        <v>43.1</v>
      </c>
      <c r="R3" t="n">
        <v>79.7</v>
      </c>
      <c r="S3" t="n">
        <v>87.2</v>
      </c>
      <c r="T3" t="n">
        <v>81.8</v>
      </c>
      <c r="U3" t="inlineStr">
        <is>
          <t>14,427</t>
        </is>
      </c>
      <c r="V3" t="n">
        <v>20.4</v>
      </c>
      <c r="W3" t="inlineStr">
        <is>
          <t>23%</t>
        </is>
      </c>
      <c r="X3" t="inlineStr">
        <is>
          <t>39 : 61</t>
        </is>
      </c>
      <c r="Y3" t="n">
        <v>113</v>
      </c>
      <c r="Z3" t="n">
        <v>201</v>
      </c>
      <c r="AA3" t="n">
        <v>57.25</v>
      </c>
      <c r="AB3" t="inlineStr">
        <is>
          <t>U0002</t>
        </is>
      </c>
      <c r="AC3" t="inlineStr">
        <is>
          <t>FI</t>
        </is>
      </c>
      <c r="AD3" t="n">
        <v>57.9</v>
      </c>
      <c r="AE3" t="n">
        <v>73.59999999999999</v>
      </c>
      <c r="AF3" t="n">
        <v>20.4</v>
      </c>
      <c r="AG3" t="inlineStr">
        <is>
          <t>1:20.4</t>
        </is>
      </c>
      <c r="AH3" t="inlineStr">
        <is>
          <t>23%</t>
        </is>
      </c>
      <c r="AI3" t="n">
        <v>45.7</v>
      </c>
      <c r="AJ3" t="n">
        <v>58.07</v>
      </c>
    </row>
    <row r="4">
      <c r="A4" t="inlineStr">
        <is>
          <t>Aarhus University</t>
        </is>
      </c>
      <c r="B4" t="inlineStr">
        <is>
          <t>Denmark</t>
        </is>
      </c>
      <c r="C4" t="inlineStr">
        <is>
          <t>144</t>
        </is>
      </c>
      <c r="D4" t="n">
        <v>53.3</v>
      </c>
      <c r="E4" t="n">
        <v>54.7</v>
      </c>
      <c r="F4" t="n">
        <v>27.6</v>
      </c>
      <c r="G4" t="n">
        <v>30.8</v>
      </c>
      <c r="H4" t="n">
        <v>63.8</v>
      </c>
      <c r="I4" t="n">
        <v>89.8</v>
      </c>
      <c r="J4" t="n">
        <v>11.9</v>
      </c>
      <c r="K4" t="n">
        <v>96.09999999999999</v>
      </c>
      <c r="L4" t="n">
        <v>69.5</v>
      </c>
      <c r="M4" t="n">
        <v>76.40000000000001</v>
      </c>
      <c r="N4">
        <f>109</f>
        <v/>
      </c>
      <c r="O4" t="inlineStr">
        <is>
          <t>65.9</t>
        </is>
      </c>
      <c r="P4" t="n">
        <v>44.9</v>
      </c>
      <c r="Q4" t="n">
        <v>59</v>
      </c>
      <c r="R4" t="n">
        <v>86.3</v>
      </c>
      <c r="S4" t="n">
        <v>98.7</v>
      </c>
      <c r="T4" t="n">
        <v>76.3</v>
      </c>
      <c r="U4" t="inlineStr">
        <is>
          <t>26,996</t>
        </is>
      </c>
      <c r="V4" t="n">
        <v>13.5</v>
      </c>
      <c r="W4" t="inlineStr">
        <is>
          <t>9%</t>
        </is>
      </c>
      <c r="X4" t="inlineStr">
        <is>
          <t>56 : 44</t>
        </is>
      </c>
      <c r="Y4" t="n">
        <v>144</v>
      </c>
      <c r="Z4" t="n">
        <v>109</v>
      </c>
      <c r="AA4" t="n">
        <v>65.90000000000001</v>
      </c>
      <c r="AB4" t="inlineStr">
        <is>
          <t>U0003</t>
        </is>
      </c>
      <c r="AC4" t="inlineStr">
        <is>
          <t>DE</t>
        </is>
      </c>
      <c r="AD4" t="n">
        <v>53.3</v>
      </c>
      <c r="AE4" t="n">
        <v>63.8</v>
      </c>
      <c r="AF4" t="n">
        <v>13.5</v>
      </c>
      <c r="AG4" t="inlineStr">
        <is>
          <t>1:13.5</t>
        </is>
      </c>
      <c r="AH4" t="inlineStr">
        <is>
          <t>9%</t>
        </is>
      </c>
      <c r="AI4" t="n">
        <v>54.7</v>
      </c>
      <c r="AJ4" t="n">
        <v>62.1</v>
      </c>
    </row>
    <row r="5">
      <c r="A5" t="inlineStr">
        <is>
          <t>Abai Kazakh National Pedagogical University</t>
        </is>
      </c>
      <c r="B5" t="inlineStr">
        <is>
          <t>Kazakhstan</t>
        </is>
      </c>
      <c r="C5" t="inlineStr">
        <is>
          <t>671-680</t>
        </is>
      </c>
      <c r="D5" t="inlineStr"/>
      <c r="E5" t="n">
        <v>26.5</v>
      </c>
      <c r="F5" t="n">
        <v>22.8</v>
      </c>
      <c r="G5" t="n">
        <v>53.8</v>
      </c>
      <c r="H5" t="n">
        <v>1.1</v>
      </c>
      <c r="I5" t="n">
        <v>37.8</v>
      </c>
      <c r="J5" t="n">
        <v>3.7</v>
      </c>
      <c r="K5" t="n">
        <v>4.1</v>
      </c>
      <c r="L5" t="n">
        <v>12.6</v>
      </c>
      <c r="M5" t="n">
        <v>1.7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671</v>
      </c>
      <c r="Z5" t="inlineStr"/>
      <c r="AA5" t="inlineStr"/>
      <c r="AB5" t="inlineStr">
        <is>
          <t>U0004</t>
        </is>
      </c>
      <c r="AC5" t="inlineStr">
        <is>
          <t>KA</t>
        </is>
      </c>
      <c r="AD5" t="inlineStr"/>
      <c r="AE5" t="n">
        <v>1.1</v>
      </c>
      <c r="AF5" t="inlineStr"/>
      <c r="AG5" t="inlineStr"/>
      <c r="AH5" t="inlineStr"/>
      <c r="AI5" t="n">
        <v>26.5</v>
      </c>
      <c r="AJ5" t="n">
        <v>13.72</v>
      </c>
    </row>
    <row r="6">
      <c r="A6" t="inlineStr">
        <is>
          <t>Abdelmalek Essaâdi University</t>
        </is>
      </c>
      <c r="B6" t="inlineStr">
        <is>
          <t>Morocco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1501+</t>
        </is>
      </c>
      <c r="O6" t="inlineStr">
        <is>
          <t>9.7–22.7</t>
        </is>
      </c>
      <c r="P6" t="n">
        <v>21.6</v>
      </c>
      <c r="Q6" t="n">
        <v>9.699999999999999</v>
      </c>
      <c r="R6" t="n">
        <v>30.1</v>
      </c>
      <c r="S6" t="n">
        <v>17.2</v>
      </c>
      <c r="T6" t="n">
        <v>29.4</v>
      </c>
      <c r="U6" t="inlineStr">
        <is>
          <t>122,962</t>
        </is>
      </c>
      <c r="V6" t="n">
        <v>91.8</v>
      </c>
      <c r="W6" t="inlineStr">
        <is>
          <t>1%</t>
        </is>
      </c>
      <c r="X6" t="inlineStr">
        <is>
          <t>52 : 48</t>
        </is>
      </c>
      <c r="Y6" t="inlineStr"/>
      <c r="Z6" t="n">
        <v>1501</v>
      </c>
      <c r="AA6" t="n">
        <v>16.2</v>
      </c>
      <c r="AB6" t="inlineStr">
        <is>
          <t>U0005</t>
        </is>
      </c>
      <c r="AC6" t="inlineStr">
        <is>
          <t>MO</t>
        </is>
      </c>
      <c r="AD6" t="n">
        <v>16.2</v>
      </c>
      <c r="AE6" t="n">
        <v>30.1</v>
      </c>
      <c r="AF6" t="n">
        <v>91.8</v>
      </c>
      <c r="AG6" t="inlineStr">
        <is>
          <t>1:91.8</t>
        </is>
      </c>
      <c r="AH6" t="inlineStr">
        <is>
          <t>1%</t>
        </is>
      </c>
      <c r="AI6" t="inlineStr"/>
      <c r="AJ6" t="n">
        <v>14.71</v>
      </c>
    </row>
    <row r="7">
      <c r="A7" t="inlineStr">
        <is>
          <t>Abdul Wali Khan University Mardan</t>
        </is>
      </c>
      <c r="B7" t="inlineStr">
        <is>
          <t>Pakistan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601–800</t>
        </is>
      </c>
      <c r="O7" t="inlineStr">
        <is>
          <t>37.0–41.8</t>
        </is>
      </c>
      <c r="P7" t="n">
        <v>18.4</v>
      </c>
      <c r="Q7" t="n">
        <v>12.6</v>
      </c>
      <c r="R7" t="n">
        <v>80.40000000000001</v>
      </c>
      <c r="S7" t="n">
        <v>21.8</v>
      </c>
      <c r="T7" t="n">
        <v>49</v>
      </c>
      <c r="U7" t="inlineStr">
        <is>
          <t>11,681</t>
        </is>
      </c>
      <c r="V7" t="n">
        <v>22.8</v>
      </c>
      <c r="W7" t="inlineStr">
        <is>
          <t>0%</t>
        </is>
      </c>
      <c r="X7" t="inlineStr">
        <is>
          <t>26 : 74</t>
        </is>
      </c>
      <c r="Y7" t="inlineStr"/>
      <c r="Z7" t="n">
        <v>601</v>
      </c>
      <c r="AA7" t="n">
        <v>39.4</v>
      </c>
      <c r="AB7" t="inlineStr">
        <is>
          <t>U0006</t>
        </is>
      </c>
      <c r="AC7" t="inlineStr">
        <is>
          <t>PA</t>
        </is>
      </c>
      <c r="AD7" t="n">
        <v>39.4</v>
      </c>
      <c r="AE7" t="n">
        <v>80.40000000000001</v>
      </c>
      <c r="AF7" t="n">
        <v>22.8</v>
      </c>
      <c r="AG7" t="inlineStr">
        <is>
          <t>1:22.8</t>
        </is>
      </c>
      <c r="AH7" t="inlineStr">
        <is>
          <t>0%</t>
        </is>
      </c>
      <c r="AI7" t="inlineStr"/>
      <c r="AJ7" t="n">
        <v>36.21</v>
      </c>
    </row>
    <row r="8">
      <c r="A8" t="inlineStr">
        <is>
          <t>Aberystwyth University</t>
        </is>
      </c>
      <c r="B8" t="inlineStr">
        <is>
          <t>United Kingdom</t>
        </is>
      </c>
      <c r="C8" t="inlineStr">
        <is>
          <t>661-670</t>
        </is>
      </c>
      <c r="D8" t="inlineStr"/>
      <c r="E8" t="n">
        <v>9.4</v>
      </c>
      <c r="F8" t="n">
        <v>5.9</v>
      </c>
      <c r="G8" t="n">
        <v>18.5</v>
      </c>
      <c r="H8" t="n">
        <v>20.3</v>
      </c>
      <c r="I8" t="n">
        <v>44.6</v>
      </c>
      <c r="J8" t="n">
        <v>46.5</v>
      </c>
      <c r="K8" t="n">
        <v>65.90000000000001</v>
      </c>
      <c r="L8" t="n">
        <v>7.1</v>
      </c>
      <c r="M8" t="n">
        <v>44.9</v>
      </c>
      <c r="N8" t="inlineStr">
        <is>
          <t>501–600</t>
        </is>
      </c>
      <c r="O8" t="inlineStr">
        <is>
          <t>41.9–45.3</t>
        </is>
      </c>
      <c r="P8" t="n">
        <v>26.3</v>
      </c>
      <c r="Q8" t="n">
        <v>23</v>
      </c>
      <c r="R8" t="n">
        <v>68.5</v>
      </c>
      <c r="S8" t="n">
        <v>62.4</v>
      </c>
      <c r="T8" t="n">
        <v>87.3</v>
      </c>
      <c r="U8" t="inlineStr">
        <is>
          <t>6,180</t>
        </is>
      </c>
      <c r="V8" t="n">
        <v>15.6</v>
      </c>
      <c r="W8" t="inlineStr">
        <is>
          <t>23%</t>
        </is>
      </c>
      <c r="X8" t="inlineStr">
        <is>
          <t>51 : 49</t>
        </is>
      </c>
      <c r="Y8" t="n">
        <v>661</v>
      </c>
      <c r="Z8" t="n">
        <v>501</v>
      </c>
      <c r="AA8" t="n">
        <v>43.59999999999999</v>
      </c>
      <c r="AB8" t="inlineStr">
        <is>
          <t>U0007</t>
        </is>
      </c>
      <c r="AC8" t="inlineStr">
        <is>
          <t>UN</t>
        </is>
      </c>
      <c r="AD8" t="n">
        <v>43.59999999999999</v>
      </c>
      <c r="AE8" t="n">
        <v>20.3</v>
      </c>
      <c r="AF8" t="n">
        <v>15.6</v>
      </c>
      <c r="AG8" t="inlineStr">
        <is>
          <t>1:15.6</t>
        </is>
      </c>
      <c r="AH8" t="inlineStr">
        <is>
          <t>23%</t>
        </is>
      </c>
      <c r="AI8" t="n">
        <v>9.4</v>
      </c>
      <c r="AJ8" t="n">
        <v>32.71</v>
      </c>
    </row>
    <row r="9">
      <c r="A9" t="inlineStr">
        <is>
          <t>Abo Akademi University</t>
        </is>
      </c>
      <c r="B9" t="inlineStr">
        <is>
          <t>Finland</t>
        </is>
      </c>
      <c r="C9" t="inlineStr">
        <is>
          <t>621-630</t>
        </is>
      </c>
      <c r="D9" t="inlineStr"/>
      <c r="E9" t="n">
        <v>7.5</v>
      </c>
      <c r="F9" t="n">
        <v>4.8</v>
      </c>
      <c r="G9" t="n">
        <v>18.9</v>
      </c>
      <c r="H9" t="n">
        <v>43.2</v>
      </c>
      <c r="I9" t="n">
        <v>45.9</v>
      </c>
      <c r="J9" t="n">
        <v>22.6</v>
      </c>
      <c r="K9" t="n">
        <v>64.5</v>
      </c>
      <c r="L9" t="n">
        <v>8.300000000000001</v>
      </c>
      <c r="M9" t="n">
        <v>6.4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621</v>
      </c>
      <c r="Z9" t="inlineStr"/>
      <c r="AA9" t="inlineStr"/>
      <c r="AB9" t="inlineStr">
        <is>
          <t>U0008</t>
        </is>
      </c>
      <c r="AC9" t="inlineStr">
        <is>
          <t>FI</t>
        </is>
      </c>
      <c r="AD9" t="inlineStr"/>
      <c r="AE9" t="n">
        <v>43.2</v>
      </c>
      <c r="AF9" t="inlineStr"/>
      <c r="AG9" t="inlineStr"/>
      <c r="AH9" t="inlineStr"/>
      <c r="AI9" t="n">
        <v>7.5</v>
      </c>
      <c r="AJ9" t="n">
        <v>26.48</v>
      </c>
    </row>
    <row r="10">
      <c r="A10" t="inlineStr">
        <is>
          <t>Abu Dhabi University</t>
        </is>
      </c>
      <c r="B10" t="inlineStr">
        <is>
          <t>United Arab Emirates</t>
        </is>
      </c>
      <c r="C10" t="inlineStr">
        <is>
          <t>501</t>
        </is>
      </c>
      <c r="D10" t="n">
        <v>24.1</v>
      </c>
      <c r="E10" t="n">
        <v>15.9</v>
      </c>
      <c r="F10" t="n">
        <v>24.6</v>
      </c>
      <c r="G10" t="n">
        <v>14.9</v>
      </c>
      <c r="H10" t="n">
        <v>16.7</v>
      </c>
      <c r="I10" t="n">
        <v>100</v>
      </c>
      <c r="J10" t="n">
        <v>99.8</v>
      </c>
      <c r="K10" t="n">
        <v>27.3</v>
      </c>
      <c r="L10" t="n">
        <v>8.300000000000001</v>
      </c>
      <c r="M10" t="n">
        <v>1.5</v>
      </c>
      <c r="N10" t="inlineStr">
        <is>
          <t>201–250</t>
        </is>
      </c>
      <c r="O10" t="inlineStr">
        <is>
          <t>55.9–58.6</t>
        </is>
      </c>
      <c r="P10" t="n">
        <v>48.2</v>
      </c>
      <c r="Q10" t="n">
        <v>30</v>
      </c>
      <c r="R10" t="n">
        <v>85.8</v>
      </c>
      <c r="S10" t="n">
        <v>25.5</v>
      </c>
      <c r="T10" t="n">
        <v>97.8</v>
      </c>
      <c r="U10" t="inlineStr">
        <is>
          <t>2,506</t>
        </is>
      </c>
      <c r="V10" t="n">
        <v>10.9</v>
      </c>
      <c r="W10" t="inlineStr">
        <is>
          <t>60%</t>
        </is>
      </c>
      <c r="X10" t="inlineStr">
        <is>
          <t>51 : 49</t>
        </is>
      </c>
      <c r="Y10" t="n">
        <v>501</v>
      </c>
      <c r="Z10" t="n">
        <v>201</v>
      </c>
      <c r="AA10" t="n">
        <v>57.25</v>
      </c>
      <c r="AB10" t="inlineStr">
        <is>
          <t>U0009</t>
        </is>
      </c>
      <c r="AC10" t="inlineStr">
        <is>
          <t>UN</t>
        </is>
      </c>
      <c r="AD10" t="n">
        <v>24.1</v>
      </c>
      <c r="AE10" t="n">
        <v>16.7</v>
      </c>
      <c r="AF10" t="n">
        <v>10.9</v>
      </c>
      <c r="AG10" t="inlineStr">
        <is>
          <t>1:10.9</t>
        </is>
      </c>
      <c r="AH10" t="inlineStr">
        <is>
          <t>60%</t>
        </is>
      </c>
      <c r="AI10" t="n">
        <v>15.9</v>
      </c>
      <c r="AJ10" t="n">
        <v>37.83</v>
      </c>
    </row>
    <row r="11">
      <c r="A11" t="inlineStr">
        <is>
          <t>Acıbadem University</t>
        </is>
      </c>
      <c r="B11" t="inlineStr">
        <is>
          <t>Turkey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1501+</t>
        </is>
      </c>
      <c r="O11" t="inlineStr">
        <is>
          <t>9.7–22.7</t>
        </is>
      </c>
      <c r="P11" t="n">
        <v>25.8</v>
      </c>
      <c r="Q11" t="n">
        <v>12</v>
      </c>
      <c r="R11" t="n">
        <v>22.7</v>
      </c>
      <c r="S11" t="n">
        <v>24.2</v>
      </c>
      <c r="T11" t="n">
        <v>30.3</v>
      </c>
      <c r="U11" t="inlineStr">
        <is>
          <t>2,547</t>
        </is>
      </c>
      <c r="V11" t="n">
        <v>5.7</v>
      </c>
      <c r="W11" t="inlineStr">
        <is>
          <t>3%</t>
        </is>
      </c>
      <c r="X11" t="inlineStr">
        <is>
          <t>73 : 27</t>
        </is>
      </c>
      <c r="Y11" t="inlineStr"/>
      <c r="Z11" t="n">
        <v>1501</v>
      </c>
      <c r="AA11" t="n">
        <v>16.2</v>
      </c>
      <c r="AB11" t="inlineStr">
        <is>
          <t>U0010</t>
        </is>
      </c>
      <c r="AC11" t="inlineStr">
        <is>
          <t>TU</t>
        </is>
      </c>
      <c r="AD11" t="n">
        <v>16.2</v>
      </c>
      <c r="AE11" t="n">
        <v>22.7</v>
      </c>
      <c r="AF11" t="n">
        <v>5.7</v>
      </c>
      <c r="AG11" t="inlineStr">
        <is>
          <t>1:5.7</t>
        </is>
      </c>
      <c r="AH11" t="inlineStr">
        <is>
          <t>3%</t>
        </is>
      </c>
      <c r="AI11" t="inlineStr"/>
      <c r="AJ11" t="n">
        <v>13.89</v>
      </c>
    </row>
    <row r="12">
      <c r="A12" t="inlineStr">
        <is>
          <t>Acharya Nagarjuna University</t>
        </is>
      </c>
      <c r="B12" t="inlineStr">
        <is>
          <t>India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1201–1500</t>
        </is>
      </c>
      <c r="O12" t="inlineStr">
        <is>
          <t>22.8–28.2</t>
        </is>
      </c>
      <c r="P12" t="n">
        <v>44.8</v>
      </c>
      <c r="Q12" t="n">
        <v>9.6</v>
      </c>
      <c r="R12" t="n">
        <v>21.2</v>
      </c>
      <c r="S12" t="n">
        <v>26</v>
      </c>
      <c r="T12" t="n">
        <v>29.2</v>
      </c>
      <c r="U12" t="inlineStr">
        <is>
          <t>5,771</t>
        </is>
      </c>
      <c r="V12" t="n">
        <v>7.3</v>
      </c>
      <c r="W12" t="inlineStr">
        <is>
          <t>7%</t>
        </is>
      </c>
      <c r="X12" t="inlineStr">
        <is>
          <t>32 : 68</t>
        </is>
      </c>
      <c r="Y12" t="inlineStr"/>
      <c r="Z12" t="n">
        <v>1201</v>
      </c>
      <c r="AA12" t="n">
        <v>25.5</v>
      </c>
      <c r="AB12" t="inlineStr">
        <is>
          <t>U0011</t>
        </is>
      </c>
      <c r="AC12" t="inlineStr">
        <is>
          <t>IN</t>
        </is>
      </c>
      <c r="AD12" t="n">
        <v>25.5</v>
      </c>
      <c r="AE12" t="n">
        <v>21.2</v>
      </c>
      <c r="AF12" t="n">
        <v>7.3</v>
      </c>
      <c r="AG12" t="inlineStr">
        <is>
          <t>1:7.3</t>
        </is>
      </c>
      <c r="AH12" t="inlineStr">
        <is>
          <t>7%</t>
        </is>
      </c>
      <c r="AI12" t="inlineStr"/>
      <c r="AJ12" t="n">
        <v>11.91</v>
      </c>
    </row>
    <row r="13">
      <c r="A13" t="inlineStr">
        <is>
          <t>Adam Mickiewicz University, Pozna?</t>
        </is>
      </c>
      <c r="B13" t="inlineStr">
        <is>
          <t>Poland</t>
        </is>
      </c>
      <c r="C13" t="inlineStr">
        <is>
          <t>761-770</t>
        </is>
      </c>
      <c r="D13" t="inlineStr"/>
      <c r="E13" t="n">
        <v>16</v>
      </c>
      <c r="F13" t="n">
        <v>9.1</v>
      </c>
      <c r="G13" t="n">
        <v>33.3</v>
      </c>
      <c r="H13" t="n">
        <v>4.8</v>
      </c>
      <c r="I13" t="n">
        <v>7.7</v>
      </c>
      <c r="J13" t="n">
        <v>8.300000000000001</v>
      </c>
      <c r="K13" t="n">
        <v>86.7</v>
      </c>
      <c r="L13" t="n">
        <v>7.5</v>
      </c>
      <c r="M13" t="n">
        <v>31.6</v>
      </c>
      <c r="N13" t="inlineStr">
        <is>
          <t>1001–1200</t>
        </is>
      </c>
      <c r="O13" t="inlineStr">
        <is>
          <t>28.3–32.6</t>
        </is>
      </c>
      <c r="P13" t="n">
        <v>19.7</v>
      </c>
      <c r="Q13" t="n">
        <v>28.4</v>
      </c>
      <c r="R13" t="n">
        <v>43.5</v>
      </c>
      <c r="S13" t="n">
        <v>29.6</v>
      </c>
      <c r="T13" t="n">
        <v>37.8</v>
      </c>
      <c r="U13" t="inlineStr">
        <is>
          <t>33,268</t>
        </is>
      </c>
      <c r="V13" t="n">
        <v>25</v>
      </c>
      <c r="W13" t="inlineStr">
        <is>
          <t>6%</t>
        </is>
      </c>
      <c r="X13" t="inlineStr">
        <is>
          <t>68 : 32</t>
        </is>
      </c>
      <c r="Y13" t="n">
        <v>761</v>
      </c>
      <c r="Z13" t="n">
        <v>1001</v>
      </c>
      <c r="AA13" t="n">
        <v>30.45</v>
      </c>
      <c r="AB13" t="inlineStr">
        <is>
          <t>U0012</t>
        </is>
      </c>
      <c r="AC13" t="inlineStr">
        <is>
          <t>PO</t>
        </is>
      </c>
      <c r="AD13" t="n">
        <v>30.45</v>
      </c>
      <c r="AE13" t="n">
        <v>4.8</v>
      </c>
      <c r="AF13" t="n">
        <v>25</v>
      </c>
      <c r="AG13" t="inlineStr">
        <is>
          <t>1:25.0</t>
        </is>
      </c>
      <c r="AH13" t="inlineStr">
        <is>
          <t>6%</t>
        </is>
      </c>
      <c r="AI13" t="n">
        <v>16</v>
      </c>
      <c r="AJ13" t="n">
        <v>18.87</v>
      </c>
    </row>
    <row r="14">
      <c r="A14" t="inlineStr">
        <is>
          <t>Addis Ababa University</t>
        </is>
      </c>
      <c r="B14" t="inlineStr">
        <is>
          <t>Ethiopia</t>
        </is>
      </c>
      <c r="C14" t="inlineStr">
        <is>
          <t>771-780</t>
        </is>
      </c>
      <c r="D14" t="inlineStr"/>
      <c r="E14" t="n">
        <v>6.4</v>
      </c>
      <c r="F14" t="n">
        <v>9.300000000000001</v>
      </c>
      <c r="G14" t="n">
        <v>58.8</v>
      </c>
      <c r="H14" t="n">
        <v>1.7</v>
      </c>
      <c r="I14" t="inlineStr"/>
      <c r="J14" t="inlineStr"/>
      <c r="K14" t="n">
        <v>55.2</v>
      </c>
      <c r="L14" t="n">
        <v>95.5</v>
      </c>
      <c r="M14" t="n">
        <v>3.3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771</v>
      </c>
      <c r="Z14" t="inlineStr"/>
      <c r="AA14" t="inlineStr"/>
      <c r="AB14" t="inlineStr">
        <is>
          <t>U0013</t>
        </is>
      </c>
      <c r="AC14" t="inlineStr">
        <is>
          <t>ET</t>
        </is>
      </c>
      <c r="AD14" t="inlineStr"/>
      <c r="AE14" t="n">
        <v>1.7</v>
      </c>
      <c r="AF14" t="inlineStr"/>
      <c r="AG14" t="inlineStr"/>
      <c r="AH14" t="inlineStr"/>
      <c r="AI14" t="n">
        <v>6.4</v>
      </c>
      <c r="AJ14" t="n">
        <v>13.9</v>
      </c>
    </row>
    <row r="15">
      <c r="A15" t="inlineStr">
        <is>
          <t>Adelphi University</t>
        </is>
      </c>
      <c r="B15" t="inlineStr">
        <is>
          <t>United States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1501+</t>
        </is>
      </c>
      <c r="O15" t="inlineStr">
        <is>
          <t>9.7–22.7</t>
        </is>
      </c>
      <c r="P15" t="n">
        <v>24.1</v>
      </c>
      <c r="Q15" t="n">
        <v>7.7</v>
      </c>
      <c r="R15" t="n">
        <v>26.1</v>
      </c>
      <c r="S15" t="n">
        <v>16.4</v>
      </c>
      <c r="T15" t="n">
        <v>33</v>
      </c>
      <c r="U15" t="inlineStr">
        <is>
          <t>6,582</t>
        </is>
      </c>
      <c r="V15" t="n">
        <v>11.1</v>
      </c>
      <c r="W15" t="inlineStr">
        <is>
          <t>7%</t>
        </is>
      </c>
      <c r="X15" t="inlineStr">
        <is>
          <t>70 : 30</t>
        </is>
      </c>
      <c r="Y15" t="inlineStr"/>
      <c r="Z15" t="n">
        <v>1501</v>
      </c>
      <c r="AA15" t="n">
        <v>16.2</v>
      </c>
      <c r="AB15" t="inlineStr">
        <is>
          <t>U0014</t>
        </is>
      </c>
      <c r="AC15" t="inlineStr">
        <is>
          <t>UN</t>
        </is>
      </c>
      <c r="AD15" t="n">
        <v>16.2</v>
      </c>
      <c r="AE15" t="n">
        <v>26.1</v>
      </c>
      <c r="AF15" t="n">
        <v>11.1</v>
      </c>
      <c r="AG15" t="inlineStr">
        <is>
          <t>1:11.1</t>
        </is>
      </c>
      <c r="AH15" t="inlineStr">
        <is>
          <t>7%</t>
        </is>
      </c>
      <c r="AI15" t="inlineStr"/>
      <c r="AJ15" t="n">
        <v>13.32</v>
      </c>
    </row>
    <row r="16">
      <c r="A16" t="inlineStr">
        <is>
          <t>Adolfo Ibáñez University</t>
        </is>
      </c>
      <c r="B16" t="inlineStr">
        <is>
          <t>Chile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1201–1500</t>
        </is>
      </c>
      <c r="O16" t="inlineStr">
        <is>
          <t>22.8–28.2</t>
        </is>
      </c>
      <c r="P16" t="n">
        <v>14.8</v>
      </c>
      <c r="Q16" t="n">
        <v>17.4</v>
      </c>
      <c r="R16" t="n">
        <v>39.2</v>
      </c>
      <c r="S16" t="n">
        <v>17.1</v>
      </c>
      <c r="T16" t="n">
        <v>64.09999999999999</v>
      </c>
      <c r="U16" t="inlineStr">
        <is>
          <t>10,606</t>
        </is>
      </c>
      <c r="V16" t="n">
        <v>25</v>
      </c>
      <c r="W16" t="inlineStr">
        <is>
          <t>5%</t>
        </is>
      </c>
      <c r="X16" t="inlineStr">
        <is>
          <t>38 : 62</t>
        </is>
      </c>
      <c r="Y16" t="inlineStr"/>
      <c r="Z16" t="n">
        <v>1201</v>
      </c>
      <c r="AA16" t="n">
        <v>25.5</v>
      </c>
      <c r="AB16" t="inlineStr">
        <is>
          <t>U0015</t>
        </is>
      </c>
      <c r="AC16" t="inlineStr">
        <is>
          <t>CH</t>
        </is>
      </c>
      <c r="AD16" t="n">
        <v>25.5</v>
      </c>
      <c r="AE16" t="n">
        <v>39.2</v>
      </c>
      <c r="AF16" t="n">
        <v>25</v>
      </c>
      <c r="AG16" t="inlineStr">
        <is>
          <t>1:25.0</t>
        </is>
      </c>
      <c r="AH16" t="inlineStr">
        <is>
          <t>5%</t>
        </is>
      </c>
      <c r="AI16" t="inlineStr"/>
      <c r="AJ16" t="n">
        <v>29.89</v>
      </c>
    </row>
    <row r="17">
      <c r="A17" t="inlineStr">
        <is>
          <t>Afe Babalola University</t>
        </is>
      </c>
      <c r="B17" t="inlineStr">
        <is>
          <t>Nigeria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1501+</t>
        </is>
      </c>
      <c r="O17" t="inlineStr">
        <is>
          <t>9.7–22.7</t>
        </is>
      </c>
      <c r="P17" t="n">
        <v>23.4</v>
      </c>
      <c r="Q17" t="n">
        <v>11.6</v>
      </c>
      <c r="R17" t="n">
        <v>17.2</v>
      </c>
      <c r="S17" t="n">
        <v>24.6</v>
      </c>
      <c r="T17" t="n">
        <v>43.6</v>
      </c>
      <c r="U17" t="inlineStr">
        <is>
          <t>9,660</t>
        </is>
      </c>
      <c r="V17" t="n">
        <v>10.7</v>
      </c>
      <c r="W17" t="inlineStr">
        <is>
          <t>1%</t>
        </is>
      </c>
      <c r="X17" t="inlineStr">
        <is>
          <t>57 : 43</t>
        </is>
      </c>
      <c r="Y17" t="inlineStr"/>
      <c r="Z17" t="n">
        <v>1501</v>
      </c>
      <c r="AA17" t="n">
        <v>16.2</v>
      </c>
      <c r="AB17" t="inlineStr">
        <is>
          <t>U0016</t>
        </is>
      </c>
      <c r="AC17" t="inlineStr">
        <is>
          <t>NI</t>
        </is>
      </c>
      <c r="AD17" t="n">
        <v>16.2</v>
      </c>
      <c r="AE17" t="n">
        <v>17.2</v>
      </c>
      <c r="AF17" t="n">
        <v>10.7</v>
      </c>
      <c r="AG17" t="inlineStr">
        <is>
          <t>1:10.7</t>
        </is>
      </c>
      <c r="AH17" t="inlineStr">
        <is>
          <t>1%</t>
        </is>
      </c>
      <c r="AI17" t="inlineStr"/>
      <c r="AJ17" t="n">
        <v>15.23</v>
      </c>
    </row>
    <row r="18">
      <c r="A18" t="inlineStr">
        <is>
          <t>AGH University of Krakow</t>
        </is>
      </c>
      <c r="B18" t="inlineStr">
        <is>
          <t>Poland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1001–1200</t>
        </is>
      </c>
      <c r="O18" t="inlineStr">
        <is>
          <t>28.3–32.6</t>
        </is>
      </c>
      <c r="P18" t="n">
        <v>25.8</v>
      </c>
      <c r="Q18" t="n">
        <v>20.9</v>
      </c>
      <c r="R18" t="n">
        <v>38.6</v>
      </c>
      <c r="S18" t="n">
        <v>68.5</v>
      </c>
      <c r="T18" t="n">
        <v>29.9</v>
      </c>
      <c r="U18" t="inlineStr">
        <is>
          <t>19,189</t>
        </is>
      </c>
      <c r="V18" t="n">
        <v>12.2</v>
      </c>
      <c r="W18" t="inlineStr">
        <is>
          <t>3%</t>
        </is>
      </c>
      <c r="X18" t="inlineStr">
        <is>
          <t>35 : 65</t>
        </is>
      </c>
      <c r="Y18" t="inlineStr"/>
      <c r="Z18" t="n">
        <v>1001</v>
      </c>
      <c r="AA18" t="n">
        <v>30.45</v>
      </c>
      <c r="AB18" t="inlineStr">
        <is>
          <t>U0017</t>
        </is>
      </c>
      <c r="AC18" t="inlineStr">
        <is>
          <t>PO</t>
        </is>
      </c>
      <c r="AD18" t="n">
        <v>30.45</v>
      </c>
      <c r="AE18" t="n">
        <v>38.6</v>
      </c>
      <c r="AF18" t="n">
        <v>12.2</v>
      </c>
      <c r="AG18" t="inlineStr">
        <is>
          <t>1:12.2</t>
        </is>
      </c>
      <c r="AH18" t="inlineStr">
        <is>
          <t>3%</t>
        </is>
      </c>
      <c r="AI18" t="inlineStr"/>
      <c r="AJ18" t="n">
        <v>23.27</v>
      </c>
    </row>
    <row r="19">
      <c r="A19" t="inlineStr">
        <is>
          <t>AGH University of Science and Technology</t>
        </is>
      </c>
      <c r="B19" t="inlineStr">
        <is>
          <t>Poland</t>
        </is>
      </c>
      <c r="C19" t="inlineStr">
        <is>
          <t>851-900</t>
        </is>
      </c>
      <c r="D19" t="inlineStr"/>
      <c r="E19" t="n">
        <v>9.6</v>
      </c>
      <c r="F19" t="n">
        <v>13.9</v>
      </c>
      <c r="G19" t="n">
        <v>41.5</v>
      </c>
      <c r="H19" t="n">
        <v>6.5</v>
      </c>
      <c r="I19" t="n">
        <v>2.9</v>
      </c>
      <c r="J19" t="n">
        <v>5.3</v>
      </c>
      <c r="K19" t="n">
        <v>75.59999999999999</v>
      </c>
      <c r="L19" t="n">
        <v>3.2</v>
      </c>
      <c r="M19" t="n">
        <v>1.7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851</v>
      </c>
      <c r="Z19" t="inlineStr"/>
      <c r="AA19" t="inlineStr"/>
      <c r="AB19" t="inlineStr">
        <is>
          <t>U0018</t>
        </is>
      </c>
      <c r="AC19" t="inlineStr">
        <is>
          <t>PO</t>
        </is>
      </c>
      <c r="AD19" t="inlineStr"/>
      <c r="AE19" t="n">
        <v>6.5</v>
      </c>
      <c r="AF19" t="inlineStr"/>
      <c r="AG19" t="inlineStr"/>
      <c r="AH19" t="inlineStr"/>
      <c r="AI19" t="n">
        <v>9.6</v>
      </c>
      <c r="AJ19" t="n">
        <v>15.36</v>
      </c>
    </row>
    <row r="20">
      <c r="A20" t="inlineStr">
        <is>
          <t>Ahlia University</t>
        </is>
      </c>
      <c r="B20" t="inlineStr">
        <is>
          <t>Bahrain</t>
        </is>
      </c>
      <c r="C20" t="inlineStr">
        <is>
          <t>711-720</t>
        </is>
      </c>
      <c r="D20" t="inlineStr"/>
      <c r="E20" t="n">
        <v>16.7</v>
      </c>
      <c r="F20" t="n">
        <v>8.4</v>
      </c>
      <c r="G20" t="n">
        <v>31.7</v>
      </c>
      <c r="H20" t="n">
        <v>3.8</v>
      </c>
      <c r="I20" t="n">
        <v>100</v>
      </c>
      <c r="J20" t="n">
        <v>42.7</v>
      </c>
      <c r="K20" t="n">
        <v>9.300000000000001</v>
      </c>
      <c r="L20" t="n">
        <v>12.7</v>
      </c>
      <c r="M20" t="n">
        <v>2.5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711</v>
      </c>
      <c r="Z20" t="inlineStr"/>
      <c r="AA20" t="inlineStr"/>
      <c r="AB20" t="inlineStr">
        <is>
          <t>U0019</t>
        </is>
      </c>
      <c r="AC20" t="inlineStr">
        <is>
          <t>BA</t>
        </is>
      </c>
      <c r="AD20" t="inlineStr"/>
      <c r="AE20" t="n">
        <v>3.8</v>
      </c>
      <c r="AF20" t="inlineStr"/>
      <c r="AG20" t="inlineStr"/>
      <c r="AH20" t="inlineStr"/>
      <c r="AI20" t="n">
        <v>16.7</v>
      </c>
      <c r="AJ20" t="n">
        <v>14.54</v>
      </c>
    </row>
    <row r="21">
      <c r="A21" t="inlineStr">
        <is>
          <t>Ahvaz Jundishapur University of Medical Sciences (AJUMS)</t>
        </is>
      </c>
      <c r="B21" t="inlineStr">
        <is>
          <t>Iran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801–1000</t>
        </is>
      </c>
      <c r="O21" t="inlineStr">
        <is>
          <t>32.7–36.9</t>
        </is>
      </c>
      <c r="P21" t="n">
        <v>38.1</v>
      </c>
      <c r="Q21" t="n">
        <v>10.7</v>
      </c>
      <c r="R21" t="n">
        <v>58.1</v>
      </c>
      <c r="S21" t="n">
        <v>20.1</v>
      </c>
      <c r="T21" t="n">
        <v>21.8</v>
      </c>
      <c r="U21" t="inlineStr">
        <is>
          <t>8,987</t>
        </is>
      </c>
      <c r="V21" t="n">
        <v>11.7</v>
      </c>
      <c r="W21" t="inlineStr">
        <is>
          <t>3%</t>
        </is>
      </c>
      <c r="X21" t="inlineStr">
        <is>
          <t>67 : 33</t>
        </is>
      </c>
      <c r="Y21" t="inlineStr"/>
      <c r="Z21" t="n">
        <v>801</v>
      </c>
      <c r="AA21" t="n">
        <v>34.8</v>
      </c>
      <c r="AB21" t="inlineStr">
        <is>
          <t>U0020</t>
        </is>
      </c>
      <c r="AC21" t="inlineStr">
        <is>
          <t>IR</t>
        </is>
      </c>
      <c r="AD21" t="n">
        <v>34.8</v>
      </c>
      <c r="AE21" t="n">
        <v>58.1</v>
      </c>
      <c r="AF21" t="n">
        <v>11.7</v>
      </c>
      <c r="AG21" t="inlineStr">
        <is>
          <t>1:11.7</t>
        </is>
      </c>
      <c r="AH21" t="inlineStr">
        <is>
          <t>3%</t>
        </is>
      </c>
      <c r="AI21" t="inlineStr"/>
      <c r="AJ21" t="n">
        <v>21.88</v>
      </c>
    </row>
    <row r="22">
      <c r="A22" t="inlineStr">
        <is>
          <t>Aichi Medical University</t>
        </is>
      </c>
      <c r="B22" t="inlineStr">
        <is>
          <t>Japan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1001–1200</t>
        </is>
      </c>
      <c r="O22" t="inlineStr">
        <is>
          <t>28.3–32.6</t>
        </is>
      </c>
      <c r="P22" t="n">
        <v>30.5</v>
      </c>
      <c r="Q22" t="n">
        <v>13.5</v>
      </c>
      <c r="R22" t="n">
        <v>43.1</v>
      </c>
      <c r="S22" t="n">
        <v>39.5</v>
      </c>
      <c r="T22" t="n">
        <v>21.5</v>
      </c>
      <c r="U22" t="inlineStr">
        <is>
          <t>1,315</t>
        </is>
      </c>
      <c r="V22" t="n">
        <v>2.9</v>
      </c>
      <c r="W22" t="inlineStr">
        <is>
          <t>1%</t>
        </is>
      </c>
      <c r="X22" t="inlineStr">
        <is>
          <t>58 : 42</t>
        </is>
      </c>
      <c r="Y22" t="inlineStr"/>
      <c r="Z22" t="n">
        <v>1001</v>
      </c>
      <c r="AA22" t="n">
        <v>30.45</v>
      </c>
      <c r="AB22" t="inlineStr">
        <is>
          <t>U0021</t>
        </is>
      </c>
      <c r="AC22" t="inlineStr">
        <is>
          <t>JA</t>
        </is>
      </c>
      <c r="AD22" t="n">
        <v>30.45</v>
      </c>
      <c r="AE22" t="n">
        <v>43.1</v>
      </c>
      <c r="AF22" t="n">
        <v>2.9</v>
      </c>
      <c r="AG22" t="inlineStr">
        <is>
          <t>1:2.9</t>
        </is>
      </c>
      <c r="AH22" t="inlineStr">
        <is>
          <t>1%</t>
        </is>
      </c>
      <c r="AI22" t="inlineStr"/>
      <c r="AJ22" t="n">
        <v>18.73</v>
      </c>
    </row>
    <row r="23">
      <c r="A23" t="inlineStr">
        <is>
          <t xml:space="preserve">Ain Shams University </t>
        </is>
      </c>
      <c r="B23" t="inlineStr">
        <is>
          <t>Egypt</t>
        </is>
      </c>
      <c r="C23" t="inlineStr">
        <is>
          <t>592</t>
        </is>
      </c>
      <c r="D23" t="n">
        <v>21</v>
      </c>
      <c r="E23" t="n">
        <v>24</v>
      </c>
      <c r="F23" t="n">
        <v>32.2</v>
      </c>
      <c r="G23" t="n">
        <v>11.3</v>
      </c>
      <c r="H23" t="n">
        <v>1.9</v>
      </c>
      <c r="I23" t="n">
        <v>23.1</v>
      </c>
      <c r="J23" t="n">
        <v>7.5</v>
      </c>
      <c r="K23" t="n">
        <v>74.2</v>
      </c>
      <c r="L23" t="n">
        <v>56.3</v>
      </c>
      <c r="M23" t="n">
        <v>9.800000000000001</v>
      </c>
      <c r="N23" t="inlineStr">
        <is>
          <t>1001–1200</t>
        </is>
      </c>
      <c r="O23" t="inlineStr">
        <is>
          <t>28.3–32.6</t>
        </is>
      </c>
      <c r="P23" t="n">
        <v>27.9</v>
      </c>
      <c r="Q23" t="n">
        <v>15.3</v>
      </c>
      <c r="R23" t="n">
        <v>45.8</v>
      </c>
      <c r="S23" t="n">
        <v>48</v>
      </c>
      <c r="T23" t="n">
        <v>51.8</v>
      </c>
      <c r="U23" t="inlineStr">
        <is>
          <t>152,995</t>
        </is>
      </c>
      <c r="V23" t="n">
        <v>13.3</v>
      </c>
      <c r="W23" t="inlineStr">
        <is>
          <t>6%</t>
        </is>
      </c>
      <c r="X23" t="inlineStr">
        <is>
          <t>52 : 48</t>
        </is>
      </c>
      <c r="Y23" t="n">
        <v>592</v>
      </c>
      <c r="Z23" t="n">
        <v>1001</v>
      </c>
      <c r="AA23" t="n">
        <v>30.45</v>
      </c>
      <c r="AB23" t="inlineStr">
        <is>
          <t>U0022</t>
        </is>
      </c>
      <c r="AC23" t="inlineStr">
        <is>
          <t>EG</t>
        </is>
      </c>
      <c r="AD23" t="n">
        <v>21</v>
      </c>
      <c r="AE23" t="n">
        <v>1.9</v>
      </c>
      <c r="AF23" t="n">
        <v>13.3</v>
      </c>
      <c r="AG23" t="inlineStr">
        <is>
          <t>1:13.3</t>
        </is>
      </c>
      <c r="AH23" t="inlineStr">
        <is>
          <t>6%</t>
        </is>
      </c>
      <c r="AI23" t="n">
        <v>24</v>
      </c>
      <c r="AJ23" t="n">
        <v>14.51</v>
      </c>
    </row>
    <row r="24">
      <c r="A24" t="inlineStr">
        <is>
          <t>Air University</t>
        </is>
      </c>
      <c r="B24" t="inlineStr">
        <is>
          <t>Pakistan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601–800</t>
        </is>
      </c>
      <c r="O24" t="inlineStr">
        <is>
          <t>37.0–41.8</t>
        </is>
      </c>
      <c r="P24" t="n">
        <v>24.2</v>
      </c>
      <c r="Q24" t="n">
        <v>12.5</v>
      </c>
      <c r="R24" t="n">
        <v>81.5</v>
      </c>
      <c r="S24" t="n">
        <v>39.5</v>
      </c>
      <c r="T24" t="n">
        <v>48.7</v>
      </c>
      <c r="U24" t="inlineStr">
        <is>
          <t>7,806</t>
        </is>
      </c>
      <c r="V24" t="n">
        <v>12.8</v>
      </c>
      <c r="W24" t="inlineStr">
        <is>
          <t>0%</t>
        </is>
      </c>
      <c r="X24" t="inlineStr">
        <is>
          <t>34 : 66</t>
        </is>
      </c>
      <c r="Y24" t="inlineStr"/>
      <c r="Z24" t="n">
        <v>601</v>
      </c>
      <c r="AA24" t="n">
        <v>39.4</v>
      </c>
      <c r="AB24" t="inlineStr">
        <is>
          <t>U0023</t>
        </is>
      </c>
      <c r="AC24" t="inlineStr">
        <is>
          <t>PA</t>
        </is>
      </c>
      <c r="AD24" t="n">
        <v>39.4</v>
      </c>
      <c r="AE24" t="n">
        <v>81.5</v>
      </c>
      <c r="AF24" t="n">
        <v>12.8</v>
      </c>
      <c r="AG24" t="inlineStr">
        <is>
          <t>1:12.8</t>
        </is>
      </c>
      <c r="AH24" t="inlineStr">
        <is>
          <t>0%</t>
        </is>
      </c>
      <c r="AI24" t="inlineStr"/>
      <c r="AJ24" t="n">
        <v>36.42</v>
      </c>
    </row>
    <row r="25">
      <c r="A25" t="inlineStr">
        <is>
          <t>Airlangga University</t>
        </is>
      </c>
      <c r="B25" t="inlineStr">
        <is>
          <t>Indonesia</t>
        </is>
      </c>
      <c r="C25" t="inlineStr">
        <is>
          <t>308</t>
        </is>
      </c>
      <c r="D25" t="n">
        <v>35.3</v>
      </c>
      <c r="E25" t="n">
        <v>37.1</v>
      </c>
      <c r="F25" t="n">
        <v>79.09999999999999</v>
      </c>
      <c r="G25" t="n">
        <v>57</v>
      </c>
      <c r="H25" t="n">
        <v>1.5</v>
      </c>
      <c r="I25" t="n">
        <v>58</v>
      </c>
      <c r="J25" t="n">
        <v>6.7</v>
      </c>
      <c r="K25" t="n">
        <v>40.3</v>
      </c>
      <c r="L25" t="n">
        <v>18.9</v>
      </c>
      <c r="M25" t="n">
        <v>16.3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308</v>
      </c>
      <c r="Z25" t="inlineStr"/>
      <c r="AA25" t="inlineStr"/>
      <c r="AB25" t="inlineStr">
        <is>
          <t>U0024</t>
        </is>
      </c>
      <c r="AC25" t="inlineStr">
        <is>
          <t>IN</t>
        </is>
      </c>
      <c r="AD25" t="n">
        <v>35.3</v>
      </c>
      <c r="AE25" t="n">
        <v>1.5</v>
      </c>
      <c r="AF25" t="inlineStr"/>
      <c r="AG25" t="inlineStr"/>
      <c r="AH25" t="inlineStr"/>
      <c r="AI25" t="n">
        <v>37.1</v>
      </c>
      <c r="AJ25" t="n">
        <v>13.84</v>
      </c>
    </row>
    <row r="26">
      <c r="A26" t="inlineStr">
        <is>
          <t>Aix-Marseille University</t>
        </is>
      </c>
      <c r="B26" t="inlineStr">
        <is>
          <t>France</t>
        </is>
      </c>
      <c r="C26" t="inlineStr">
        <is>
          <t>481</t>
        </is>
      </c>
      <c r="D26" t="n">
        <v>25</v>
      </c>
      <c r="E26" t="n">
        <v>36.9</v>
      </c>
      <c r="F26" t="n">
        <v>6.5</v>
      </c>
      <c r="G26" t="n">
        <v>7.9</v>
      </c>
      <c r="H26" t="n">
        <v>21.7</v>
      </c>
      <c r="I26" t="n">
        <v>17.5</v>
      </c>
      <c r="J26" t="n">
        <v>18.2</v>
      </c>
      <c r="K26" t="n">
        <v>99.09999999999999</v>
      </c>
      <c r="L26" t="n">
        <v>15.2</v>
      </c>
      <c r="M26" t="n">
        <v>25.5</v>
      </c>
      <c r="N26" t="inlineStr">
        <is>
          <t>351–400</t>
        </is>
      </c>
      <c r="O26" t="inlineStr">
        <is>
          <t>49.1–51.0</t>
        </is>
      </c>
      <c r="P26" t="n">
        <v>43</v>
      </c>
      <c r="Q26" t="n">
        <v>27.2</v>
      </c>
      <c r="R26" t="n">
        <v>71.90000000000001</v>
      </c>
      <c r="S26" t="n">
        <v>63.2</v>
      </c>
      <c r="T26" t="n">
        <v>76.3</v>
      </c>
      <c r="U26" t="inlineStr">
        <is>
          <t>72,946</t>
        </is>
      </c>
      <c r="V26" t="n">
        <v>17.3</v>
      </c>
      <c r="W26" t="inlineStr">
        <is>
          <t>14%</t>
        </is>
      </c>
      <c r="X26" t="inlineStr">
        <is>
          <t>60 : 40</t>
        </is>
      </c>
      <c r="Y26" t="n">
        <v>481</v>
      </c>
      <c r="Z26" t="n">
        <v>351</v>
      </c>
      <c r="AA26" t="n">
        <v>50.05</v>
      </c>
      <c r="AB26" t="inlineStr">
        <is>
          <t>U0025</t>
        </is>
      </c>
      <c r="AC26" t="inlineStr">
        <is>
          <t>FR</t>
        </is>
      </c>
      <c r="AD26" t="n">
        <v>25</v>
      </c>
      <c r="AE26" t="n">
        <v>21.7</v>
      </c>
      <c r="AF26" t="n">
        <v>17.3</v>
      </c>
      <c r="AG26" t="inlineStr">
        <is>
          <t>1:17.3</t>
        </is>
      </c>
      <c r="AH26" t="inlineStr">
        <is>
          <t>14%</t>
        </is>
      </c>
      <c r="AI26" t="n">
        <v>36.9</v>
      </c>
      <c r="AJ26" t="n">
        <v>32.68</v>
      </c>
    </row>
    <row r="27">
      <c r="A27" t="inlineStr">
        <is>
          <t>Ajman University</t>
        </is>
      </c>
      <c r="B27" t="inlineStr">
        <is>
          <t>United Arab Emirates</t>
        </is>
      </c>
      <c r="C27" t="inlineStr">
        <is>
          <t>477</t>
        </is>
      </c>
      <c r="D27" t="n">
        <v>25.1</v>
      </c>
      <c r="E27" t="n">
        <v>17.3</v>
      </c>
      <c r="F27" t="n">
        <v>42.2</v>
      </c>
      <c r="G27" t="n">
        <v>9.6</v>
      </c>
      <c r="H27" t="n">
        <v>3.2</v>
      </c>
      <c r="I27" t="n">
        <v>100</v>
      </c>
      <c r="J27" t="n">
        <v>100</v>
      </c>
      <c r="K27" t="n">
        <v>48.4</v>
      </c>
      <c r="L27" t="n">
        <v>9.800000000000001</v>
      </c>
      <c r="M27" t="n">
        <v>1.4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477</v>
      </c>
      <c r="Z27" t="inlineStr"/>
      <c r="AA27" t="inlineStr"/>
      <c r="AB27" t="inlineStr">
        <is>
          <t>U0026</t>
        </is>
      </c>
      <c r="AC27" t="inlineStr">
        <is>
          <t>UN</t>
        </is>
      </c>
      <c r="AD27" t="n">
        <v>25.1</v>
      </c>
      <c r="AE27" t="n">
        <v>3.2</v>
      </c>
      <c r="AF27" t="inlineStr"/>
      <c r="AG27" t="inlineStr"/>
      <c r="AH27" t="inlineStr"/>
      <c r="AI27" t="n">
        <v>17.3</v>
      </c>
      <c r="AJ27" t="n">
        <v>14.36</v>
      </c>
    </row>
    <row r="28">
      <c r="A28" t="inlineStr">
        <is>
          <t xml:space="preserve">Ajou University </t>
        </is>
      </c>
      <c r="B28" t="inlineStr">
        <is>
          <t>South Korea</t>
        </is>
      </c>
      <c r="C28" t="inlineStr">
        <is>
          <t>631-640</t>
        </is>
      </c>
      <c r="D28" t="inlineStr"/>
      <c r="E28" t="n">
        <v>13.7</v>
      </c>
      <c r="F28" t="n">
        <v>15</v>
      </c>
      <c r="G28" t="n">
        <v>68.90000000000001</v>
      </c>
      <c r="H28" t="n">
        <v>17.9</v>
      </c>
      <c r="I28" t="n">
        <v>9.300000000000001</v>
      </c>
      <c r="J28" t="n">
        <v>24.2</v>
      </c>
      <c r="K28" t="n">
        <v>18.8</v>
      </c>
      <c r="L28" t="n">
        <v>4.2</v>
      </c>
      <c r="M28" t="n">
        <v>23.7</v>
      </c>
      <c r="N28" t="inlineStr">
        <is>
          <t>501–600</t>
        </is>
      </c>
      <c r="O28" t="inlineStr">
        <is>
          <t>41.9–45.3</t>
        </is>
      </c>
      <c r="P28" t="n">
        <v>35.6</v>
      </c>
      <c r="Q28" t="n">
        <v>37.7</v>
      </c>
      <c r="R28" t="n">
        <v>52.8</v>
      </c>
      <c r="S28" t="n">
        <v>92.3</v>
      </c>
      <c r="T28" t="n">
        <v>48</v>
      </c>
      <c r="U28" t="inlineStr">
        <is>
          <t>7,714</t>
        </is>
      </c>
      <c r="V28" t="n">
        <v>14.9</v>
      </c>
      <c r="W28" t="inlineStr">
        <is>
          <t>17%</t>
        </is>
      </c>
      <c r="X28" t="inlineStr">
        <is>
          <t>41 : 59</t>
        </is>
      </c>
      <c r="Y28" t="n">
        <v>631</v>
      </c>
      <c r="Z28" t="n">
        <v>501</v>
      </c>
      <c r="AA28" t="n">
        <v>43.59999999999999</v>
      </c>
      <c r="AB28" t="inlineStr">
        <is>
          <t>U0027</t>
        </is>
      </c>
      <c r="AC28" t="inlineStr">
        <is>
          <t>SO</t>
        </is>
      </c>
      <c r="AD28" t="n">
        <v>43.59999999999999</v>
      </c>
      <c r="AE28" t="n">
        <v>17.9</v>
      </c>
      <c r="AF28" t="n">
        <v>14.9</v>
      </c>
      <c r="AG28" t="inlineStr">
        <is>
          <t>1:14.9</t>
        </is>
      </c>
      <c r="AH28" t="inlineStr">
        <is>
          <t>17%</t>
        </is>
      </c>
      <c r="AI28" t="n">
        <v>13.7</v>
      </c>
      <c r="AJ28" t="n">
        <v>30.18</v>
      </c>
    </row>
    <row r="29">
      <c r="A29" t="inlineStr">
        <is>
          <t>Akdeniz Üniversitesi</t>
        </is>
      </c>
      <c r="B29" t="inlineStr">
        <is>
          <t>Turkey</t>
        </is>
      </c>
      <c r="C29" t="inlineStr">
        <is>
          <t>1401+</t>
        </is>
      </c>
      <c r="D29" t="inlineStr"/>
      <c r="E29" t="n">
        <v>5.7</v>
      </c>
      <c r="F29" t="n">
        <v>4.8</v>
      </c>
      <c r="G29" t="n">
        <v>3.5</v>
      </c>
      <c r="H29" t="n">
        <v>3</v>
      </c>
      <c r="I29" t="n">
        <v>1.2</v>
      </c>
      <c r="J29" t="n">
        <v>1.1</v>
      </c>
      <c r="K29" t="n">
        <v>33.7</v>
      </c>
      <c r="L29" t="n">
        <v>2</v>
      </c>
      <c r="M29" t="n">
        <v>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1401</v>
      </c>
      <c r="Z29" t="inlineStr"/>
      <c r="AA29" t="inlineStr"/>
      <c r="AB29" t="inlineStr">
        <is>
          <t>U0028</t>
        </is>
      </c>
      <c r="AC29" t="inlineStr">
        <is>
          <t>TU</t>
        </is>
      </c>
      <c r="AD29" t="inlineStr"/>
      <c r="AE29" t="n">
        <v>3</v>
      </c>
      <c r="AF29" t="inlineStr"/>
      <c r="AG29" t="inlineStr"/>
      <c r="AH29" t="inlineStr"/>
      <c r="AI29" t="n">
        <v>5.7</v>
      </c>
      <c r="AJ29" t="n">
        <v>14.3</v>
      </c>
    </row>
    <row r="30">
      <c r="A30" t="inlineStr">
        <is>
          <t>Akdeniz University</t>
        </is>
      </c>
      <c r="B30" t="inlineStr">
        <is>
          <t>Turkey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1001–1200</t>
        </is>
      </c>
      <c r="O30" t="inlineStr">
        <is>
          <t>28.3–32.6</t>
        </is>
      </c>
      <c r="P30" t="n">
        <v>22.7</v>
      </c>
      <c r="Q30" t="n">
        <v>27.3</v>
      </c>
      <c r="R30" t="n">
        <v>42.6</v>
      </c>
      <c r="S30" t="n">
        <v>54.7</v>
      </c>
      <c r="T30" t="n">
        <v>25.2</v>
      </c>
      <c r="U30" t="inlineStr">
        <is>
          <t>46,464</t>
        </is>
      </c>
      <c r="V30" t="n">
        <v>47.3</v>
      </c>
      <c r="W30" t="inlineStr">
        <is>
          <t>4%</t>
        </is>
      </c>
      <c r="X30" t="inlineStr">
        <is>
          <t>45 : 55</t>
        </is>
      </c>
      <c r="Y30" t="inlineStr"/>
      <c r="Z30" t="n">
        <v>1001</v>
      </c>
      <c r="AA30" t="n">
        <v>30.45</v>
      </c>
      <c r="AB30" t="inlineStr">
        <is>
          <t>U0029</t>
        </is>
      </c>
      <c r="AC30" t="inlineStr">
        <is>
          <t>TU</t>
        </is>
      </c>
      <c r="AD30" t="n">
        <v>30.45</v>
      </c>
      <c r="AE30" t="n">
        <v>42.6</v>
      </c>
      <c r="AF30" t="n">
        <v>47.3</v>
      </c>
      <c r="AG30" t="inlineStr">
        <is>
          <t>1:47.3</t>
        </is>
      </c>
      <c r="AH30" t="inlineStr">
        <is>
          <t>4%</t>
        </is>
      </c>
      <c r="AI30" t="inlineStr"/>
      <c r="AJ30" t="n">
        <v>26.7</v>
      </c>
    </row>
    <row r="31">
      <c r="A31" t="inlineStr">
        <is>
          <t>Akita University</t>
        </is>
      </c>
      <c r="B31" t="inlineStr">
        <is>
          <t>Japan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1501+</t>
        </is>
      </c>
      <c r="O31" t="inlineStr">
        <is>
          <t>9.7–22.7</t>
        </is>
      </c>
      <c r="P31" t="n">
        <v>25.6</v>
      </c>
      <c r="Q31" t="n">
        <v>13.4</v>
      </c>
      <c r="R31" t="n">
        <v>20.8</v>
      </c>
      <c r="S31" t="n">
        <v>39.1</v>
      </c>
      <c r="T31" t="n">
        <v>26.7</v>
      </c>
      <c r="U31" t="inlineStr">
        <is>
          <t>5,002</t>
        </is>
      </c>
      <c r="V31" t="n">
        <v>10.7</v>
      </c>
      <c r="W31" t="inlineStr">
        <is>
          <t>4%</t>
        </is>
      </c>
      <c r="X31" t="inlineStr">
        <is>
          <t>35 : 65</t>
        </is>
      </c>
      <c r="Y31" t="inlineStr"/>
      <c r="Z31" t="n">
        <v>1501</v>
      </c>
      <c r="AA31" t="n">
        <v>16.2</v>
      </c>
      <c r="AB31" t="inlineStr">
        <is>
          <t>U0030</t>
        </is>
      </c>
      <c r="AC31" t="inlineStr">
        <is>
          <t>JA</t>
        </is>
      </c>
      <c r="AD31" t="n">
        <v>16.2</v>
      </c>
      <c r="AE31" t="n">
        <v>20.8</v>
      </c>
      <c r="AF31" t="n">
        <v>10.7</v>
      </c>
      <c r="AG31" t="inlineStr">
        <is>
          <t>1:10.7</t>
        </is>
      </c>
      <c r="AH31" t="inlineStr">
        <is>
          <t>4%</t>
        </is>
      </c>
      <c r="AI31" t="inlineStr"/>
      <c r="AJ31" t="n">
        <v>13.18</v>
      </c>
    </row>
    <row r="32">
      <c r="A32" t="inlineStr">
        <is>
          <t>Aksaray University</t>
        </is>
      </c>
      <c r="B32" t="inlineStr">
        <is>
          <t>Turkey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1501+</t>
        </is>
      </c>
      <c r="O32" t="inlineStr">
        <is>
          <t>9.7–22.7</t>
        </is>
      </c>
      <c r="P32" t="n">
        <v>11.6</v>
      </c>
      <c r="Q32" t="n">
        <v>8.800000000000001</v>
      </c>
      <c r="R32" t="n">
        <v>23.5</v>
      </c>
      <c r="S32" t="n">
        <v>26.8</v>
      </c>
      <c r="T32" t="n">
        <v>28</v>
      </c>
      <c r="U32" t="inlineStr">
        <is>
          <t>19,511</t>
        </is>
      </c>
      <c r="V32" t="n">
        <v>22.2</v>
      </c>
      <c r="W32" t="inlineStr">
        <is>
          <t>8%</t>
        </is>
      </c>
      <c r="X32" t="inlineStr">
        <is>
          <t>49 : 51</t>
        </is>
      </c>
      <c r="Y32" t="inlineStr"/>
      <c r="Z32" t="n">
        <v>1501</v>
      </c>
      <c r="AA32" t="n">
        <v>16.2</v>
      </c>
      <c r="AB32" t="inlineStr">
        <is>
          <t>U0031</t>
        </is>
      </c>
      <c r="AC32" t="inlineStr">
        <is>
          <t>TU</t>
        </is>
      </c>
      <c r="AD32" t="n">
        <v>16.2</v>
      </c>
      <c r="AE32" t="n">
        <v>23.5</v>
      </c>
      <c r="AF32" t="n">
        <v>22.2</v>
      </c>
      <c r="AG32" t="inlineStr">
        <is>
          <t>1:22.2</t>
        </is>
      </c>
      <c r="AH32" t="inlineStr">
        <is>
          <t>8%</t>
        </is>
      </c>
      <c r="AI32" t="inlineStr"/>
      <c r="AJ32" t="n">
        <v>11.9</v>
      </c>
    </row>
    <row r="33">
      <c r="A33" t="inlineStr">
        <is>
          <t>Al-Ahliyya Amman University</t>
        </is>
      </c>
      <c r="B33" t="inlineStr">
        <is>
          <t>Jordan</t>
        </is>
      </c>
      <c r="C33" t="inlineStr">
        <is>
          <t>801-850</t>
        </is>
      </c>
      <c r="D33" t="inlineStr"/>
      <c r="E33" t="n">
        <v>9.6</v>
      </c>
      <c r="F33" t="n">
        <v>10.1</v>
      </c>
      <c r="G33" t="n">
        <v>9.4</v>
      </c>
      <c r="H33" t="n">
        <v>2.7</v>
      </c>
      <c r="I33" t="n">
        <v>75.5</v>
      </c>
      <c r="J33" t="n">
        <v>100</v>
      </c>
      <c r="K33" t="n">
        <v>16.9</v>
      </c>
      <c r="L33" t="n">
        <v>4.6</v>
      </c>
      <c r="M33" t="n">
        <v>1.5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801</v>
      </c>
      <c r="Z33" t="inlineStr"/>
      <c r="AA33" t="inlineStr"/>
      <c r="AB33" t="inlineStr">
        <is>
          <t>U0032</t>
        </is>
      </c>
      <c r="AC33" t="inlineStr">
        <is>
          <t>JO</t>
        </is>
      </c>
      <c r="AD33" t="inlineStr"/>
      <c r="AE33" t="n">
        <v>2.7</v>
      </c>
      <c r="AF33" t="inlineStr"/>
      <c r="AG33" t="inlineStr"/>
      <c r="AH33" t="inlineStr"/>
      <c r="AI33" t="n">
        <v>9.6</v>
      </c>
      <c r="AJ33" t="n">
        <v>14.21</v>
      </c>
    </row>
    <row r="34">
      <c r="A34" t="inlineStr">
        <is>
          <t>Al Ain University</t>
        </is>
      </c>
      <c r="B34" t="inlineStr">
        <is>
          <t>United Arab Emirates</t>
        </is>
      </c>
      <c r="C34" t="inlineStr">
        <is>
          <t>552</t>
        </is>
      </c>
      <c r="D34" t="n">
        <v>22.5</v>
      </c>
      <c r="E34" t="n">
        <v>22.6</v>
      </c>
      <c r="F34" t="n">
        <v>15.7</v>
      </c>
      <c r="G34" t="n">
        <v>13.4</v>
      </c>
      <c r="H34" t="n">
        <v>5.9</v>
      </c>
      <c r="I34" t="n">
        <v>100</v>
      </c>
      <c r="J34" t="n">
        <v>100</v>
      </c>
      <c r="K34" t="n">
        <v>27.5</v>
      </c>
      <c r="L34" t="n">
        <v>5.9</v>
      </c>
      <c r="M34" t="n">
        <v>5.2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552</v>
      </c>
      <c r="Z34" t="inlineStr"/>
      <c r="AA34" t="inlineStr"/>
      <c r="AB34" t="inlineStr">
        <is>
          <t>U0033</t>
        </is>
      </c>
      <c r="AC34" t="inlineStr">
        <is>
          <t>UN</t>
        </is>
      </c>
      <c r="AD34" t="n">
        <v>22.5</v>
      </c>
      <c r="AE34" t="n">
        <v>5.9</v>
      </c>
      <c r="AF34" t="inlineStr"/>
      <c r="AG34" t="inlineStr"/>
      <c r="AH34" t="inlineStr"/>
      <c r="AI34" t="n">
        <v>22.6</v>
      </c>
      <c r="AJ34" t="n">
        <v>15.18</v>
      </c>
    </row>
    <row r="35">
      <c r="A35" t="inlineStr">
        <is>
          <t>Al-Azhar University</t>
        </is>
      </c>
      <c r="B35" t="inlineStr">
        <is>
          <t>Egypt</t>
        </is>
      </c>
      <c r="C35" t="inlineStr">
        <is>
          <t>1001-1200</t>
        </is>
      </c>
      <c r="D35" t="inlineStr"/>
      <c r="E35" t="n">
        <v>13.1</v>
      </c>
      <c r="F35" t="n">
        <v>10.3</v>
      </c>
      <c r="G35" t="n">
        <v>11</v>
      </c>
      <c r="H35" t="n">
        <v>1.4</v>
      </c>
      <c r="I35" t="n">
        <v>1.4</v>
      </c>
      <c r="J35" t="n">
        <v>9.5</v>
      </c>
      <c r="K35" t="n">
        <v>58.3</v>
      </c>
      <c r="L35" t="n">
        <v>22.6</v>
      </c>
      <c r="M35" t="n">
        <v>1.1</v>
      </c>
      <c r="N35" t="inlineStr">
        <is>
          <t>801–1000</t>
        </is>
      </c>
      <c r="O35" t="inlineStr">
        <is>
          <t>32.7–36.9</t>
        </is>
      </c>
      <c r="P35" t="n">
        <v>19.2</v>
      </c>
      <c r="Q35" t="n">
        <v>10.9</v>
      </c>
      <c r="R35" t="n">
        <v>69.2</v>
      </c>
      <c r="S35" t="n">
        <v>20.4</v>
      </c>
      <c r="T35" t="n">
        <v>57.4</v>
      </c>
      <c r="U35" t="inlineStr">
        <is>
          <t>269,733</t>
        </is>
      </c>
      <c r="V35" t="n">
        <v>22</v>
      </c>
      <c r="W35" t="inlineStr">
        <is>
          <t>9%</t>
        </is>
      </c>
      <c r="X35" t="inlineStr">
        <is>
          <t>42 : 58</t>
        </is>
      </c>
      <c r="Y35" t="n">
        <v>1001</v>
      </c>
      <c r="Z35" t="n">
        <v>801</v>
      </c>
      <c r="AA35" t="n">
        <v>34.8</v>
      </c>
      <c r="AB35" t="inlineStr">
        <is>
          <t>U0034</t>
        </is>
      </c>
      <c r="AC35" t="inlineStr">
        <is>
          <t>EG</t>
        </is>
      </c>
      <c r="AD35" t="n">
        <v>34.8</v>
      </c>
      <c r="AE35" t="n">
        <v>1.4</v>
      </c>
      <c r="AF35" t="n">
        <v>22</v>
      </c>
      <c r="AG35" t="inlineStr">
        <is>
          <t>1:22.0</t>
        </is>
      </c>
      <c r="AH35" t="inlineStr">
        <is>
          <t>9%</t>
        </is>
      </c>
      <c r="AI35" t="n">
        <v>13.1</v>
      </c>
      <c r="AJ35" t="n">
        <v>13.41</v>
      </c>
    </row>
    <row r="36">
      <c r="A36" t="inlineStr">
        <is>
          <t>Al-Balqa Applied University</t>
        </is>
      </c>
      <c r="B36" t="inlineStr">
        <is>
          <t>Jordan</t>
        </is>
      </c>
      <c r="C36" t="inlineStr">
        <is>
          <t>1201-1400</t>
        </is>
      </c>
      <c r="D36" t="inlineStr"/>
      <c r="E36" t="n">
        <v>5.8</v>
      </c>
      <c r="F36" t="n">
        <v>6.6</v>
      </c>
      <c r="G36" t="n">
        <v>4.8</v>
      </c>
      <c r="H36" t="n">
        <v>2.7</v>
      </c>
      <c r="I36" t="n">
        <v>7.6</v>
      </c>
      <c r="J36" t="n">
        <v>2.5</v>
      </c>
      <c r="K36" t="n">
        <v>32.9</v>
      </c>
      <c r="L36" t="n">
        <v>3.9</v>
      </c>
      <c r="M36" t="n">
        <v>6.7</v>
      </c>
      <c r="N36" t="inlineStr">
        <is>
          <t>1001–1200</t>
        </is>
      </c>
      <c r="O36" t="inlineStr">
        <is>
          <t>28.3–32.6</t>
        </is>
      </c>
      <c r="P36" t="n">
        <v>12</v>
      </c>
      <c r="Q36" t="n">
        <v>13.6</v>
      </c>
      <c r="R36" t="n">
        <v>59.2</v>
      </c>
      <c r="S36" t="n">
        <v>22.5</v>
      </c>
      <c r="T36" t="n">
        <v>39.3</v>
      </c>
      <c r="U36" t="inlineStr">
        <is>
          <t>27,973</t>
        </is>
      </c>
      <c r="V36" t="n">
        <v>27.3</v>
      </c>
      <c r="W36" t="inlineStr">
        <is>
          <t>2%</t>
        </is>
      </c>
      <c r="X36" t="inlineStr">
        <is>
          <t>59 : 41</t>
        </is>
      </c>
      <c r="Y36" t="n">
        <v>1201</v>
      </c>
      <c r="Z36" t="n">
        <v>1001</v>
      </c>
      <c r="AA36" t="n">
        <v>30.45</v>
      </c>
      <c r="AB36" t="inlineStr">
        <is>
          <t>U0035</t>
        </is>
      </c>
      <c r="AC36" t="inlineStr">
        <is>
          <t>JO</t>
        </is>
      </c>
      <c r="AD36" t="n">
        <v>30.45</v>
      </c>
      <c r="AE36" t="n">
        <v>2.7</v>
      </c>
      <c r="AF36" t="n">
        <v>27.3</v>
      </c>
      <c r="AG36" t="inlineStr">
        <is>
          <t>1:27.3</t>
        </is>
      </c>
      <c r="AH36" t="inlineStr">
        <is>
          <t>2%</t>
        </is>
      </c>
      <c r="AI36" t="n">
        <v>5.8</v>
      </c>
      <c r="AJ36" t="n">
        <v>10.84</v>
      </c>
    </row>
    <row r="37">
      <c r="A37" t="inlineStr">
        <is>
          <t>Al-Farabi Kazakh National University</t>
        </is>
      </c>
      <c r="B37" t="inlineStr">
        <is>
          <t>Kazakhstan</t>
        </is>
      </c>
      <c r="C37" t="inlineStr">
        <is>
          <t>163</t>
        </is>
      </c>
      <c r="D37" t="n">
        <v>51</v>
      </c>
      <c r="E37" t="n">
        <v>54.2</v>
      </c>
      <c r="F37" t="n">
        <v>79.59999999999999</v>
      </c>
      <c r="G37" t="n">
        <v>99.3</v>
      </c>
      <c r="H37" t="n">
        <v>1.4</v>
      </c>
      <c r="I37" t="n">
        <v>49</v>
      </c>
      <c r="J37" t="n">
        <v>54.2</v>
      </c>
      <c r="K37" t="n">
        <v>64.7</v>
      </c>
      <c r="L37" t="n">
        <v>59.6</v>
      </c>
      <c r="M37" t="n">
        <v>29.8</v>
      </c>
      <c r="N37" t="inlineStr">
        <is>
          <t>1201–1500</t>
        </is>
      </c>
      <c r="O37" t="inlineStr">
        <is>
          <t>22.8–28.2</t>
        </is>
      </c>
      <c r="P37" t="n">
        <v>24.8</v>
      </c>
      <c r="Q37" t="n">
        <v>11.1</v>
      </c>
      <c r="R37" t="n">
        <v>27.1</v>
      </c>
      <c r="S37" t="n">
        <v>25.3</v>
      </c>
      <c r="T37" t="n">
        <v>72.5</v>
      </c>
      <c r="U37" t="inlineStr">
        <is>
          <t>24,303</t>
        </is>
      </c>
      <c r="V37" t="n">
        <v>5.9</v>
      </c>
      <c r="W37" t="inlineStr">
        <is>
          <t>10%</t>
        </is>
      </c>
      <c r="X37" t="inlineStr">
        <is>
          <t>59 : 41</t>
        </is>
      </c>
      <c r="Y37" t="n">
        <v>163</v>
      </c>
      <c r="Z37" t="n">
        <v>1201</v>
      </c>
      <c r="AA37" t="n">
        <v>25.5</v>
      </c>
      <c r="AB37" t="inlineStr">
        <is>
          <t>U0036</t>
        </is>
      </c>
      <c r="AC37" t="inlineStr">
        <is>
          <t>KA</t>
        </is>
      </c>
      <c r="AD37" t="n">
        <v>51</v>
      </c>
      <c r="AE37" t="n">
        <v>1.4</v>
      </c>
      <c r="AF37" t="n">
        <v>5.9</v>
      </c>
      <c r="AG37" t="inlineStr">
        <is>
          <t>1:5.9</t>
        </is>
      </c>
      <c r="AH37" t="inlineStr">
        <is>
          <t>10%</t>
        </is>
      </c>
      <c r="AI37" t="n">
        <v>54.2</v>
      </c>
      <c r="AJ37" t="n">
        <v>17.17</v>
      </c>
    </row>
    <row r="38">
      <c r="A38" t="inlineStr">
        <is>
          <t>Al-Nahrain University</t>
        </is>
      </c>
      <c r="B38" t="inlineStr">
        <is>
          <t>Iraq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1201–1500</t>
        </is>
      </c>
      <c r="O38" t="inlineStr">
        <is>
          <t>22.8–28.2</t>
        </is>
      </c>
      <c r="P38" t="n">
        <v>27.9</v>
      </c>
      <c r="Q38" t="n">
        <v>8.699999999999999</v>
      </c>
      <c r="R38" t="n">
        <v>34.1</v>
      </c>
      <c r="S38" t="n">
        <v>16.6</v>
      </c>
      <c r="T38" t="n">
        <v>25.4</v>
      </c>
      <c r="U38" t="inlineStr">
        <is>
          <t>6,714</t>
        </is>
      </c>
      <c r="V38" t="n">
        <v>5.9</v>
      </c>
      <c r="W38" t="inlineStr">
        <is>
          <t>0%</t>
        </is>
      </c>
      <c r="X38" t="inlineStr">
        <is>
          <t>55 : 45</t>
        </is>
      </c>
      <c r="Y38" t="inlineStr"/>
      <c r="Z38" t="n">
        <v>1201</v>
      </c>
      <c r="AA38" t="n">
        <v>25.5</v>
      </c>
      <c r="AB38" t="inlineStr">
        <is>
          <t>U0037</t>
        </is>
      </c>
      <c r="AC38" t="inlineStr">
        <is>
          <t>IR</t>
        </is>
      </c>
      <c r="AD38" t="n">
        <v>25.5</v>
      </c>
      <c r="AE38" t="n">
        <v>34.1</v>
      </c>
      <c r="AF38" t="n">
        <v>5.9</v>
      </c>
      <c r="AG38" t="inlineStr">
        <is>
          <t>1:5.9</t>
        </is>
      </c>
      <c r="AH38" t="inlineStr">
        <is>
          <t>0%</t>
        </is>
      </c>
      <c r="AI38" t="inlineStr"/>
      <c r="AJ38" t="n">
        <v>14.43</v>
      </c>
    </row>
    <row r="39">
      <c r="A39" t="inlineStr">
        <is>
          <t>Al-Quds University</t>
        </is>
      </c>
      <c r="B39" t="inlineStr">
        <is>
          <t>Palestine</t>
        </is>
      </c>
      <c r="C39" t="inlineStr">
        <is>
          <t>851-900</t>
        </is>
      </c>
      <c r="D39" t="inlineStr"/>
      <c r="E39" t="n">
        <v>5.8</v>
      </c>
      <c r="F39" t="n">
        <v>14.6</v>
      </c>
      <c r="G39" t="n">
        <v>12.7</v>
      </c>
      <c r="H39" t="n">
        <v>1.7</v>
      </c>
      <c r="I39" t="n">
        <v>61.5</v>
      </c>
      <c r="J39" t="n">
        <v>66.8</v>
      </c>
      <c r="K39" t="n">
        <v>30.6</v>
      </c>
      <c r="L39" t="n">
        <v>23.5</v>
      </c>
      <c r="M39" t="n">
        <v>3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851</v>
      </c>
      <c r="Z39" t="inlineStr"/>
      <c r="AA39" t="inlineStr"/>
      <c r="AB39" t="inlineStr">
        <is>
          <t>U0038</t>
        </is>
      </c>
      <c r="AC39" t="inlineStr">
        <is>
          <t>PA</t>
        </is>
      </c>
      <c r="AD39" t="inlineStr"/>
      <c r="AE39" t="n">
        <v>1.7</v>
      </c>
      <c r="AF39" t="inlineStr"/>
      <c r="AG39" t="inlineStr"/>
      <c r="AH39" t="inlineStr"/>
      <c r="AI39" t="n">
        <v>5.8</v>
      </c>
      <c r="AJ39" t="n">
        <v>13.9</v>
      </c>
    </row>
    <row r="40">
      <c r="A40" t="inlineStr">
        <is>
          <t>Alagappa University</t>
        </is>
      </c>
      <c r="B40" t="inlineStr">
        <is>
          <t>India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601–800</t>
        </is>
      </c>
      <c r="O40" t="inlineStr">
        <is>
          <t>37.0–41.8</t>
        </is>
      </c>
      <c r="P40" t="n">
        <v>34.8</v>
      </c>
      <c r="Q40" t="n">
        <v>12.8</v>
      </c>
      <c r="R40" t="n">
        <v>64.8</v>
      </c>
      <c r="S40" t="n">
        <v>23.2</v>
      </c>
      <c r="T40" t="n">
        <v>44.4</v>
      </c>
      <c r="U40" t="inlineStr">
        <is>
          <t>5,020</t>
        </is>
      </c>
      <c r="V40" t="n">
        <v>15.8</v>
      </c>
      <c r="W40" t="inlineStr">
        <is>
          <t>0%</t>
        </is>
      </c>
      <c r="X40" t="inlineStr">
        <is>
          <t>62 : 38</t>
        </is>
      </c>
      <c r="Y40" t="inlineStr"/>
      <c r="Z40" t="n">
        <v>601</v>
      </c>
      <c r="AA40" t="n">
        <v>39.4</v>
      </c>
      <c r="AB40" t="inlineStr">
        <is>
          <t>U0039</t>
        </is>
      </c>
      <c r="AC40" t="inlineStr">
        <is>
          <t>IN</t>
        </is>
      </c>
      <c r="AD40" t="n">
        <v>39.4</v>
      </c>
      <c r="AE40" t="n">
        <v>64.8</v>
      </c>
      <c r="AF40" t="n">
        <v>15.8</v>
      </c>
      <c r="AG40" t="inlineStr">
        <is>
          <t>1:15.8</t>
        </is>
      </c>
      <c r="AH40" t="inlineStr">
        <is>
          <t>0%</t>
        </is>
      </c>
      <c r="AI40" t="inlineStr"/>
      <c r="AJ40" t="n">
        <v>30.48</v>
      </c>
    </row>
    <row r="41">
      <c r="A41" t="inlineStr">
        <is>
          <t>Albert-Ludwigs-Universitaet Freiburg</t>
        </is>
      </c>
      <c r="B41" t="inlineStr">
        <is>
          <t>Germany</t>
        </is>
      </c>
      <c r="C41" t="inlineStr">
        <is>
          <t>212</t>
        </is>
      </c>
      <c r="D41" t="n">
        <v>44.8</v>
      </c>
      <c r="E41" t="n">
        <v>43.1</v>
      </c>
      <c r="F41" t="n">
        <v>24.5</v>
      </c>
      <c r="G41" t="n">
        <v>24.6</v>
      </c>
      <c r="H41" t="n">
        <v>52.2</v>
      </c>
      <c r="I41" t="n">
        <v>67.59999999999999</v>
      </c>
      <c r="J41" t="n">
        <v>33.7</v>
      </c>
      <c r="K41" t="n">
        <v>92.3</v>
      </c>
      <c r="L41" t="n">
        <v>32.5</v>
      </c>
      <c r="M41" t="n">
        <v>90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212</v>
      </c>
      <c r="Z41" t="inlineStr"/>
      <c r="AA41" t="inlineStr"/>
      <c r="AB41" t="inlineStr">
        <is>
          <t>U0040</t>
        </is>
      </c>
      <c r="AC41" t="inlineStr">
        <is>
          <t>GE</t>
        </is>
      </c>
      <c r="AD41" t="n">
        <v>44.8</v>
      </c>
      <c r="AE41" t="n">
        <v>52.2</v>
      </c>
      <c r="AF41" t="inlineStr"/>
      <c r="AG41" t="inlineStr"/>
      <c r="AH41" t="inlineStr"/>
      <c r="AI41" t="n">
        <v>43.1</v>
      </c>
      <c r="AJ41" t="n">
        <v>29.21</v>
      </c>
    </row>
    <row r="42">
      <c r="A42" t="inlineStr">
        <is>
          <t xml:space="preserve">Alexandria University </t>
        </is>
      </c>
      <c r="B42" t="inlineStr">
        <is>
          <t>Egypt</t>
        </is>
      </c>
      <c r="C42" t="inlineStr">
        <is>
          <t>801-850</t>
        </is>
      </c>
      <c r="D42" t="inlineStr"/>
      <c r="E42" t="n">
        <v>23.1</v>
      </c>
      <c r="F42" t="n">
        <v>18.3</v>
      </c>
      <c r="G42" t="n">
        <v>4.5</v>
      </c>
      <c r="H42" t="n">
        <v>2</v>
      </c>
      <c r="I42" t="n">
        <v>1.7</v>
      </c>
      <c r="J42" t="n">
        <v>4.8</v>
      </c>
      <c r="K42" t="n">
        <v>76.40000000000001</v>
      </c>
      <c r="L42" t="n">
        <v>24.3</v>
      </c>
      <c r="M42" t="n">
        <v>6.9</v>
      </c>
      <c r="N42" t="inlineStr">
        <is>
          <t>801–1000</t>
        </is>
      </c>
      <c r="O42" t="inlineStr">
        <is>
          <t>32.7–36.9</t>
        </is>
      </c>
      <c r="P42" t="n">
        <v>17.9</v>
      </c>
      <c r="Q42" t="n">
        <v>17.7</v>
      </c>
      <c r="R42" t="n">
        <v>58.2</v>
      </c>
      <c r="S42" t="n">
        <v>27.2</v>
      </c>
      <c r="T42" t="n">
        <v>51.4</v>
      </c>
      <c r="U42" t="inlineStr">
        <is>
          <t>205,777</t>
        </is>
      </c>
      <c r="V42" t="n">
        <v>28.7</v>
      </c>
      <c r="W42" t="inlineStr">
        <is>
          <t>4%</t>
        </is>
      </c>
      <c r="X42" t="inlineStr">
        <is>
          <t>52 : 48</t>
        </is>
      </c>
      <c r="Y42" t="n">
        <v>801</v>
      </c>
      <c r="Z42" t="n">
        <v>801</v>
      </c>
      <c r="AA42" t="n">
        <v>34.8</v>
      </c>
      <c r="AB42" t="inlineStr">
        <is>
          <t>U0041</t>
        </is>
      </c>
      <c r="AC42" t="inlineStr">
        <is>
          <t>EG</t>
        </is>
      </c>
      <c r="AD42" t="n">
        <v>34.8</v>
      </c>
      <c r="AE42" t="n">
        <v>2</v>
      </c>
      <c r="AF42" t="n">
        <v>28.7</v>
      </c>
      <c r="AG42" t="inlineStr">
        <is>
          <t>1:28.7</t>
        </is>
      </c>
      <c r="AH42" t="inlineStr">
        <is>
          <t>4%</t>
        </is>
      </c>
      <c r="AI42" t="n">
        <v>23.1</v>
      </c>
      <c r="AJ42" t="n">
        <v>15.71</v>
      </c>
    </row>
    <row r="43">
      <c r="A43" t="inlineStr">
        <is>
          <t>Alexandru Ioan Cuza University</t>
        </is>
      </c>
      <c r="B43" t="inlineStr">
        <is>
          <t>Romania</t>
        </is>
      </c>
      <c r="C43" t="inlineStr">
        <is>
          <t>1201-1400</t>
        </is>
      </c>
      <c r="D43" t="inlineStr"/>
      <c r="E43" t="n">
        <v>7.5</v>
      </c>
      <c r="F43" t="n">
        <v>11.9</v>
      </c>
      <c r="G43" t="n">
        <v>5.5</v>
      </c>
      <c r="H43" t="n">
        <v>3</v>
      </c>
      <c r="I43" t="n">
        <v>3.5</v>
      </c>
      <c r="J43" t="n">
        <v>9.6</v>
      </c>
      <c r="K43" t="n">
        <v>40.2</v>
      </c>
      <c r="L43" t="n">
        <v>14.3</v>
      </c>
      <c r="M43" t="n">
        <v>3.2</v>
      </c>
      <c r="N43" t="inlineStr">
        <is>
          <t>1501+</t>
        </is>
      </c>
      <c r="O43" t="inlineStr">
        <is>
          <t>9.7–22.7</t>
        </is>
      </c>
      <c r="P43" t="n">
        <v>16.5</v>
      </c>
      <c r="Q43" t="n">
        <v>12.1</v>
      </c>
      <c r="R43" t="n">
        <v>31.6</v>
      </c>
      <c r="S43" t="n">
        <v>18.3</v>
      </c>
      <c r="T43" t="n">
        <v>40.2</v>
      </c>
      <c r="U43" t="inlineStr">
        <is>
          <t>25,443</t>
        </is>
      </c>
      <c r="V43" t="n">
        <v>22.3</v>
      </c>
      <c r="W43" t="inlineStr">
        <is>
          <t>8%</t>
        </is>
      </c>
      <c r="X43" t="inlineStr">
        <is>
          <t>56 : 44</t>
        </is>
      </c>
      <c r="Y43" t="n">
        <v>1201</v>
      </c>
      <c r="Z43" t="n">
        <v>1501</v>
      </c>
      <c r="AA43" t="n">
        <v>16.2</v>
      </c>
      <c r="AB43" t="inlineStr">
        <is>
          <t>U0042</t>
        </is>
      </c>
      <c r="AC43" t="inlineStr">
        <is>
          <t>RO</t>
        </is>
      </c>
      <c r="AD43" t="n">
        <v>16.2</v>
      </c>
      <c r="AE43" t="n">
        <v>3</v>
      </c>
      <c r="AF43" t="n">
        <v>22.3</v>
      </c>
      <c r="AG43" t="inlineStr">
        <is>
          <t>1:22.3</t>
        </is>
      </c>
      <c r="AH43" t="inlineStr">
        <is>
          <t>8%</t>
        </is>
      </c>
      <c r="AI43" t="n">
        <v>7.5</v>
      </c>
      <c r="AJ43" t="n">
        <v>10.37</v>
      </c>
    </row>
    <row r="44">
      <c r="A44" t="inlineStr">
        <is>
          <t>Alfaisal University</t>
        </is>
      </c>
      <c r="B44" t="inlineStr">
        <is>
          <t>Saudi Arabia</t>
        </is>
      </c>
      <c r="C44" t="inlineStr">
        <is>
          <t>791-800</t>
        </is>
      </c>
      <c r="D44" t="inlineStr"/>
      <c r="E44" t="n">
        <v>4.8</v>
      </c>
      <c r="F44" t="n">
        <v>3</v>
      </c>
      <c r="G44" t="n">
        <v>21.6</v>
      </c>
      <c r="H44" t="n">
        <v>10.6</v>
      </c>
      <c r="I44" t="n">
        <v>100</v>
      </c>
      <c r="J44" t="n">
        <v>89</v>
      </c>
      <c r="K44" t="n">
        <v>19.1</v>
      </c>
      <c r="L44" t="n">
        <v>4.4</v>
      </c>
      <c r="M44" t="n">
        <v>1.1</v>
      </c>
      <c r="N44" t="inlineStr">
        <is>
          <t>501–600</t>
        </is>
      </c>
      <c r="O44" t="inlineStr">
        <is>
          <t>41.9–45.3</t>
        </is>
      </c>
      <c r="P44" t="n">
        <v>24.1</v>
      </c>
      <c r="Q44" t="n">
        <v>15.2</v>
      </c>
      <c r="R44" t="n">
        <v>72.7</v>
      </c>
      <c r="S44" t="n">
        <v>42.1</v>
      </c>
      <c r="T44" t="n">
        <v>97.7</v>
      </c>
      <c r="U44" t="inlineStr">
        <is>
          <t>3,274</t>
        </is>
      </c>
      <c r="V44" t="n">
        <v>10.8</v>
      </c>
      <c r="W44" t="inlineStr">
        <is>
          <t>32%</t>
        </is>
      </c>
      <c r="X44" t="inlineStr">
        <is>
          <t>56 : 44</t>
        </is>
      </c>
      <c r="Y44" t="n">
        <v>791</v>
      </c>
      <c r="Z44" t="n">
        <v>501</v>
      </c>
      <c r="AA44" t="n">
        <v>43.59999999999999</v>
      </c>
      <c r="AB44" t="inlineStr">
        <is>
          <t>U0043</t>
        </is>
      </c>
      <c r="AC44" t="inlineStr">
        <is>
          <t>SA</t>
        </is>
      </c>
      <c r="AD44" t="n">
        <v>43.59999999999999</v>
      </c>
      <c r="AE44" t="n">
        <v>10.6</v>
      </c>
      <c r="AF44" t="n">
        <v>10.8</v>
      </c>
      <c r="AG44" t="inlineStr">
        <is>
          <t>1:10.8</t>
        </is>
      </c>
      <c r="AH44" t="inlineStr">
        <is>
          <t>32%</t>
        </is>
      </c>
      <c r="AI44" t="n">
        <v>4.8</v>
      </c>
      <c r="AJ44" t="n">
        <v>28.2</v>
      </c>
    </row>
    <row r="45">
      <c r="A45" t="inlineStr">
        <is>
          <t>Aligarh Muslim University</t>
        </is>
      </c>
      <c r="B45" t="inlineStr">
        <is>
          <t>India</t>
        </is>
      </c>
      <c r="C45" t="inlineStr">
        <is>
          <t>1001-1200</t>
        </is>
      </c>
      <c r="D45" t="inlineStr"/>
      <c r="E45" t="n">
        <v>11.1</v>
      </c>
      <c r="F45" t="n">
        <v>2.8</v>
      </c>
      <c r="G45" t="n">
        <v>16.2</v>
      </c>
      <c r="H45" t="n">
        <v>12.1</v>
      </c>
      <c r="I45" t="n">
        <v>1</v>
      </c>
      <c r="J45" t="n">
        <v>1.4</v>
      </c>
      <c r="K45" t="n">
        <v>46</v>
      </c>
      <c r="L45" t="n">
        <v>2.7</v>
      </c>
      <c r="M45" t="n">
        <v>13.2</v>
      </c>
      <c r="N45" t="inlineStr">
        <is>
          <t>601–800</t>
        </is>
      </c>
      <c r="O45" t="inlineStr">
        <is>
          <t>37.0–41.8</t>
        </is>
      </c>
      <c r="P45" t="n">
        <v>41.1</v>
      </c>
      <c r="Q45" t="n">
        <v>14</v>
      </c>
      <c r="R45" t="n">
        <v>61.6</v>
      </c>
      <c r="S45" t="n">
        <v>34.3</v>
      </c>
      <c r="T45" t="n">
        <v>38.2</v>
      </c>
      <c r="U45" t="inlineStr">
        <is>
          <t>20,428</t>
        </is>
      </c>
      <c r="V45" t="n">
        <v>12</v>
      </c>
      <c r="W45" t="inlineStr">
        <is>
          <t>1%</t>
        </is>
      </c>
      <c r="X45" t="inlineStr">
        <is>
          <t>40 : 60</t>
        </is>
      </c>
      <c r="Y45" t="n">
        <v>1001</v>
      </c>
      <c r="Z45" t="n">
        <v>601</v>
      </c>
      <c r="AA45" t="n">
        <v>39.4</v>
      </c>
      <c r="AB45" t="inlineStr">
        <is>
          <t>U0044</t>
        </is>
      </c>
      <c r="AC45" t="inlineStr">
        <is>
          <t>IN</t>
        </is>
      </c>
      <c r="AD45" t="n">
        <v>39.4</v>
      </c>
      <c r="AE45" t="n">
        <v>12.1</v>
      </c>
      <c r="AF45" t="n">
        <v>12</v>
      </c>
      <c r="AG45" t="inlineStr">
        <is>
          <t>1:12.0</t>
        </is>
      </c>
      <c r="AH45" t="inlineStr">
        <is>
          <t>1%</t>
        </is>
      </c>
      <c r="AI45" t="n">
        <v>11.1</v>
      </c>
      <c r="AJ45" t="n">
        <v>13.63</v>
      </c>
    </row>
    <row r="46">
      <c r="A46" t="inlineStr">
        <is>
          <t>Allameh Tabataba ’i University</t>
        </is>
      </c>
      <c r="B46" t="inlineStr">
        <is>
          <t>Iran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1201–1500</t>
        </is>
      </c>
      <c r="O46" t="inlineStr">
        <is>
          <t>22.8–28.2</t>
        </is>
      </c>
      <c r="P46" t="n">
        <v>29.1</v>
      </c>
      <c r="Q46" t="n">
        <v>14.2</v>
      </c>
      <c r="R46" t="n">
        <v>28.5</v>
      </c>
      <c r="S46" t="n">
        <v>19</v>
      </c>
      <c r="T46" t="n">
        <v>32.4</v>
      </c>
      <c r="U46" t="inlineStr">
        <is>
          <t>15,113</t>
        </is>
      </c>
      <c r="V46" t="n">
        <v>29.7</v>
      </c>
      <c r="W46" t="inlineStr">
        <is>
          <t>3%</t>
        </is>
      </c>
      <c r="X46" t="inlineStr">
        <is>
          <t>57 : 43</t>
        </is>
      </c>
      <c r="Y46" t="inlineStr"/>
      <c r="Z46" t="n">
        <v>1201</v>
      </c>
      <c r="AA46" t="n">
        <v>25.5</v>
      </c>
      <c r="AB46" t="inlineStr">
        <is>
          <t>U0045</t>
        </is>
      </c>
      <c r="AC46" t="inlineStr">
        <is>
          <t>IR</t>
        </is>
      </c>
      <c r="AD46" t="n">
        <v>25.5</v>
      </c>
      <c r="AE46" t="n">
        <v>28.5</v>
      </c>
      <c r="AF46" t="n">
        <v>29.7</v>
      </c>
      <c r="AG46" t="inlineStr">
        <is>
          <t>1:29.7</t>
        </is>
      </c>
      <c r="AH46" t="inlineStr">
        <is>
          <t>3%</t>
        </is>
      </c>
      <c r="AI46" t="inlineStr"/>
      <c r="AJ46" t="n">
        <v>17.31</v>
      </c>
    </row>
    <row r="47">
      <c r="A47" t="inlineStr">
        <is>
          <t>Alma Mater Studiorum - University of Bologna</t>
        </is>
      </c>
      <c r="B47" t="inlineStr">
        <is>
          <t>Italy</t>
        </is>
      </c>
      <c r="C47" t="inlineStr">
        <is>
          <t>133</t>
        </is>
      </c>
      <c r="D47" t="n">
        <v>54.1</v>
      </c>
      <c r="E47" t="n">
        <v>80.8</v>
      </c>
      <c r="F47" t="n">
        <v>47.8</v>
      </c>
      <c r="G47" t="n">
        <v>3.7</v>
      </c>
      <c r="H47" t="n">
        <v>46.6</v>
      </c>
      <c r="I47" t="n">
        <v>14.5</v>
      </c>
      <c r="J47" t="n">
        <v>12.3</v>
      </c>
      <c r="K47" t="n">
        <v>96</v>
      </c>
      <c r="L47" t="n">
        <v>53.8</v>
      </c>
      <c r="M47" t="n">
        <v>88.40000000000001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133</v>
      </c>
      <c r="Z47" t="inlineStr"/>
      <c r="AA47" t="inlineStr"/>
      <c r="AB47" t="inlineStr">
        <is>
          <t>U0046</t>
        </is>
      </c>
      <c r="AC47" t="inlineStr">
        <is>
          <t>IT</t>
        </is>
      </c>
      <c r="AD47" t="n">
        <v>54.1</v>
      </c>
      <c r="AE47" t="n">
        <v>46.6</v>
      </c>
      <c r="AF47" t="inlineStr"/>
      <c r="AG47" t="inlineStr"/>
      <c r="AH47" t="inlineStr"/>
      <c r="AI47" t="n">
        <v>80.8</v>
      </c>
      <c r="AJ47" t="n">
        <v>27.51</v>
      </c>
    </row>
    <row r="48">
      <c r="A48" t="inlineStr">
        <is>
          <t>Almaty Technological University</t>
        </is>
      </c>
      <c r="B48" t="inlineStr">
        <is>
          <t>Kazakhstan</t>
        </is>
      </c>
      <c r="C48" t="inlineStr">
        <is>
          <t>951-1000</t>
        </is>
      </c>
      <c r="D48" t="inlineStr"/>
      <c r="E48" t="n">
        <v>6.2</v>
      </c>
      <c r="F48" t="n">
        <v>4.2</v>
      </c>
      <c r="G48" t="n">
        <v>88.09999999999999</v>
      </c>
      <c r="H48" t="n">
        <v>1</v>
      </c>
      <c r="I48" t="n">
        <v>25</v>
      </c>
      <c r="J48" t="n">
        <v>4.8</v>
      </c>
      <c r="K48" t="n">
        <v>2.9</v>
      </c>
      <c r="L48" t="n">
        <v>3.3</v>
      </c>
      <c r="M48" t="n">
        <v>1.1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951</v>
      </c>
      <c r="Z48" t="inlineStr"/>
      <c r="AA48" t="inlineStr"/>
      <c r="AB48" t="inlineStr">
        <is>
          <t>U0047</t>
        </is>
      </c>
      <c r="AC48" t="inlineStr">
        <is>
          <t>KA</t>
        </is>
      </c>
      <c r="AD48" t="inlineStr"/>
      <c r="AE48" t="n">
        <v>1</v>
      </c>
      <c r="AF48" t="inlineStr"/>
      <c r="AG48" t="inlineStr"/>
      <c r="AH48" t="inlineStr"/>
      <c r="AI48" t="n">
        <v>6.2</v>
      </c>
      <c r="AJ48" t="n">
        <v>13.69</v>
      </c>
    </row>
    <row r="49">
      <c r="A49" t="inlineStr">
        <is>
          <t>Altai State University</t>
        </is>
      </c>
      <c r="B49" t="inlineStr">
        <is>
          <t>Russian Federation</t>
        </is>
      </c>
      <c r="C49" t="inlineStr">
        <is>
          <t>741-750</t>
        </is>
      </c>
      <c r="D49" t="inlineStr"/>
      <c r="E49" t="n">
        <v>11.7</v>
      </c>
      <c r="F49" t="n">
        <v>3.3</v>
      </c>
      <c r="G49" t="n">
        <v>87.5</v>
      </c>
      <c r="H49" t="n">
        <v>1.4</v>
      </c>
      <c r="I49" t="n">
        <v>6.3</v>
      </c>
      <c r="J49" t="n">
        <v>60</v>
      </c>
      <c r="K49" t="n">
        <v>18.8</v>
      </c>
      <c r="L49" t="n">
        <v>1.9</v>
      </c>
      <c r="M49" t="n">
        <v>10.1</v>
      </c>
      <c r="N49" t="inlineStr">
        <is>
          <t>1501+</t>
        </is>
      </c>
      <c r="O49" t="inlineStr">
        <is>
          <t>9.7–22.7</t>
        </is>
      </c>
      <c r="P49" t="n">
        <v>20.5</v>
      </c>
      <c r="Q49" t="n">
        <v>16.5</v>
      </c>
      <c r="R49" t="n">
        <v>15.2</v>
      </c>
      <c r="S49" t="n">
        <v>25.2</v>
      </c>
      <c r="T49" t="n">
        <v>64.40000000000001</v>
      </c>
      <c r="U49" t="inlineStr">
        <is>
          <t>9,271</t>
        </is>
      </c>
      <c r="V49" t="n">
        <v>19</v>
      </c>
      <c r="W49" t="inlineStr">
        <is>
          <t>27%</t>
        </is>
      </c>
      <c r="X49" t="inlineStr">
        <is>
          <t>56 : 44</t>
        </is>
      </c>
      <c r="Y49" t="n">
        <v>741</v>
      </c>
      <c r="Z49" t="n">
        <v>1501</v>
      </c>
      <c r="AA49" t="n">
        <v>16.2</v>
      </c>
      <c r="AB49" t="inlineStr">
        <is>
          <t>U0048</t>
        </is>
      </c>
      <c r="AC49" t="inlineStr">
        <is>
          <t>RU</t>
        </is>
      </c>
      <c r="AD49" t="n">
        <v>16.2</v>
      </c>
      <c r="AE49" t="n">
        <v>1.4</v>
      </c>
      <c r="AF49" t="n">
        <v>19</v>
      </c>
      <c r="AG49" t="inlineStr">
        <is>
          <t>1:19.0</t>
        </is>
      </c>
      <c r="AH49" t="inlineStr">
        <is>
          <t>27%</t>
        </is>
      </c>
      <c r="AI49" t="n">
        <v>11.7</v>
      </c>
      <c r="AJ49" t="n">
        <v>18.04</v>
      </c>
    </row>
    <row r="50">
      <c r="A50" t="inlineStr">
        <is>
          <t>Alzahra University</t>
        </is>
      </c>
      <c r="B50" t="inlineStr">
        <is>
          <t>Iran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1501+</t>
        </is>
      </c>
      <c r="O50" t="inlineStr">
        <is>
          <t>9.7–22.7</t>
        </is>
      </c>
      <c r="P50" t="n">
        <v>25.4</v>
      </c>
      <c r="Q50" t="n">
        <v>15.3</v>
      </c>
      <c r="R50" t="n">
        <v>24.6</v>
      </c>
      <c r="S50" t="n">
        <v>19.6</v>
      </c>
      <c r="T50" t="n">
        <v>31</v>
      </c>
      <c r="U50" t="inlineStr">
        <is>
          <t>10,531</t>
        </is>
      </c>
      <c r="V50" t="n">
        <v>28.4</v>
      </c>
      <c r="W50" t="inlineStr">
        <is>
          <t>3%</t>
        </is>
      </c>
      <c r="X50" t="inlineStr">
        <is>
          <t>100 : 0</t>
        </is>
      </c>
      <c r="Y50" t="inlineStr"/>
      <c r="Z50" t="n">
        <v>1501</v>
      </c>
      <c r="AA50" t="n">
        <v>16.2</v>
      </c>
      <c r="AB50" t="inlineStr">
        <is>
          <t>U0049</t>
        </is>
      </c>
      <c r="AC50" t="inlineStr">
        <is>
          <t>IR</t>
        </is>
      </c>
      <c r="AD50" t="n">
        <v>16.2</v>
      </c>
      <c r="AE50" t="n">
        <v>24.6</v>
      </c>
      <c r="AF50" t="n">
        <v>28.4</v>
      </c>
      <c r="AG50" t="inlineStr">
        <is>
          <t>1:28.4</t>
        </is>
      </c>
      <c r="AH50" t="inlineStr">
        <is>
          <t>3%</t>
        </is>
      </c>
      <c r="AI50" t="inlineStr"/>
      <c r="AJ50" t="n">
        <v>16.36</v>
      </c>
    </row>
    <row r="51">
      <c r="A51" t="inlineStr">
        <is>
          <t>Amedeo Avogadro University of Eastern Piedmont</t>
        </is>
      </c>
      <c r="B51" t="inlineStr">
        <is>
          <t>Italy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601–800</t>
        </is>
      </c>
      <c r="O51" t="inlineStr">
        <is>
          <t>37.0–41.8</t>
        </is>
      </c>
      <c r="P51" t="n">
        <v>12.7</v>
      </c>
      <c r="Q51" t="n">
        <v>23.5</v>
      </c>
      <c r="R51" t="n">
        <v>71.3</v>
      </c>
      <c r="S51" t="n">
        <v>47.1</v>
      </c>
      <c r="T51" t="n">
        <v>48.2</v>
      </c>
      <c r="U51" t="inlineStr">
        <is>
          <t>14,981</t>
        </is>
      </c>
      <c r="V51" t="n">
        <v>40.8</v>
      </c>
      <c r="W51" t="inlineStr">
        <is>
          <t>7%</t>
        </is>
      </c>
      <c r="X51" t="inlineStr">
        <is>
          <t>61 : 39</t>
        </is>
      </c>
      <c r="Y51" t="inlineStr"/>
      <c r="Z51" t="n">
        <v>601</v>
      </c>
      <c r="AA51" t="n">
        <v>39.4</v>
      </c>
      <c r="AB51" t="inlineStr">
        <is>
          <t>U0050</t>
        </is>
      </c>
      <c r="AC51" t="inlineStr">
        <is>
          <t>IT</t>
        </is>
      </c>
      <c r="AD51" t="n">
        <v>39.4</v>
      </c>
      <c r="AE51" t="n">
        <v>71.3</v>
      </c>
      <c r="AF51" t="n">
        <v>40.8</v>
      </c>
      <c r="AG51" t="inlineStr">
        <is>
          <t>1:40.8</t>
        </is>
      </c>
      <c r="AH51" t="inlineStr">
        <is>
          <t>7%</t>
        </is>
      </c>
      <c r="AI51" t="inlineStr"/>
      <c r="AJ51" t="n">
        <v>38.97</v>
      </c>
    </row>
    <row r="52">
      <c r="A52" t="inlineStr">
        <is>
          <t>American University</t>
        </is>
      </c>
      <c r="B52" t="inlineStr">
        <is>
          <t>United States</t>
        </is>
      </c>
      <c r="C52" t="inlineStr">
        <is>
          <t>711-720</t>
        </is>
      </c>
      <c r="D52" t="inlineStr"/>
      <c r="E52" t="n">
        <v>16.2</v>
      </c>
      <c r="F52" t="n">
        <v>29.3</v>
      </c>
      <c r="G52" t="n">
        <v>32.9</v>
      </c>
      <c r="H52" t="n">
        <v>4.3</v>
      </c>
      <c r="I52" t="n">
        <v>8</v>
      </c>
      <c r="J52" t="n">
        <v>19.4</v>
      </c>
      <c r="K52" t="n">
        <v>30.6</v>
      </c>
      <c r="L52" t="n">
        <v>40.5</v>
      </c>
      <c r="M52" t="n">
        <v>4.8</v>
      </c>
      <c r="N52" t="inlineStr">
        <is>
          <t>601–800</t>
        </is>
      </c>
      <c r="O52" t="inlineStr">
        <is>
          <t>37.0–41.8</t>
        </is>
      </c>
      <c r="P52" t="n">
        <v>35.2</v>
      </c>
      <c r="Q52" t="n">
        <v>17.1</v>
      </c>
      <c r="R52" t="n">
        <v>57.2</v>
      </c>
      <c r="S52" t="n">
        <v>38.5</v>
      </c>
      <c r="T52" t="n">
        <v>46.5</v>
      </c>
      <c r="U52" t="inlineStr">
        <is>
          <t>12,771</t>
        </is>
      </c>
      <c r="V52" t="n">
        <v>12</v>
      </c>
      <c r="W52" t="inlineStr">
        <is>
          <t>12%</t>
        </is>
      </c>
      <c r="X52" t="inlineStr">
        <is>
          <t>62 : 38</t>
        </is>
      </c>
      <c r="Y52" t="n">
        <v>711</v>
      </c>
      <c r="Z52" t="n">
        <v>601</v>
      </c>
      <c r="AA52" t="n">
        <v>39.4</v>
      </c>
      <c r="AB52" t="inlineStr">
        <is>
          <t>U0051</t>
        </is>
      </c>
      <c r="AC52" t="inlineStr">
        <is>
          <t>UN</t>
        </is>
      </c>
      <c r="AD52" t="n">
        <v>39.4</v>
      </c>
      <c r="AE52" t="n">
        <v>4.3</v>
      </c>
      <c r="AF52" t="n">
        <v>12</v>
      </c>
      <c r="AG52" t="inlineStr">
        <is>
          <t>1:12.0</t>
        </is>
      </c>
      <c r="AH52" t="inlineStr">
        <is>
          <t>12%</t>
        </is>
      </c>
      <c r="AI52" t="n">
        <v>16.2</v>
      </c>
      <c r="AJ52" t="n">
        <v>14.9</v>
      </c>
    </row>
    <row r="53">
      <c r="A53" t="inlineStr">
        <is>
          <t>The American University in Cairo</t>
        </is>
      </c>
      <c r="B53" t="inlineStr">
        <is>
          <t>Egypt</t>
        </is>
      </c>
      <c r="C53" t="inlineStr">
        <is>
          <t>410</t>
        </is>
      </c>
      <c r="D53" t="n">
        <v>29</v>
      </c>
      <c r="E53" t="n">
        <v>32.1</v>
      </c>
      <c r="F53" t="n">
        <v>31.1</v>
      </c>
      <c r="G53" t="n">
        <v>35.5</v>
      </c>
      <c r="H53" t="n">
        <v>5.2</v>
      </c>
      <c r="I53" t="n">
        <v>97</v>
      </c>
      <c r="J53" t="n">
        <v>3.8</v>
      </c>
      <c r="K53" t="n">
        <v>29.4</v>
      </c>
      <c r="L53" t="n">
        <v>75.59999999999999</v>
      </c>
      <c r="M53" t="n">
        <v>14.6</v>
      </c>
      <c r="N53" t="inlineStr">
        <is>
          <t>801–1000</t>
        </is>
      </c>
      <c r="O53" t="inlineStr">
        <is>
          <t>32.7–36.9</t>
        </is>
      </c>
      <c r="P53" t="n">
        <v>26.7</v>
      </c>
      <c r="Q53" t="n">
        <v>24</v>
      </c>
      <c r="R53" t="n">
        <v>51.1</v>
      </c>
      <c r="S53" t="n">
        <v>23</v>
      </c>
      <c r="T53" t="n">
        <v>70.3</v>
      </c>
      <c r="U53" t="inlineStr">
        <is>
          <t>6,034</t>
        </is>
      </c>
      <c r="V53" t="n">
        <v>14.2</v>
      </c>
      <c r="W53" t="inlineStr">
        <is>
          <t>4%</t>
        </is>
      </c>
      <c r="X53" t="inlineStr">
        <is>
          <t>58 : 42</t>
        </is>
      </c>
      <c r="Y53" t="n">
        <v>410</v>
      </c>
      <c r="Z53" t="n">
        <v>801</v>
      </c>
      <c r="AA53" t="n">
        <v>34.8</v>
      </c>
      <c r="AB53" t="inlineStr">
        <is>
          <t>U0052</t>
        </is>
      </c>
      <c r="AC53" t="inlineStr">
        <is>
          <t>EG</t>
        </is>
      </c>
      <c r="AD53" t="n">
        <v>29</v>
      </c>
      <c r="AE53" t="n">
        <v>5.2</v>
      </c>
      <c r="AF53" t="n">
        <v>14.2</v>
      </c>
      <c r="AG53" t="inlineStr">
        <is>
          <t>1:14.2</t>
        </is>
      </c>
      <c r="AH53" t="inlineStr">
        <is>
          <t>4%</t>
        </is>
      </c>
      <c r="AI53" t="n">
        <v>32.1</v>
      </c>
      <c r="AJ53" t="n">
        <v>24.55</v>
      </c>
    </row>
    <row r="54">
      <c r="A54" t="inlineStr">
        <is>
          <t>American University in Dubai</t>
        </is>
      </c>
      <c r="B54" t="inlineStr">
        <is>
          <t>United Arab Emirates</t>
        </is>
      </c>
      <c r="C54" t="inlineStr">
        <is>
          <t>621-630</t>
        </is>
      </c>
      <c r="D54" t="inlineStr"/>
      <c r="E54" t="n">
        <v>10.3</v>
      </c>
      <c r="F54" t="n">
        <v>16.9</v>
      </c>
      <c r="G54" t="n">
        <v>25.2</v>
      </c>
      <c r="H54" t="n">
        <v>1.9</v>
      </c>
      <c r="I54" t="n">
        <v>100</v>
      </c>
      <c r="J54" t="n">
        <v>100</v>
      </c>
      <c r="K54" t="n">
        <v>4.5</v>
      </c>
      <c r="L54" t="n">
        <v>41.3</v>
      </c>
      <c r="M54" t="n">
        <v>1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621</v>
      </c>
      <c r="Z54" t="inlineStr"/>
      <c r="AA54" t="inlineStr"/>
      <c r="AB54" t="inlineStr">
        <is>
          <t>U0053</t>
        </is>
      </c>
      <c r="AC54" t="inlineStr">
        <is>
          <t>UN</t>
        </is>
      </c>
      <c r="AD54" t="inlineStr"/>
      <c r="AE54" t="n">
        <v>1.9</v>
      </c>
      <c r="AF54" t="inlineStr"/>
      <c r="AG54" t="inlineStr"/>
      <c r="AH54" t="inlineStr"/>
      <c r="AI54" t="n">
        <v>10.3</v>
      </c>
      <c r="AJ54" t="n">
        <v>13.96</v>
      </c>
    </row>
    <row r="55">
      <c r="A55" t="inlineStr">
        <is>
          <t>American University of Beirut (AUB)</t>
        </is>
      </c>
      <c r="B55" t="inlineStr">
        <is>
          <t>Lebanon</t>
        </is>
      </c>
      <c r="C55" t="inlineStr">
        <is>
          <t>250</t>
        </is>
      </c>
      <c r="D55" t="n">
        <v>40.6</v>
      </c>
      <c r="E55" t="n">
        <v>28.6</v>
      </c>
      <c r="F55" t="n">
        <v>29.5</v>
      </c>
      <c r="G55" t="n">
        <v>48.5</v>
      </c>
      <c r="H55" t="n">
        <v>28.9</v>
      </c>
      <c r="I55" t="n">
        <v>63.2</v>
      </c>
      <c r="J55" t="n">
        <v>37</v>
      </c>
      <c r="K55" t="n">
        <v>73.09999999999999</v>
      </c>
      <c r="L55" t="n">
        <v>97</v>
      </c>
      <c r="M55" t="n">
        <v>80.5</v>
      </c>
      <c r="N55" t="inlineStr">
        <is>
          <t>501–600</t>
        </is>
      </c>
      <c r="O55" t="inlineStr">
        <is>
          <t>41.9–45.3</t>
        </is>
      </c>
      <c r="P55" t="n">
        <v>29.7</v>
      </c>
      <c r="Q55" t="n">
        <v>17.9</v>
      </c>
      <c r="R55" t="n">
        <v>73.5</v>
      </c>
      <c r="S55" t="n">
        <v>66</v>
      </c>
      <c r="T55" t="n">
        <v>72.90000000000001</v>
      </c>
      <c r="U55" t="inlineStr">
        <is>
          <t>8,722</t>
        </is>
      </c>
      <c r="V55" t="n">
        <v>8.699999999999999</v>
      </c>
      <c r="W55" t="inlineStr">
        <is>
          <t>20%</t>
        </is>
      </c>
      <c r="X55" t="inlineStr">
        <is>
          <t>49 : 51</t>
        </is>
      </c>
      <c r="Y55" t="n">
        <v>250</v>
      </c>
      <c r="Z55" t="n">
        <v>501</v>
      </c>
      <c r="AA55" t="n">
        <v>43.59999999999999</v>
      </c>
      <c r="AB55" t="inlineStr">
        <is>
          <t>U0054</t>
        </is>
      </c>
      <c r="AC55" t="inlineStr">
        <is>
          <t>LE</t>
        </is>
      </c>
      <c r="AD55" t="n">
        <v>40.6</v>
      </c>
      <c r="AE55" t="n">
        <v>28.9</v>
      </c>
      <c r="AF55" t="n">
        <v>8.699999999999999</v>
      </c>
      <c r="AG55" t="inlineStr">
        <is>
          <t>1:8.7</t>
        </is>
      </c>
      <c r="AH55" t="inlineStr">
        <is>
          <t>20%</t>
        </is>
      </c>
      <c r="AI55" t="n">
        <v>28.6</v>
      </c>
      <c r="AJ55" t="n">
        <v>29.16</v>
      </c>
    </row>
    <row r="56">
      <c r="A56" t="inlineStr">
        <is>
          <t>American University of Ras Al Khaimah ( AURAK )</t>
        </is>
      </c>
      <c r="B56" t="inlineStr">
        <is>
          <t>United Arab Emirates</t>
        </is>
      </c>
      <c r="C56" t="inlineStr">
        <is>
          <t>485</t>
        </is>
      </c>
      <c r="D56" t="n">
        <v>24.8</v>
      </c>
      <c r="E56" t="n">
        <v>4.6</v>
      </c>
      <c r="F56" t="n">
        <v>3.3</v>
      </c>
      <c r="G56" t="n">
        <v>35.5</v>
      </c>
      <c r="H56" t="n">
        <v>46.8</v>
      </c>
      <c r="I56" t="n">
        <v>100</v>
      </c>
      <c r="J56" t="n">
        <v>100</v>
      </c>
      <c r="K56" t="n">
        <v>15.4</v>
      </c>
      <c r="L56" t="n">
        <v>4.1</v>
      </c>
      <c r="M56" t="n">
        <v>1.1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485</v>
      </c>
      <c r="Z56" t="inlineStr"/>
      <c r="AA56" t="inlineStr"/>
      <c r="AB56" t="inlineStr">
        <is>
          <t>U0055</t>
        </is>
      </c>
      <c r="AC56" t="inlineStr">
        <is>
          <t>UN</t>
        </is>
      </c>
      <c r="AD56" t="n">
        <v>24.8</v>
      </c>
      <c r="AE56" t="n">
        <v>46.8</v>
      </c>
      <c r="AF56" t="inlineStr"/>
      <c r="AG56" t="inlineStr"/>
      <c r="AH56" t="inlineStr"/>
      <c r="AI56" t="n">
        <v>4.6</v>
      </c>
      <c r="AJ56" t="n">
        <v>27.57</v>
      </c>
    </row>
    <row r="57">
      <c r="A57" t="inlineStr">
        <is>
          <t>American University of Sharjah</t>
        </is>
      </c>
      <c r="B57" t="inlineStr">
        <is>
          <t>United Arab Emirates</t>
        </is>
      </c>
      <c r="C57" t="inlineStr">
        <is>
          <t>332</t>
        </is>
      </c>
      <c r="D57" t="n">
        <v>33.6</v>
      </c>
      <c r="E57" t="n">
        <v>20.9</v>
      </c>
      <c r="F57" t="n">
        <v>38.6</v>
      </c>
      <c r="G57" t="n">
        <v>19.1</v>
      </c>
      <c r="H57" t="n">
        <v>23.9</v>
      </c>
      <c r="I57" t="n">
        <v>100</v>
      </c>
      <c r="J57" t="n">
        <v>100</v>
      </c>
      <c r="K57" t="n">
        <v>48.1</v>
      </c>
      <c r="L57" t="n">
        <v>48</v>
      </c>
      <c r="M57" t="n">
        <v>16.5</v>
      </c>
      <c r="N57" t="inlineStr">
        <is>
          <t>601–800</t>
        </is>
      </c>
      <c r="O57" t="inlineStr">
        <is>
          <t>37.0–41.8</t>
        </is>
      </c>
      <c r="P57" t="n">
        <v>24.5</v>
      </c>
      <c r="Q57" t="n">
        <v>26.3</v>
      </c>
      <c r="R57" t="n">
        <v>57.9</v>
      </c>
      <c r="S57" t="n">
        <v>27.9</v>
      </c>
      <c r="T57" t="n">
        <v>88.59999999999999</v>
      </c>
      <c r="U57" t="inlineStr">
        <is>
          <t>4,737</t>
        </is>
      </c>
      <c r="V57" t="n">
        <v>12.5</v>
      </c>
      <c r="W57" t="inlineStr">
        <is>
          <t>74%</t>
        </is>
      </c>
      <c r="X57" t="inlineStr">
        <is>
          <t>54 : 46</t>
        </is>
      </c>
      <c r="Y57" t="n">
        <v>332</v>
      </c>
      <c r="Z57" t="n">
        <v>601</v>
      </c>
      <c r="AA57" t="n">
        <v>39.4</v>
      </c>
      <c r="AB57" t="inlineStr">
        <is>
          <t>U0056</t>
        </is>
      </c>
      <c r="AC57" t="inlineStr">
        <is>
          <t>UN</t>
        </is>
      </c>
      <c r="AD57" t="n">
        <v>33.6</v>
      </c>
      <c r="AE57" t="n">
        <v>23.9</v>
      </c>
      <c r="AF57" t="n">
        <v>12.5</v>
      </c>
      <c r="AG57" t="inlineStr">
        <is>
          <t>1:12.5</t>
        </is>
      </c>
      <c r="AH57" t="inlineStr">
        <is>
          <t>74%</t>
        </is>
      </c>
      <c r="AI57" t="n">
        <v>20.9</v>
      </c>
      <c r="AJ57" t="n">
        <v>35.85</v>
      </c>
    </row>
    <row r="58">
      <c r="A58" t="inlineStr">
        <is>
          <t>American University of the Middle East</t>
        </is>
      </c>
      <c r="B58" t="inlineStr">
        <is>
          <t>Kuwait</t>
        </is>
      </c>
      <c r="C58" t="inlineStr">
        <is>
          <t>611-620</t>
        </is>
      </c>
      <c r="D58" t="inlineStr"/>
      <c r="E58" t="n">
        <v>23.1</v>
      </c>
      <c r="F58" t="n">
        <v>21.6</v>
      </c>
      <c r="G58" t="n">
        <v>19.7</v>
      </c>
      <c r="H58" t="n">
        <v>3.7</v>
      </c>
      <c r="I58" t="n">
        <v>100</v>
      </c>
      <c r="J58" t="n">
        <v>23</v>
      </c>
      <c r="K58" t="n">
        <v>35.1</v>
      </c>
      <c r="L58" t="n">
        <v>5.1</v>
      </c>
      <c r="M58" t="n">
        <v>3.5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611</v>
      </c>
      <c r="Z58" t="inlineStr"/>
      <c r="AA58" t="inlineStr"/>
      <c r="AB58" t="inlineStr">
        <is>
          <t>U0057</t>
        </is>
      </c>
      <c r="AC58" t="inlineStr">
        <is>
          <t>KU</t>
        </is>
      </c>
      <c r="AD58" t="inlineStr"/>
      <c r="AE58" t="n">
        <v>3.7</v>
      </c>
      <c r="AF58" t="inlineStr"/>
      <c r="AG58" t="inlineStr"/>
      <c r="AH58" t="inlineStr"/>
      <c r="AI58" t="n">
        <v>23.1</v>
      </c>
      <c r="AJ58" t="n">
        <v>14.51</v>
      </c>
    </row>
    <row r="59">
      <c r="A59" t="inlineStr">
        <is>
          <t>Amirkabir University of Technology</t>
        </is>
      </c>
      <c r="B59" t="inlineStr">
        <is>
          <t>Iran</t>
        </is>
      </c>
      <c r="C59" t="inlineStr">
        <is>
          <t>403</t>
        </is>
      </c>
      <c r="D59" t="n">
        <v>29.5</v>
      </c>
      <c r="E59" t="n">
        <v>5.2</v>
      </c>
      <c r="F59" t="n">
        <v>20.5</v>
      </c>
      <c r="G59" t="n">
        <v>4.6</v>
      </c>
      <c r="H59" t="n">
        <v>100</v>
      </c>
      <c r="I59" t="n">
        <v>24.6</v>
      </c>
      <c r="J59" t="n">
        <v>2.8</v>
      </c>
      <c r="K59" t="n">
        <v>70.2</v>
      </c>
      <c r="L59" t="n">
        <v>5.8</v>
      </c>
      <c r="M59" t="n">
        <v>1.6</v>
      </c>
      <c r="N59" t="inlineStr">
        <is>
          <t>351–400</t>
        </is>
      </c>
      <c r="O59" t="inlineStr">
        <is>
          <t>49.1–51.0</t>
        </is>
      </c>
      <c r="P59" t="n">
        <v>34.8</v>
      </c>
      <c r="Q59" t="n">
        <v>33.7</v>
      </c>
      <c r="R59" t="n">
        <v>77</v>
      </c>
      <c r="S59" t="n">
        <v>85.09999999999999</v>
      </c>
      <c r="T59" t="n">
        <v>38.8</v>
      </c>
      <c r="U59" t="inlineStr">
        <is>
          <t>9,859</t>
        </is>
      </c>
      <c r="V59" t="n">
        <v>20.2</v>
      </c>
      <c r="W59" t="inlineStr">
        <is>
          <t>3%</t>
        </is>
      </c>
      <c r="X59" t="inlineStr">
        <is>
          <t>35 : 65</t>
        </is>
      </c>
      <c r="Y59" t="n">
        <v>403</v>
      </c>
      <c r="Z59" t="n">
        <v>351</v>
      </c>
      <c r="AA59" t="n">
        <v>50.05</v>
      </c>
      <c r="AB59" t="inlineStr">
        <is>
          <t>U0058</t>
        </is>
      </c>
      <c r="AC59" t="inlineStr">
        <is>
          <t>IR</t>
        </is>
      </c>
      <c r="AD59" t="n">
        <v>29.5</v>
      </c>
      <c r="AE59" t="n">
        <v>100</v>
      </c>
      <c r="AF59" t="n">
        <v>20.2</v>
      </c>
      <c r="AG59" t="inlineStr">
        <is>
          <t>1:20.2</t>
        </is>
      </c>
      <c r="AH59" t="inlineStr">
        <is>
          <t>3%</t>
        </is>
      </c>
      <c r="AI59" t="n">
        <v>5.2</v>
      </c>
      <c r="AJ59" t="n">
        <v>50.74</v>
      </c>
    </row>
    <row r="60">
      <c r="A60" t="inlineStr">
        <is>
          <t>Amity University</t>
        </is>
      </c>
      <c r="B60" t="inlineStr">
        <is>
          <t>India</t>
        </is>
      </c>
      <c r="C60" t="inlineStr">
        <is>
          <t>1001-1200</t>
        </is>
      </c>
      <c r="D60" t="inlineStr"/>
      <c r="E60" t="n">
        <v>9.800000000000001</v>
      </c>
      <c r="F60" t="n">
        <v>10.6</v>
      </c>
      <c r="G60" t="n">
        <v>10.7</v>
      </c>
      <c r="H60" t="n">
        <v>7.1</v>
      </c>
      <c r="I60" t="n">
        <v>3.7</v>
      </c>
      <c r="J60" t="n">
        <v>21.1</v>
      </c>
      <c r="K60" t="n">
        <v>61.5</v>
      </c>
      <c r="L60" t="n">
        <v>4.1</v>
      </c>
      <c r="M60" t="n">
        <v>10.8</v>
      </c>
      <c r="N60" t="inlineStr">
        <is>
          <t>801–1000</t>
        </is>
      </c>
      <c r="O60" t="inlineStr">
        <is>
          <t>32.7–36.9</t>
        </is>
      </c>
      <c r="P60" t="n">
        <v>23.6</v>
      </c>
      <c r="Q60" t="n">
        <v>14</v>
      </c>
      <c r="R60" t="n">
        <v>62.3</v>
      </c>
      <c r="S60" t="n">
        <v>20</v>
      </c>
      <c r="T60" t="n">
        <v>31.1</v>
      </c>
      <c r="U60" t="inlineStr">
        <is>
          <t>30,989</t>
        </is>
      </c>
      <c r="V60" t="n">
        <v>17.1</v>
      </c>
      <c r="W60" t="inlineStr">
        <is>
          <t>7%</t>
        </is>
      </c>
      <c r="X60" t="inlineStr">
        <is>
          <t>52 : 48</t>
        </is>
      </c>
      <c r="Y60" t="n">
        <v>1001</v>
      </c>
      <c r="Z60" t="n">
        <v>801</v>
      </c>
      <c r="AA60" t="n">
        <v>34.8</v>
      </c>
      <c r="AB60" t="inlineStr">
        <is>
          <t>U0059</t>
        </is>
      </c>
      <c r="AC60" t="inlineStr">
        <is>
          <t>IN</t>
        </is>
      </c>
      <c r="AD60" t="n">
        <v>34.8</v>
      </c>
      <c r="AE60" t="n">
        <v>7.1</v>
      </c>
      <c r="AF60" t="n">
        <v>17.1</v>
      </c>
      <c r="AG60" t="inlineStr">
        <is>
          <t>1:17.1</t>
        </is>
      </c>
      <c r="AH60" t="inlineStr">
        <is>
          <t>7%</t>
        </is>
      </c>
      <c r="AI60" t="n">
        <v>9.800000000000001</v>
      </c>
      <c r="AJ60" t="n">
        <v>10.4</v>
      </c>
    </row>
    <row r="61">
      <c r="A61" t="inlineStr">
        <is>
          <t>Amrita Vishwa Vidyapeetham</t>
        </is>
      </c>
      <c r="B61" t="inlineStr">
        <is>
          <t>India</t>
        </is>
      </c>
      <c r="C61" t="inlineStr">
        <is>
          <t>1001-1200</t>
        </is>
      </c>
      <c r="D61" t="inlineStr"/>
      <c r="E61" t="n">
        <v>5.8</v>
      </c>
      <c r="F61" t="n">
        <v>4.7</v>
      </c>
      <c r="G61" t="n">
        <v>24</v>
      </c>
      <c r="H61" t="n">
        <v>5.7</v>
      </c>
      <c r="I61" t="n">
        <v>35.5</v>
      </c>
      <c r="J61" t="n">
        <v>1.6</v>
      </c>
      <c r="K61" t="n">
        <v>39.7</v>
      </c>
      <c r="L61" t="n">
        <v>1.7</v>
      </c>
      <c r="M61" t="n">
        <v>1.1</v>
      </c>
      <c r="N61" t="inlineStr">
        <is>
          <t>801–1000</t>
        </is>
      </c>
      <c r="O61" t="inlineStr">
        <is>
          <t>32.7–36.9</t>
        </is>
      </c>
      <c r="P61" t="n">
        <v>28.4</v>
      </c>
      <c r="Q61" t="n">
        <v>20.5</v>
      </c>
      <c r="R61" t="n">
        <v>60.8</v>
      </c>
      <c r="S61" t="n">
        <v>41.1</v>
      </c>
      <c r="T61" t="n">
        <v>36.9</v>
      </c>
      <c r="U61" t="inlineStr">
        <is>
          <t>22,085</t>
        </is>
      </c>
      <c r="V61" t="n">
        <v>11.8</v>
      </c>
      <c r="W61" t="inlineStr">
        <is>
          <t>5%</t>
        </is>
      </c>
      <c r="X61" t="inlineStr"/>
      <c r="Y61" t="n">
        <v>1001</v>
      </c>
      <c r="Z61" t="n">
        <v>801</v>
      </c>
      <c r="AA61" t="n">
        <v>34.8</v>
      </c>
      <c r="AB61" t="inlineStr">
        <is>
          <t>U0060</t>
        </is>
      </c>
      <c r="AC61" t="inlineStr">
        <is>
          <t>IN</t>
        </is>
      </c>
      <c r="AD61" t="n">
        <v>34.8</v>
      </c>
      <c r="AE61" t="n">
        <v>5.7</v>
      </c>
      <c r="AF61" t="n">
        <v>11.8</v>
      </c>
      <c r="AG61" t="inlineStr">
        <is>
          <t>1:11.8</t>
        </is>
      </c>
      <c r="AH61" t="inlineStr">
        <is>
          <t>5%</t>
        </is>
      </c>
      <c r="AI61" t="n">
        <v>5.8</v>
      </c>
      <c r="AJ61" t="n">
        <v>14.79</v>
      </c>
    </row>
    <row r="62">
      <c r="A62" t="inlineStr">
        <is>
          <t>An-Najah National University</t>
        </is>
      </c>
      <c r="B62" t="inlineStr">
        <is>
          <t>Palestine</t>
        </is>
      </c>
      <c r="C62" t="inlineStr">
        <is>
          <t>1001-1200</t>
        </is>
      </c>
      <c r="D62" t="inlineStr"/>
      <c r="E62" t="n">
        <v>7.7</v>
      </c>
      <c r="F62" t="n">
        <v>12.1</v>
      </c>
      <c r="G62" t="n">
        <v>7.3</v>
      </c>
      <c r="H62" t="n">
        <v>2.3</v>
      </c>
      <c r="I62" t="n">
        <v>34.6</v>
      </c>
      <c r="J62" t="n">
        <v>24.8</v>
      </c>
      <c r="K62" t="n">
        <v>31.8</v>
      </c>
      <c r="L62" t="n">
        <v>21.8</v>
      </c>
      <c r="M62" t="n">
        <v>1.1</v>
      </c>
      <c r="N62" t="inlineStr">
        <is>
          <t>1001–1200</t>
        </is>
      </c>
      <c r="O62" t="inlineStr">
        <is>
          <t>28.3–32.6</t>
        </is>
      </c>
      <c r="P62" t="n">
        <v>13.3</v>
      </c>
      <c r="Q62" t="n">
        <v>9.800000000000001</v>
      </c>
      <c r="R62" t="n">
        <v>65.40000000000001</v>
      </c>
      <c r="S62" t="n">
        <v>21</v>
      </c>
      <c r="T62" t="n">
        <v>61.2</v>
      </c>
      <c r="U62" t="inlineStr">
        <is>
          <t>24,835</t>
        </is>
      </c>
      <c r="V62" t="n">
        <v>21.7</v>
      </c>
      <c r="W62" t="inlineStr">
        <is>
          <t>11%</t>
        </is>
      </c>
      <c r="X62" t="inlineStr">
        <is>
          <t>66 : 34</t>
        </is>
      </c>
      <c r="Y62" t="n">
        <v>1001</v>
      </c>
      <c r="Z62" t="n">
        <v>1001</v>
      </c>
      <c r="AA62" t="n">
        <v>30.45</v>
      </c>
      <c r="AB62" t="inlineStr">
        <is>
          <t>U0061</t>
        </is>
      </c>
      <c r="AC62" t="inlineStr">
        <is>
          <t>PA</t>
        </is>
      </c>
      <c r="AD62" t="n">
        <v>30.45</v>
      </c>
      <c r="AE62" t="n">
        <v>2.3</v>
      </c>
      <c r="AF62" t="n">
        <v>21.7</v>
      </c>
      <c r="AG62" t="inlineStr">
        <is>
          <t>1:21.7</t>
        </is>
      </c>
      <c r="AH62" t="inlineStr">
        <is>
          <t>11%</t>
        </is>
      </c>
      <c r="AI62" t="n">
        <v>7.7</v>
      </c>
      <c r="AJ62" t="n">
        <v>14.03</v>
      </c>
    </row>
    <row r="63">
      <c r="A63" t="inlineStr">
        <is>
          <t>Anadolu University</t>
        </is>
      </c>
      <c r="B63" t="inlineStr">
        <is>
          <t>Turkey</t>
        </is>
      </c>
      <c r="C63" t="inlineStr">
        <is>
          <t>1201-1400</t>
        </is>
      </c>
      <c r="D63" t="inlineStr"/>
      <c r="E63" t="n">
        <v>4.9</v>
      </c>
      <c r="F63" t="n">
        <v>3.9</v>
      </c>
      <c r="G63" t="n">
        <v>13.1</v>
      </c>
      <c r="H63" t="n">
        <v>2.6</v>
      </c>
      <c r="I63" t="n">
        <v>1.8</v>
      </c>
      <c r="J63" t="n">
        <v>2.9</v>
      </c>
      <c r="K63" t="n">
        <v>17.5</v>
      </c>
      <c r="L63" t="n">
        <v>13.9</v>
      </c>
      <c r="M63" t="n">
        <v>1</v>
      </c>
      <c r="N63" t="inlineStr">
        <is>
          <t>1201–1500</t>
        </is>
      </c>
      <c r="O63" t="inlineStr">
        <is>
          <t>22.8–28.2</t>
        </is>
      </c>
      <c r="P63" t="n">
        <v>22.3</v>
      </c>
      <c r="Q63" t="n">
        <v>11.8</v>
      </c>
      <c r="R63" t="n">
        <v>41.2</v>
      </c>
      <c r="S63" t="n">
        <v>22</v>
      </c>
      <c r="T63" t="n">
        <v>32.7</v>
      </c>
      <c r="U63" t="inlineStr">
        <is>
          <t>21,491</t>
        </is>
      </c>
      <c r="V63" t="n">
        <v>17</v>
      </c>
      <c r="W63" t="inlineStr">
        <is>
          <t>8%</t>
        </is>
      </c>
      <c r="X63" t="inlineStr">
        <is>
          <t>53 : 47</t>
        </is>
      </c>
      <c r="Y63" t="n">
        <v>1201</v>
      </c>
      <c r="Z63" t="n">
        <v>1201</v>
      </c>
      <c r="AA63" t="n">
        <v>25.5</v>
      </c>
      <c r="AB63" t="inlineStr">
        <is>
          <t>U0062</t>
        </is>
      </c>
      <c r="AC63" t="inlineStr">
        <is>
          <t>TU</t>
        </is>
      </c>
      <c r="AD63" t="n">
        <v>25.5</v>
      </c>
      <c r="AE63" t="n">
        <v>2.6</v>
      </c>
      <c r="AF63" t="n">
        <v>17</v>
      </c>
      <c r="AG63" t="inlineStr">
        <is>
          <t>1:17.0</t>
        </is>
      </c>
      <c r="AH63" t="inlineStr">
        <is>
          <t>8%</t>
        </is>
      </c>
      <c r="AI63" t="n">
        <v>4.9</v>
      </c>
      <c r="AJ63" t="n">
        <v>8.27</v>
      </c>
    </row>
    <row r="64">
      <c r="A64" t="inlineStr">
        <is>
          <t>Andhra University</t>
        </is>
      </c>
      <c r="B64" t="inlineStr">
        <is>
          <t>India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1501+</t>
        </is>
      </c>
      <c r="O64" t="inlineStr">
        <is>
          <t>9.7–22.7</t>
        </is>
      </c>
      <c r="P64" t="n">
        <v>38.2</v>
      </c>
      <c r="Q64" t="n">
        <v>10.4</v>
      </c>
      <c r="R64" t="n">
        <v>18.7</v>
      </c>
      <c r="S64" t="n">
        <v>26.1</v>
      </c>
      <c r="T64" t="n">
        <v>24.1</v>
      </c>
      <c r="U64" t="inlineStr">
        <is>
          <t>10,382</t>
        </is>
      </c>
      <c r="V64" t="n">
        <v>14.8</v>
      </c>
      <c r="W64" t="inlineStr">
        <is>
          <t>5%</t>
        </is>
      </c>
      <c r="X64" t="inlineStr">
        <is>
          <t>46 : 54</t>
        </is>
      </c>
      <c r="Y64" t="inlineStr"/>
      <c r="Z64" t="n">
        <v>1501</v>
      </c>
      <c r="AA64" t="n">
        <v>16.2</v>
      </c>
      <c r="AB64" t="inlineStr">
        <is>
          <t>U0063</t>
        </is>
      </c>
      <c r="AC64" t="inlineStr">
        <is>
          <t>IN</t>
        </is>
      </c>
      <c r="AD64" t="n">
        <v>16.2</v>
      </c>
      <c r="AE64" t="n">
        <v>18.7</v>
      </c>
      <c r="AF64" t="n">
        <v>14.8</v>
      </c>
      <c r="AG64" t="inlineStr">
        <is>
          <t>1:14.8</t>
        </is>
      </c>
      <c r="AH64" t="inlineStr">
        <is>
          <t>5%</t>
        </is>
      </c>
      <c r="AI64" t="inlineStr"/>
      <c r="AJ64" t="n">
        <v>10.34</v>
      </c>
    </row>
    <row r="65">
      <c r="A65" t="inlineStr">
        <is>
          <t>Anglia Ruskin University (ARU)</t>
        </is>
      </c>
      <c r="B65" t="inlineStr">
        <is>
          <t>United Kingdom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501–600</t>
        </is>
      </c>
      <c r="O65" t="inlineStr">
        <is>
          <t>41.9–45.3</t>
        </is>
      </c>
      <c r="P65" t="n">
        <v>20.2</v>
      </c>
      <c r="Q65" t="n">
        <v>16.3</v>
      </c>
      <c r="R65" t="n">
        <v>84.8</v>
      </c>
      <c r="S65" t="n">
        <v>19</v>
      </c>
      <c r="T65" t="n">
        <v>94.2</v>
      </c>
      <c r="U65" t="inlineStr">
        <is>
          <t>17,200</t>
        </is>
      </c>
      <c r="V65" t="n">
        <v>24.1</v>
      </c>
      <c r="W65" t="inlineStr">
        <is>
          <t>41%</t>
        </is>
      </c>
      <c r="X65" t="inlineStr">
        <is>
          <t>61 : 39</t>
        </is>
      </c>
      <c r="Y65" t="inlineStr"/>
      <c r="Z65" t="n">
        <v>501</v>
      </c>
      <c r="AA65" t="n">
        <v>43.59999999999999</v>
      </c>
      <c r="AB65" t="inlineStr">
        <is>
          <t>U0064</t>
        </is>
      </c>
      <c r="AC65" t="inlineStr">
        <is>
          <t>UN</t>
        </is>
      </c>
      <c r="AD65" t="n">
        <v>43.59999999999999</v>
      </c>
      <c r="AE65" t="n">
        <v>84.8</v>
      </c>
      <c r="AF65" t="n">
        <v>24.1</v>
      </c>
      <c r="AG65" t="inlineStr">
        <is>
          <t>1:24.1</t>
        </is>
      </c>
      <c r="AH65" t="inlineStr">
        <is>
          <t>41%</t>
        </is>
      </c>
      <c r="AI65" t="inlineStr"/>
      <c r="AJ65" t="n">
        <v>50.41</v>
      </c>
    </row>
    <row r="66">
      <c r="A66" t="inlineStr">
        <is>
          <t>Çankırı Karatekin University</t>
        </is>
      </c>
      <c r="B66" t="inlineStr">
        <is>
          <t>Turkey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1501+</t>
        </is>
      </c>
      <c r="O66" t="inlineStr">
        <is>
          <t>9.7–22.7</t>
        </is>
      </c>
      <c r="P66" t="n">
        <v>12.5</v>
      </c>
      <c r="Q66" t="n">
        <v>9.5</v>
      </c>
      <c r="R66" t="n">
        <v>22.7</v>
      </c>
      <c r="S66" t="n">
        <v>15.6</v>
      </c>
      <c r="T66" t="n">
        <v>41</v>
      </c>
      <c r="U66" t="inlineStr">
        <is>
          <t>10,567</t>
        </is>
      </c>
      <c r="V66" t="n">
        <v>19.9</v>
      </c>
      <c r="W66" t="inlineStr">
        <is>
          <t>20%</t>
        </is>
      </c>
      <c r="X66" t="inlineStr">
        <is>
          <t>53 : 47</t>
        </is>
      </c>
      <c r="Y66" t="inlineStr"/>
      <c r="Z66" t="n">
        <v>1501</v>
      </c>
      <c r="AA66" t="n">
        <v>16.2</v>
      </c>
      <c r="AB66" t="inlineStr">
        <is>
          <t>U0065</t>
        </is>
      </c>
      <c r="AC66" t="inlineStr">
        <is>
          <t>TU</t>
        </is>
      </c>
      <c r="AD66" t="n">
        <v>16.2</v>
      </c>
      <c r="AE66" t="n">
        <v>22.7</v>
      </c>
      <c r="AF66" t="n">
        <v>19.9</v>
      </c>
      <c r="AG66" t="inlineStr">
        <is>
          <t>1:19.9</t>
        </is>
      </c>
      <c r="AH66" t="inlineStr">
        <is>
          <t>20%</t>
        </is>
      </c>
      <c r="AI66" t="inlineStr"/>
      <c r="AJ66" t="n">
        <v>15.17</v>
      </c>
    </row>
    <row r="67">
      <c r="A67" t="inlineStr">
        <is>
          <t>Ankara Üniversitesi</t>
        </is>
      </c>
      <c r="B67" t="inlineStr">
        <is>
          <t>Turkey</t>
        </is>
      </c>
      <c r="C67" t="inlineStr">
        <is>
          <t>801-850</t>
        </is>
      </c>
      <c r="D67" t="inlineStr"/>
      <c r="E67" t="n">
        <v>20.2</v>
      </c>
      <c r="F67" t="n">
        <v>16.8</v>
      </c>
      <c r="G67" t="n">
        <v>7.8</v>
      </c>
      <c r="H67" t="n">
        <v>2.6</v>
      </c>
      <c r="I67" t="n">
        <v>2.3</v>
      </c>
      <c r="J67" t="n">
        <v>4.6</v>
      </c>
      <c r="K67" t="n">
        <v>70.59999999999999</v>
      </c>
      <c r="L67" t="n">
        <v>53.5</v>
      </c>
      <c r="M67" t="n">
        <v>2.9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801</v>
      </c>
      <c r="Z67" t="inlineStr"/>
      <c r="AA67" t="inlineStr"/>
      <c r="AB67" t="inlineStr">
        <is>
          <t>U0066</t>
        </is>
      </c>
      <c r="AC67" t="inlineStr">
        <is>
          <t>TU</t>
        </is>
      </c>
      <c r="AD67" t="inlineStr"/>
      <c r="AE67" t="n">
        <v>2.6</v>
      </c>
      <c r="AF67" t="inlineStr"/>
      <c r="AG67" t="inlineStr"/>
      <c r="AH67" t="inlineStr"/>
      <c r="AI67" t="n">
        <v>20.2</v>
      </c>
      <c r="AJ67" t="n">
        <v>14.18</v>
      </c>
    </row>
    <row r="68">
      <c r="A68" t="inlineStr">
        <is>
          <t>Ankara University</t>
        </is>
      </c>
      <c r="B68" t="inlineStr">
        <is>
          <t>Turkey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1501+</t>
        </is>
      </c>
      <c r="O68" t="inlineStr">
        <is>
          <t>9.7–22.7</t>
        </is>
      </c>
      <c r="P68" t="n">
        <v>18.2</v>
      </c>
      <c r="Q68" t="n">
        <v>11.6</v>
      </c>
      <c r="R68" t="n">
        <v>30.5</v>
      </c>
      <c r="S68" t="n">
        <v>36.6</v>
      </c>
      <c r="T68" t="n">
        <v>34.4</v>
      </c>
      <c r="U68" t="inlineStr">
        <is>
          <t>70,464</t>
        </is>
      </c>
      <c r="V68" t="n">
        <v>27.6</v>
      </c>
      <c r="W68" t="inlineStr">
        <is>
          <t>6%</t>
        </is>
      </c>
      <c r="X68" t="inlineStr">
        <is>
          <t>53 : 47</t>
        </is>
      </c>
      <c r="Y68" t="inlineStr"/>
      <c r="Z68" t="n">
        <v>1501</v>
      </c>
      <c r="AA68" t="n">
        <v>16.2</v>
      </c>
      <c r="AB68" t="inlineStr">
        <is>
          <t>U0067</t>
        </is>
      </c>
      <c r="AC68" t="inlineStr">
        <is>
          <t>TU</t>
        </is>
      </c>
      <c r="AD68" t="n">
        <v>16.2</v>
      </c>
      <c r="AE68" t="n">
        <v>30.5</v>
      </c>
      <c r="AF68" t="n">
        <v>27.6</v>
      </c>
      <c r="AG68" t="inlineStr">
        <is>
          <t>1:27.6</t>
        </is>
      </c>
      <c r="AH68" t="inlineStr">
        <is>
          <t>6%</t>
        </is>
      </c>
      <c r="AI68" t="inlineStr"/>
      <c r="AJ68" t="n">
        <v>17.03</v>
      </c>
    </row>
    <row r="69">
      <c r="A69" t="inlineStr">
        <is>
          <t>Ankara Yildirim Beyazit University</t>
        </is>
      </c>
      <c r="B69" t="inlineStr">
        <is>
          <t>Turkey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1501+</t>
        </is>
      </c>
      <c r="O69" t="inlineStr">
        <is>
          <t>9.7–22.7</t>
        </is>
      </c>
      <c r="P69" t="n">
        <v>19.2</v>
      </c>
      <c r="Q69" t="n">
        <v>12.6</v>
      </c>
      <c r="R69" t="n">
        <v>23.1</v>
      </c>
      <c r="S69" t="n">
        <v>17.3</v>
      </c>
      <c r="T69" t="n">
        <v>35.4</v>
      </c>
      <c r="U69" t="inlineStr">
        <is>
          <t>21,060</t>
        </is>
      </c>
      <c r="V69" t="n">
        <v>23.3</v>
      </c>
      <c r="W69" t="inlineStr">
        <is>
          <t>12%</t>
        </is>
      </c>
      <c r="X69" t="inlineStr">
        <is>
          <t>54 : 46</t>
        </is>
      </c>
      <c r="Y69" t="inlineStr"/>
      <c r="Z69" t="n">
        <v>1501</v>
      </c>
      <c r="AA69" t="n">
        <v>16.2</v>
      </c>
      <c r="AB69" t="inlineStr">
        <is>
          <t>U0068</t>
        </is>
      </c>
      <c r="AC69" t="inlineStr">
        <is>
          <t>TU</t>
        </is>
      </c>
      <c r="AD69" t="n">
        <v>16.2</v>
      </c>
      <c r="AE69" t="n">
        <v>23.1</v>
      </c>
      <c r="AF69" t="n">
        <v>23.3</v>
      </c>
      <c r="AG69" t="inlineStr">
        <is>
          <t>1:23.3</t>
        </is>
      </c>
      <c r="AH69" t="inlineStr">
        <is>
          <t>12%</t>
        </is>
      </c>
      <c r="AI69" t="inlineStr"/>
      <c r="AJ69" t="n">
        <v>15.56</v>
      </c>
    </row>
    <row r="70">
      <c r="A70" t="inlineStr">
        <is>
          <t>Anna University</t>
        </is>
      </c>
      <c r="B70" t="inlineStr">
        <is>
          <t>India</t>
        </is>
      </c>
      <c r="C70" t="inlineStr">
        <is>
          <t>383</t>
        </is>
      </c>
      <c r="D70" t="n">
        <v>30.6</v>
      </c>
      <c r="E70" t="n">
        <v>10</v>
      </c>
      <c r="F70" t="n">
        <v>12</v>
      </c>
      <c r="G70" t="n">
        <v>5.5</v>
      </c>
      <c r="H70" t="n">
        <v>100</v>
      </c>
      <c r="I70" t="inlineStr"/>
      <c r="J70" t="n">
        <v>1.3</v>
      </c>
      <c r="K70" t="n">
        <v>89.2</v>
      </c>
      <c r="L70" t="n">
        <v>5.9</v>
      </c>
      <c r="M70" t="n">
        <v>24.7</v>
      </c>
      <c r="N70" t="inlineStr">
        <is>
          <t>501–600</t>
        </is>
      </c>
      <c r="O70" t="inlineStr">
        <is>
          <t>41.9–45.3</t>
        </is>
      </c>
      <c r="P70" t="n">
        <v>32</v>
      </c>
      <c r="Q70" t="n">
        <v>26.3</v>
      </c>
      <c r="R70" t="n">
        <v>72.40000000000001</v>
      </c>
      <c r="S70" t="n">
        <v>51</v>
      </c>
      <c r="T70" t="n">
        <v>20.4</v>
      </c>
      <c r="U70" t="inlineStr">
        <is>
          <t>12,824</t>
        </is>
      </c>
      <c r="V70" t="n">
        <v>13.1</v>
      </c>
      <c r="W70" t="inlineStr">
        <is>
          <t>1%</t>
        </is>
      </c>
      <c r="X70" t="inlineStr">
        <is>
          <t>41 : 59</t>
        </is>
      </c>
      <c r="Y70" t="n">
        <v>383</v>
      </c>
      <c r="Z70" t="n">
        <v>501</v>
      </c>
      <c r="AA70" t="n">
        <v>43.59999999999999</v>
      </c>
      <c r="AB70" t="inlineStr">
        <is>
          <t>U0069</t>
        </is>
      </c>
      <c r="AC70" t="inlineStr">
        <is>
          <t>IN</t>
        </is>
      </c>
      <c r="AD70" t="n">
        <v>30.6</v>
      </c>
      <c r="AE70" t="n">
        <v>100</v>
      </c>
      <c r="AF70" t="n">
        <v>13.1</v>
      </c>
      <c r="AG70" t="inlineStr">
        <is>
          <t>1:13.1</t>
        </is>
      </c>
      <c r="AH70" t="inlineStr">
        <is>
          <t>1%</t>
        </is>
      </c>
      <c r="AI70" t="n">
        <v>10</v>
      </c>
      <c r="AJ70" t="n">
        <v>42.41</v>
      </c>
    </row>
    <row r="71">
      <c r="A71" t="inlineStr">
        <is>
          <t>Annamalai University</t>
        </is>
      </c>
      <c r="B71" t="inlineStr">
        <is>
          <t>India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1501+</t>
        </is>
      </c>
      <c r="O71" t="inlineStr">
        <is>
          <t>9.7–22.7</t>
        </is>
      </c>
      <c r="P71" t="n">
        <v>35.5</v>
      </c>
      <c r="Q71" t="n">
        <v>9.6</v>
      </c>
      <c r="R71" t="n">
        <v>20</v>
      </c>
      <c r="S71" t="n">
        <v>22.2</v>
      </c>
      <c r="T71" t="n">
        <v>20.1</v>
      </c>
      <c r="U71" t="inlineStr">
        <is>
          <t>18,360</t>
        </is>
      </c>
      <c r="V71" t="n">
        <v>13.6</v>
      </c>
      <c r="W71" t="inlineStr">
        <is>
          <t>0%</t>
        </is>
      </c>
      <c r="X71" t="inlineStr">
        <is>
          <t>48 : 52</t>
        </is>
      </c>
      <c r="Y71" t="inlineStr"/>
      <c r="Z71" t="n">
        <v>1501</v>
      </c>
      <c r="AA71" t="n">
        <v>16.2</v>
      </c>
      <c r="AB71" t="inlineStr">
        <is>
          <t>U0070</t>
        </is>
      </c>
      <c r="AC71" t="inlineStr">
        <is>
          <t>IN</t>
        </is>
      </c>
      <c r="AD71" t="n">
        <v>16.2</v>
      </c>
      <c r="AE71" t="n">
        <v>20</v>
      </c>
      <c r="AF71" t="n">
        <v>13.6</v>
      </c>
      <c r="AG71" t="inlineStr">
        <is>
          <t>1:13.6</t>
        </is>
      </c>
      <c r="AH71" t="inlineStr">
        <is>
          <t>0%</t>
        </is>
      </c>
      <c r="AI71" t="inlineStr"/>
      <c r="AJ71" t="n">
        <v>9.35</v>
      </c>
    </row>
    <row r="72">
      <c r="A72" t="inlineStr">
        <is>
          <t>Antonio Nariño University</t>
        </is>
      </c>
      <c r="B72" t="inlineStr">
        <is>
          <t>Colombia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1501+</t>
        </is>
      </c>
      <c r="O72" t="inlineStr">
        <is>
          <t>9.7–22.7</t>
        </is>
      </c>
      <c r="P72" t="n">
        <v>16.6</v>
      </c>
      <c r="Q72" t="n">
        <v>7.9</v>
      </c>
      <c r="R72" t="n">
        <v>33.1</v>
      </c>
      <c r="S72" t="n">
        <v>16</v>
      </c>
      <c r="T72" t="n">
        <v>51.5</v>
      </c>
      <c r="U72" t="inlineStr">
        <is>
          <t>13,691</t>
        </is>
      </c>
      <c r="V72" t="n">
        <v>14.1</v>
      </c>
      <c r="W72" t="inlineStr">
        <is>
          <t>2%</t>
        </is>
      </c>
      <c r="X72" t="inlineStr">
        <is>
          <t>55 : 45</t>
        </is>
      </c>
      <c r="Y72" t="inlineStr"/>
      <c r="Z72" t="n">
        <v>1501</v>
      </c>
      <c r="AA72" t="n">
        <v>16.2</v>
      </c>
      <c r="AB72" t="inlineStr">
        <is>
          <t>U0071</t>
        </is>
      </c>
      <c r="AC72" t="inlineStr">
        <is>
          <t>CO</t>
        </is>
      </c>
      <c r="AD72" t="n">
        <v>16.2</v>
      </c>
      <c r="AE72" t="n">
        <v>33.1</v>
      </c>
      <c r="AF72" t="n">
        <v>14.1</v>
      </c>
      <c r="AG72" t="inlineStr">
        <is>
          <t>1:14.1</t>
        </is>
      </c>
      <c r="AH72" t="inlineStr">
        <is>
          <t>2%</t>
        </is>
      </c>
      <c r="AI72" t="inlineStr"/>
      <c r="AJ72" t="n">
        <v>20.02</v>
      </c>
    </row>
    <row r="73">
      <c r="A73" t="inlineStr">
        <is>
          <t>Aoyama Gakuin University</t>
        </is>
      </c>
      <c r="B73" t="inlineStr">
        <is>
          <t>Japan</t>
        </is>
      </c>
      <c r="C73" t="inlineStr">
        <is>
          <t>1201-1400</t>
        </is>
      </c>
      <c r="D73" t="inlineStr"/>
      <c r="E73" t="n">
        <v>7</v>
      </c>
      <c r="F73" t="n">
        <v>10.9</v>
      </c>
      <c r="G73" t="n">
        <v>5.2</v>
      </c>
      <c r="H73" t="n">
        <v>1.8</v>
      </c>
      <c r="I73" t="n">
        <v>15.4</v>
      </c>
      <c r="J73" t="n">
        <v>2.5</v>
      </c>
      <c r="K73" t="n">
        <v>6.2</v>
      </c>
      <c r="L73" t="n">
        <v>9.5</v>
      </c>
      <c r="M73" t="n">
        <v>1</v>
      </c>
      <c r="N73" t="inlineStr">
        <is>
          <t>1501+</t>
        </is>
      </c>
      <c r="O73" t="inlineStr">
        <is>
          <t>9.7–22.7</t>
        </is>
      </c>
      <c r="P73" t="n">
        <v>20</v>
      </c>
      <c r="Q73" t="n">
        <v>8.9</v>
      </c>
      <c r="R73" t="n">
        <v>10.4</v>
      </c>
      <c r="S73" t="n">
        <v>22.2</v>
      </c>
      <c r="T73" t="n">
        <v>36.2</v>
      </c>
      <c r="U73" t="inlineStr">
        <is>
          <t>19,692</t>
        </is>
      </c>
      <c r="V73" t="n">
        <v>12.2</v>
      </c>
      <c r="W73" t="inlineStr">
        <is>
          <t>3%</t>
        </is>
      </c>
      <c r="X73" t="inlineStr">
        <is>
          <t>49 : 51</t>
        </is>
      </c>
      <c r="Y73" t="n">
        <v>1201</v>
      </c>
      <c r="Z73" t="n">
        <v>1501</v>
      </c>
      <c r="AA73" t="n">
        <v>16.2</v>
      </c>
      <c r="AB73" t="inlineStr">
        <is>
          <t>U0072</t>
        </is>
      </c>
      <c r="AC73" t="inlineStr">
        <is>
          <t>JA</t>
        </is>
      </c>
      <c r="AD73" t="n">
        <v>16.2</v>
      </c>
      <c r="AE73" t="n">
        <v>1.8</v>
      </c>
      <c r="AF73" t="n">
        <v>12.2</v>
      </c>
      <c r="AG73" t="inlineStr">
        <is>
          <t>1:12.2</t>
        </is>
      </c>
      <c r="AH73" t="inlineStr">
        <is>
          <t>3%</t>
        </is>
      </c>
      <c r="AI73" t="n">
        <v>7</v>
      </c>
      <c r="AJ73" t="n">
        <v>7.36</v>
      </c>
    </row>
    <row r="74">
      <c r="A74" t="inlineStr">
        <is>
          <t>Applied Science Private University - Jordan</t>
        </is>
      </c>
      <c r="B74" t="inlineStr">
        <is>
          <t>Jordan</t>
        </is>
      </c>
      <c r="C74" t="inlineStr">
        <is>
          <t>851-900</t>
        </is>
      </c>
      <c r="D74" t="inlineStr"/>
      <c r="E74" t="n">
        <v>9.9</v>
      </c>
      <c r="F74" t="n">
        <v>15.7</v>
      </c>
      <c r="G74" t="n">
        <v>28.6</v>
      </c>
      <c r="H74" t="n">
        <v>3.1</v>
      </c>
      <c r="I74" t="n">
        <v>39.3</v>
      </c>
      <c r="J74" t="n">
        <v>59.7</v>
      </c>
      <c r="K74" t="n">
        <v>10.4</v>
      </c>
      <c r="L74" t="n">
        <v>4.6</v>
      </c>
      <c r="M74" t="n">
        <v>1.8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851</v>
      </c>
      <c r="Z74" t="inlineStr"/>
      <c r="AA74" t="inlineStr"/>
      <c r="AB74" t="inlineStr">
        <is>
          <t>U0073</t>
        </is>
      </c>
      <c r="AC74" t="inlineStr">
        <is>
          <t>JO</t>
        </is>
      </c>
      <c r="AD74" t="inlineStr"/>
      <c r="AE74" t="n">
        <v>3.1</v>
      </c>
      <c r="AF74" t="inlineStr"/>
      <c r="AG74" t="inlineStr"/>
      <c r="AH74" t="inlineStr"/>
      <c r="AI74" t="n">
        <v>9.9</v>
      </c>
      <c r="AJ74" t="n">
        <v>14.33</v>
      </c>
    </row>
    <row r="75">
      <c r="A75" t="inlineStr">
        <is>
          <t>Applied Science University - Bahrain</t>
        </is>
      </c>
      <c r="B75" t="inlineStr">
        <is>
          <t>Bahrain</t>
        </is>
      </c>
      <c r="C75" t="inlineStr">
        <is>
          <t>539</t>
        </is>
      </c>
      <c r="D75" t="n">
        <v>22.8</v>
      </c>
      <c r="E75" t="n">
        <v>23.5</v>
      </c>
      <c r="F75" t="n">
        <v>25</v>
      </c>
      <c r="G75" t="n">
        <v>39.3</v>
      </c>
      <c r="H75" t="n">
        <v>2</v>
      </c>
      <c r="I75" t="n">
        <v>100</v>
      </c>
      <c r="J75" t="n">
        <v>46.8</v>
      </c>
      <c r="K75" t="n">
        <v>13.3</v>
      </c>
      <c r="L75" t="n">
        <v>11.3</v>
      </c>
      <c r="M75" t="n">
        <v>1.7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539</v>
      </c>
      <c r="Z75" t="inlineStr"/>
      <c r="AA75" t="inlineStr"/>
      <c r="AB75" t="inlineStr">
        <is>
          <t>U0074</t>
        </is>
      </c>
      <c r="AC75" t="inlineStr">
        <is>
          <t>BA</t>
        </is>
      </c>
      <c r="AD75" t="n">
        <v>22.8</v>
      </c>
      <c r="AE75" t="n">
        <v>2</v>
      </c>
      <c r="AF75" t="inlineStr"/>
      <c r="AG75" t="inlineStr"/>
      <c r="AH75" t="inlineStr"/>
      <c r="AI75" t="n">
        <v>23.5</v>
      </c>
      <c r="AJ75" t="n">
        <v>13.99</v>
      </c>
    </row>
    <row r="76">
      <c r="A76" t="inlineStr">
        <is>
          <t>Arab Academy for Science, Technology and Maritime Transport</t>
        </is>
      </c>
      <c r="B76" t="inlineStr">
        <is>
          <t>Egypt</t>
        </is>
      </c>
      <c r="C76" t="inlineStr">
        <is>
          <t>1001-1200</t>
        </is>
      </c>
      <c r="D76" t="inlineStr"/>
      <c r="E76" t="n">
        <v>7.4</v>
      </c>
      <c r="F76" t="n">
        <v>8.4</v>
      </c>
      <c r="G76" t="n">
        <v>33</v>
      </c>
      <c r="H76" t="n">
        <v>1.5</v>
      </c>
      <c r="I76" t="n">
        <v>6.8</v>
      </c>
      <c r="J76" t="n">
        <v>20.4</v>
      </c>
      <c r="K76" t="n">
        <v>29.8</v>
      </c>
      <c r="L76" t="n">
        <v>11.4</v>
      </c>
      <c r="M76" t="n">
        <v>1.6</v>
      </c>
      <c r="N76" t="inlineStr">
        <is>
          <t>1201–1500</t>
        </is>
      </c>
      <c r="O76" t="inlineStr">
        <is>
          <t>22.8–28.2</t>
        </is>
      </c>
      <c r="P76" t="n">
        <v>28.1</v>
      </c>
      <c r="Q76" t="n">
        <v>12.3</v>
      </c>
      <c r="R76" t="n">
        <v>32.9</v>
      </c>
      <c r="S76" t="n">
        <v>22.6</v>
      </c>
      <c r="T76" t="n">
        <v>53.3</v>
      </c>
      <c r="U76" t="inlineStr">
        <is>
          <t>37,942</t>
        </is>
      </c>
      <c r="V76" t="n">
        <v>13.9</v>
      </c>
      <c r="W76" t="inlineStr">
        <is>
          <t>10%</t>
        </is>
      </c>
      <c r="X76" t="inlineStr">
        <is>
          <t>32 : 68</t>
        </is>
      </c>
      <c r="Y76" t="n">
        <v>1001</v>
      </c>
      <c r="Z76" t="n">
        <v>1201</v>
      </c>
      <c r="AA76" t="n">
        <v>25.5</v>
      </c>
      <c r="AB76" t="inlineStr">
        <is>
          <t>U0075</t>
        </is>
      </c>
      <c r="AC76" t="inlineStr">
        <is>
          <t>EG</t>
        </is>
      </c>
      <c r="AD76" t="n">
        <v>25.5</v>
      </c>
      <c r="AE76" t="n">
        <v>1.5</v>
      </c>
      <c r="AF76" t="n">
        <v>13.9</v>
      </c>
      <c r="AG76" t="inlineStr">
        <is>
          <t>1:13.9</t>
        </is>
      </c>
      <c r="AH76" t="inlineStr">
        <is>
          <t>10%</t>
        </is>
      </c>
      <c r="AI76" t="n">
        <v>7.4</v>
      </c>
      <c r="AJ76" t="n">
        <v>13.18</v>
      </c>
    </row>
    <row r="77">
      <c r="A77" t="inlineStr">
        <is>
          <t>Arak University</t>
        </is>
      </c>
      <c r="B77" t="inlineStr">
        <is>
          <t>Iran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1501+</t>
        </is>
      </c>
      <c r="O77" t="inlineStr">
        <is>
          <t>9.7–22.7</t>
        </is>
      </c>
      <c r="P77" t="n">
        <v>19.5</v>
      </c>
      <c r="Q77" t="n">
        <v>11.2</v>
      </c>
      <c r="R77" t="n">
        <v>32.7</v>
      </c>
      <c r="S77" t="n">
        <v>20.1</v>
      </c>
      <c r="T77" t="n">
        <v>26.3</v>
      </c>
      <c r="U77" t="inlineStr">
        <is>
          <t>7,506</t>
        </is>
      </c>
      <c r="V77" t="n">
        <v>18.7</v>
      </c>
      <c r="W77" t="inlineStr">
        <is>
          <t>5%</t>
        </is>
      </c>
      <c r="X77" t="inlineStr">
        <is>
          <t>58 : 42</t>
        </is>
      </c>
      <c r="Y77" t="inlineStr"/>
      <c r="Z77" t="n">
        <v>1501</v>
      </c>
      <c r="AA77" t="n">
        <v>16.2</v>
      </c>
      <c r="AB77" t="inlineStr">
        <is>
          <t>U0076</t>
        </is>
      </c>
      <c r="AC77" t="inlineStr">
        <is>
          <t>IR</t>
        </is>
      </c>
      <c r="AD77" t="n">
        <v>16.2</v>
      </c>
      <c r="AE77" t="n">
        <v>32.7</v>
      </c>
      <c r="AF77" t="n">
        <v>18.7</v>
      </c>
      <c r="AG77" t="inlineStr">
        <is>
          <t>1:18.7</t>
        </is>
      </c>
      <c r="AH77" t="inlineStr">
        <is>
          <t>5%</t>
        </is>
      </c>
      <c r="AI77" t="inlineStr"/>
      <c r="AJ77" t="n">
        <v>15.53</v>
      </c>
    </row>
    <row r="78">
      <c r="A78" t="inlineStr">
        <is>
          <t>Arak University of Medical Sciences</t>
        </is>
      </c>
      <c r="B78" t="inlineStr">
        <is>
          <t>Iran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801–1000</t>
        </is>
      </c>
      <c r="O78" t="inlineStr">
        <is>
          <t>32.7–36.9</t>
        </is>
      </c>
      <c r="P78" t="n">
        <v>31.7</v>
      </c>
      <c r="Q78" t="n">
        <v>10.2</v>
      </c>
      <c r="R78" t="n">
        <v>66.40000000000001</v>
      </c>
      <c r="S78" t="n">
        <v>18.9</v>
      </c>
      <c r="T78" t="n">
        <v>21.2</v>
      </c>
      <c r="U78" t="inlineStr">
        <is>
          <t>3,545</t>
        </is>
      </c>
      <c r="V78" t="n">
        <v>7.4</v>
      </c>
      <c r="W78" t="inlineStr">
        <is>
          <t>2%</t>
        </is>
      </c>
      <c r="X78" t="inlineStr">
        <is>
          <t>55 : 45</t>
        </is>
      </c>
      <c r="Y78" t="inlineStr"/>
      <c r="Z78" t="n">
        <v>801</v>
      </c>
      <c r="AA78" t="n">
        <v>34.8</v>
      </c>
      <c r="AB78" t="inlineStr">
        <is>
          <t>U0077</t>
        </is>
      </c>
      <c r="AC78" t="inlineStr">
        <is>
          <t>IR</t>
        </is>
      </c>
      <c r="AD78" t="n">
        <v>34.8</v>
      </c>
      <c r="AE78" t="n">
        <v>66.40000000000001</v>
      </c>
      <c r="AF78" t="n">
        <v>7.4</v>
      </c>
      <c r="AG78" t="inlineStr">
        <is>
          <t>1:7.4</t>
        </is>
      </c>
      <c r="AH78" t="inlineStr">
        <is>
          <t>2%</t>
        </is>
      </c>
      <c r="AI78" t="inlineStr"/>
      <c r="AJ78" t="n">
        <v>23.99</v>
      </c>
    </row>
    <row r="79">
      <c r="A79" t="inlineStr">
        <is>
          <t>Ariel University</t>
        </is>
      </c>
      <c r="B79" t="inlineStr">
        <is>
          <t>Israel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1201–1500</t>
        </is>
      </c>
      <c r="O79" t="inlineStr">
        <is>
          <t>22.8–28.2</t>
        </is>
      </c>
      <c r="P79" t="n">
        <v>15.6</v>
      </c>
      <c r="Q79" t="n">
        <v>18.9</v>
      </c>
      <c r="R79" t="n">
        <v>37</v>
      </c>
      <c r="S79" t="n">
        <v>25.9</v>
      </c>
      <c r="T79" t="n">
        <v>30.9</v>
      </c>
      <c r="U79" t="inlineStr">
        <is>
          <t>14,234</t>
        </is>
      </c>
      <c r="V79" t="n">
        <v>21.4</v>
      </c>
      <c r="W79" t="inlineStr">
        <is>
          <t>0%</t>
        </is>
      </c>
      <c r="X79" t="inlineStr">
        <is>
          <t>48 : 52</t>
        </is>
      </c>
      <c r="Y79" t="inlineStr"/>
      <c r="Z79" t="n">
        <v>1201</v>
      </c>
      <c r="AA79" t="n">
        <v>25.5</v>
      </c>
      <c r="AB79" t="inlineStr">
        <is>
          <t>U0078</t>
        </is>
      </c>
      <c r="AC79" t="inlineStr">
        <is>
          <t>IS</t>
        </is>
      </c>
      <c r="AD79" t="n">
        <v>25.5</v>
      </c>
      <c r="AE79" t="n">
        <v>37</v>
      </c>
      <c r="AF79" t="n">
        <v>21.4</v>
      </c>
      <c r="AG79" t="inlineStr">
        <is>
          <t>1:21.4</t>
        </is>
      </c>
      <c r="AH79" t="inlineStr">
        <is>
          <t>0%</t>
        </is>
      </c>
      <c r="AI79" t="inlineStr"/>
      <c r="AJ79" t="n">
        <v>21.98</v>
      </c>
    </row>
    <row r="80">
      <c r="A80" t="inlineStr">
        <is>
          <t>Aristotle University of Thessaloniki</t>
        </is>
      </c>
      <c r="B80" t="inlineStr">
        <is>
          <t>Greece</t>
        </is>
      </c>
      <c r="C80" t="inlineStr">
        <is>
          <t>508</t>
        </is>
      </c>
      <c r="D80" t="n">
        <v>23.9</v>
      </c>
      <c r="E80" t="n">
        <v>28.2</v>
      </c>
      <c r="F80" t="n">
        <v>26.1</v>
      </c>
      <c r="G80" t="n">
        <v>4.3</v>
      </c>
      <c r="H80" t="n">
        <v>15.8</v>
      </c>
      <c r="I80" t="n">
        <v>1.7</v>
      </c>
      <c r="J80" t="n">
        <v>4.1</v>
      </c>
      <c r="K80" t="n">
        <v>90.5</v>
      </c>
      <c r="L80" t="n">
        <v>38.3</v>
      </c>
      <c r="M80" t="n">
        <v>44.3</v>
      </c>
      <c r="N80" t="inlineStr">
        <is>
          <t>801–1000</t>
        </is>
      </c>
      <c r="O80" t="inlineStr">
        <is>
          <t>32.7–36.9</t>
        </is>
      </c>
      <c r="P80" t="n">
        <v>22.3</v>
      </c>
      <c r="Q80" t="n">
        <v>16.8</v>
      </c>
      <c r="R80" t="n">
        <v>66.3</v>
      </c>
      <c r="S80" t="n">
        <v>52.7</v>
      </c>
      <c r="T80" t="n">
        <v>38.1</v>
      </c>
      <c r="U80" t="inlineStr">
        <is>
          <t>49,654</t>
        </is>
      </c>
      <c r="V80" t="n">
        <v>18.2</v>
      </c>
      <c r="W80" t="inlineStr">
        <is>
          <t>5%</t>
        </is>
      </c>
      <c r="X80" t="inlineStr">
        <is>
          <t>58 : 42</t>
        </is>
      </c>
      <c r="Y80" t="n">
        <v>508</v>
      </c>
      <c r="Z80" t="n">
        <v>801</v>
      </c>
      <c r="AA80" t="n">
        <v>34.8</v>
      </c>
      <c r="AB80" t="inlineStr">
        <is>
          <t>U0079</t>
        </is>
      </c>
      <c r="AC80" t="inlineStr">
        <is>
          <t>GR</t>
        </is>
      </c>
      <c r="AD80" t="n">
        <v>23.9</v>
      </c>
      <c r="AE80" t="n">
        <v>15.8</v>
      </c>
      <c r="AF80" t="n">
        <v>18.2</v>
      </c>
      <c r="AG80" t="inlineStr">
        <is>
          <t>1:18.2</t>
        </is>
      </c>
      <c r="AH80" t="inlineStr">
        <is>
          <t>5%</t>
        </is>
      </c>
      <c r="AI80" t="n">
        <v>28.2</v>
      </c>
      <c r="AJ80" t="n">
        <v>16.2</v>
      </c>
    </row>
    <row r="81">
      <c r="A81" t="inlineStr">
        <is>
          <t>Arizona State University</t>
        </is>
      </c>
      <c r="B81" t="inlineStr">
        <is>
          <t>United States</t>
        </is>
      </c>
      <c r="C81" t="inlineStr">
        <is>
          <t>200</t>
        </is>
      </c>
      <c r="D81" t="n">
        <v>46.2</v>
      </c>
      <c r="E81" t="n">
        <v>48.6</v>
      </c>
      <c r="F81" t="n">
        <v>44.1</v>
      </c>
      <c r="G81" t="n">
        <v>7.4</v>
      </c>
      <c r="H81" t="n">
        <v>47.1</v>
      </c>
      <c r="I81" t="n">
        <v>52.1</v>
      </c>
      <c r="J81" t="n">
        <v>37.2</v>
      </c>
      <c r="K81" t="n">
        <v>95.7</v>
      </c>
      <c r="L81" t="n">
        <v>23.6</v>
      </c>
      <c r="M81" t="n">
        <v>96.3</v>
      </c>
      <c r="N81" t="inlineStr">
        <is>
          <t>182</t>
        </is>
      </c>
      <c r="O81" t="inlineStr">
        <is>
          <t>59.9</t>
        </is>
      </c>
      <c r="P81" t="n">
        <v>40.9</v>
      </c>
      <c r="Q81" t="n">
        <v>46.2</v>
      </c>
      <c r="R81" t="n">
        <v>87.5</v>
      </c>
      <c r="S81" t="n">
        <v>71.5</v>
      </c>
      <c r="T81" t="n">
        <v>71.7</v>
      </c>
      <c r="U81" t="inlineStr">
        <is>
          <t>48,870</t>
        </is>
      </c>
      <c r="V81" t="n">
        <v>19.7</v>
      </c>
      <c r="W81" t="inlineStr">
        <is>
          <t>14%</t>
        </is>
      </c>
      <c r="X81" t="inlineStr">
        <is>
          <t>46 : 54</t>
        </is>
      </c>
      <c r="Y81" t="n">
        <v>200</v>
      </c>
      <c r="Z81" t="n">
        <v>182</v>
      </c>
      <c r="AA81" t="n">
        <v>59.9</v>
      </c>
      <c r="AB81" t="inlineStr">
        <is>
          <t>U0080</t>
        </is>
      </c>
      <c r="AC81" t="inlineStr">
        <is>
          <t>UN</t>
        </is>
      </c>
      <c r="AD81" t="n">
        <v>46.2</v>
      </c>
      <c r="AE81" t="n">
        <v>47.1</v>
      </c>
      <c r="AF81" t="n">
        <v>19.7</v>
      </c>
      <c r="AG81" t="inlineStr">
        <is>
          <t>1:19.7</t>
        </is>
      </c>
      <c r="AH81" t="inlineStr">
        <is>
          <t>14%</t>
        </is>
      </c>
      <c r="AI81" t="n">
        <v>48.6</v>
      </c>
      <c r="AJ81" t="n">
        <v>49.22</v>
      </c>
    </row>
    <row r="82">
      <c r="A82" t="inlineStr">
        <is>
          <t>Arts et Métiers</t>
        </is>
      </c>
      <c r="B82" t="inlineStr">
        <is>
          <t>France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801–1000</t>
        </is>
      </c>
      <c r="O82" t="inlineStr">
        <is>
          <t>32.7–36.9</t>
        </is>
      </c>
      <c r="P82" t="n">
        <v>31.1</v>
      </c>
      <c r="Q82" t="n">
        <v>19.5</v>
      </c>
      <c r="R82" t="n">
        <v>35.2</v>
      </c>
      <c r="S82" t="n">
        <v>67.7</v>
      </c>
      <c r="T82" t="n">
        <v>67</v>
      </c>
      <c r="U82" t="inlineStr">
        <is>
          <t>5,970</t>
        </is>
      </c>
      <c r="V82" t="n">
        <v>16.3</v>
      </c>
      <c r="W82" t="inlineStr">
        <is>
          <t>12%</t>
        </is>
      </c>
      <c r="X82" t="inlineStr">
        <is>
          <t>18 : 82</t>
        </is>
      </c>
      <c r="Y82" t="inlineStr"/>
      <c r="Z82" t="n">
        <v>801</v>
      </c>
      <c r="AA82" t="n">
        <v>34.8</v>
      </c>
      <c r="AB82" t="inlineStr">
        <is>
          <t>U0081</t>
        </is>
      </c>
      <c r="AC82" t="inlineStr">
        <is>
          <t>FR</t>
        </is>
      </c>
      <c r="AD82" t="n">
        <v>34.8</v>
      </c>
      <c r="AE82" t="n">
        <v>35.2</v>
      </c>
      <c r="AF82" t="n">
        <v>16.3</v>
      </c>
      <c r="AG82" t="inlineStr">
        <is>
          <t>1:16.3</t>
        </is>
      </c>
      <c r="AH82" t="inlineStr">
        <is>
          <t>12%</t>
        </is>
      </c>
      <c r="AI82" t="inlineStr"/>
      <c r="AJ82" t="n">
        <v>30.48</v>
      </c>
    </row>
    <row r="83">
      <c r="A83" t="inlineStr">
        <is>
          <t>Asia Pacific University of Technology and Innovation (APU)</t>
        </is>
      </c>
      <c r="B83" t="inlineStr">
        <is>
          <t>Malaysia</t>
        </is>
      </c>
      <c r="C83" t="inlineStr">
        <is>
          <t>611-620</t>
        </is>
      </c>
      <c r="D83" t="inlineStr"/>
      <c r="E83" t="n">
        <v>9.300000000000001</v>
      </c>
      <c r="F83" t="n">
        <v>12.5</v>
      </c>
      <c r="G83" t="n">
        <v>62.2</v>
      </c>
      <c r="H83" t="n">
        <v>1.6</v>
      </c>
      <c r="I83" t="n">
        <v>92</v>
      </c>
      <c r="J83" t="n">
        <v>100</v>
      </c>
      <c r="K83" t="n">
        <v>6.8</v>
      </c>
      <c r="L83" t="n">
        <v>4</v>
      </c>
      <c r="M83" t="n">
        <v>1.6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611</v>
      </c>
      <c r="Z83" t="inlineStr"/>
      <c r="AA83" t="inlineStr"/>
      <c r="AB83" t="inlineStr">
        <is>
          <t>U0082</t>
        </is>
      </c>
      <c r="AC83" t="inlineStr">
        <is>
          <t>MA</t>
        </is>
      </c>
      <c r="AD83" t="inlineStr"/>
      <c r="AE83" t="n">
        <v>1.6</v>
      </c>
      <c r="AF83" t="inlineStr"/>
      <c r="AG83" t="inlineStr"/>
      <c r="AH83" t="inlineStr"/>
      <c r="AI83" t="n">
        <v>9.300000000000001</v>
      </c>
      <c r="AJ83" t="n">
        <v>13.87</v>
      </c>
    </row>
    <row r="84">
      <c r="A84" t="inlineStr">
        <is>
          <t>Asia University Taiwan</t>
        </is>
      </c>
      <c r="B84" t="inlineStr">
        <is>
          <t>Taiwan</t>
        </is>
      </c>
      <c r="C84" t="inlineStr">
        <is>
          <t>801-850</t>
        </is>
      </c>
      <c r="D84" t="inlineStr"/>
      <c r="E84" t="n">
        <v>5.9</v>
      </c>
      <c r="F84" t="n">
        <v>1.8</v>
      </c>
      <c r="G84" t="n">
        <v>3.6</v>
      </c>
      <c r="H84" t="n">
        <v>52.5</v>
      </c>
      <c r="I84" t="n">
        <v>9.9</v>
      </c>
      <c r="J84" t="n">
        <v>3.2</v>
      </c>
      <c r="K84" t="n">
        <v>57.1</v>
      </c>
      <c r="L84" t="n">
        <v>2</v>
      </c>
      <c r="M84" t="n">
        <v>1.7</v>
      </c>
      <c r="N84" t="inlineStr">
        <is>
          <t>401–500</t>
        </is>
      </c>
      <c r="O84" t="inlineStr">
        <is>
          <t>45.4–49.0</t>
        </is>
      </c>
      <c r="P84" t="n">
        <v>18.3</v>
      </c>
      <c r="Q84" t="n">
        <v>36.6</v>
      </c>
      <c r="R84" t="n">
        <v>80.59999999999999</v>
      </c>
      <c r="S84" t="n">
        <v>63.2</v>
      </c>
      <c r="T84" t="n">
        <v>49.2</v>
      </c>
      <c r="U84" t="inlineStr">
        <is>
          <t>11,431</t>
        </is>
      </c>
      <c r="V84" t="n">
        <v>29.5</v>
      </c>
      <c r="W84" t="inlineStr">
        <is>
          <t>4%</t>
        </is>
      </c>
      <c r="X84" t="inlineStr">
        <is>
          <t>63 : 37</t>
        </is>
      </c>
      <c r="Y84" t="n">
        <v>801</v>
      </c>
      <c r="Z84" t="n">
        <v>401</v>
      </c>
      <c r="AA84" t="n">
        <v>47.2</v>
      </c>
      <c r="AB84" t="inlineStr">
        <is>
          <t>U0083</t>
        </is>
      </c>
      <c r="AC84" t="inlineStr">
        <is>
          <t>TA</t>
        </is>
      </c>
      <c r="AD84" t="n">
        <v>47.2</v>
      </c>
      <c r="AE84" t="n">
        <v>52.5</v>
      </c>
      <c r="AF84" t="n">
        <v>29.5</v>
      </c>
      <c r="AG84" t="inlineStr">
        <is>
          <t>1:29.5</t>
        </is>
      </c>
      <c r="AH84" t="inlineStr">
        <is>
          <t>4%</t>
        </is>
      </c>
      <c r="AI84" t="n">
        <v>5.9</v>
      </c>
      <c r="AJ84" t="n">
        <v>40.38</v>
      </c>
    </row>
    <row r="85">
      <c r="A85" t="inlineStr">
        <is>
          <t xml:space="preserve">Assiut University </t>
        </is>
      </c>
      <c r="B85" t="inlineStr">
        <is>
          <t>Egypt</t>
        </is>
      </c>
      <c r="C85" t="inlineStr">
        <is>
          <t>1001-1200</t>
        </is>
      </c>
      <c r="D85" t="inlineStr"/>
      <c r="E85" t="n">
        <v>11.4</v>
      </c>
      <c r="F85" t="n">
        <v>9.800000000000001</v>
      </c>
      <c r="G85" t="n">
        <v>13.6</v>
      </c>
      <c r="H85" t="n">
        <v>2.2</v>
      </c>
      <c r="I85" t="n">
        <v>11.8</v>
      </c>
      <c r="J85" t="n">
        <v>3.5</v>
      </c>
      <c r="K85" t="n">
        <v>56</v>
      </c>
      <c r="L85" t="n">
        <v>2.5</v>
      </c>
      <c r="M85" t="n">
        <v>5.4</v>
      </c>
      <c r="N85" t="inlineStr">
        <is>
          <t>1201–1500</t>
        </is>
      </c>
      <c r="O85" t="inlineStr">
        <is>
          <t>22.8–28.2</t>
        </is>
      </c>
      <c r="P85" t="n">
        <v>16.1</v>
      </c>
      <c r="Q85" t="n">
        <v>10.8</v>
      </c>
      <c r="R85" t="n">
        <v>48</v>
      </c>
      <c r="S85" t="n">
        <v>22.2</v>
      </c>
      <c r="T85" t="n">
        <v>52.9</v>
      </c>
      <c r="U85" t="inlineStr">
        <is>
          <t>99,610</t>
        </is>
      </c>
      <c r="V85" t="n">
        <v>22.1</v>
      </c>
      <c r="W85" t="inlineStr">
        <is>
          <t>1%</t>
        </is>
      </c>
      <c r="X85" t="inlineStr">
        <is>
          <t>38 : 62</t>
        </is>
      </c>
      <c r="Y85" t="n">
        <v>1001</v>
      </c>
      <c r="Z85" t="n">
        <v>1201</v>
      </c>
      <c r="AA85" t="n">
        <v>25.5</v>
      </c>
      <c r="AB85" t="inlineStr">
        <is>
          <t>U0084</t>
        </is>
      </c>
      <c r="AC85" t="inlineStr">
        <is>
          <t>EG</t>
        </is>
      </c>
      <c r="AD85" t="n">
        <v>25.5</v>
      </c>
      <c r="AE85" t="n">
        <v>2.2</v>
      </c>
      <c r="AF85" t="n">
        <v>22.1</v>
      </c>
      <c r="AG85" t="inlineStr">
        <is>
          <t>1:22.1</t>
        </is>
      </c>
      <c r="AH85" t="inlineStr">
        <is>
          <t>1%</t>
        </is>
      </c>
      <c r="AI85" t="n">
        <v>11.4</v>
      </c>
      <c r="AJ85" t="n">
        <v>12.51</v>
      </c>
    </row>
    <row r="86">
      <c r="A86" t="inlineStr">
        <is>
          <t>Aston University</t>
        </is>
      </c>
      <c r="B86" t="inlineStr">
        <is>
          <t>United Kingdom</t>
        </is>
      </c>
      <c r="C86" t="inlineStr">
        <is>
          <t>423</t>
        </is>
      </c>
      <c r="D86" t="n">
        <v>28.1</v>
      </c>
      <c r="E86" t="n">
        <v>12.5</v>
      </c>
      <c r="F86" t="n">
        <v>18.5</v>
      </c>
      <c r="G86" t="n">
        <v>9</v>
      </c>
      <c r="H86" t="n">
        <v>34.4</v>
      </c>
      <c r="I86" t="n">
        <v>94.2</v>
      </c>
      <c r="J86" t="n">
        <v>53.8</v>
      </c>
      <c r="K86" t="n">
        <v>79.2</v>
      </c>
      <c r="L86" t="n">
        <v>19.6</v>
      </c>
      <c r="M86" t="n">
        <v>46.9</v>
      </c>
      <c r="N86" t="inlineStr">
        <is>
          <t>401–500</t>
        </is>
      </c>
      <c r="O86" t="inlineStr">
        <is>
          <t>45.4–49.0</t>
        </is>
      </c>
      <c r="P86" t="n">
        <v>22.2</v>
      </c>
      <c r="Q86" t="n">
        <v>26.5</v>
      </c>
      <c r="R86" t="n">
        <v>82.5</v>
      </c>
      <c r="S86" t="n">
        <v>64.09999999999999</v>
      </c>
      <c r="T86" t="n">
        <v>95.2</v>
      </c>
      <c r="U86" t="inlineStr">
        <is>
          <t>12,950</t>
        </is>
      </c>
      <c r="V86" t="n">
        <v>19</v>
      </c>
      <c r="W86" t="inlineStr">
        <is>
          <t>25%</t>
        </is>
      </c>
      <c r="X86" t="inlineStr">
        <is>
          <t>48 : 52</t>
        </is>
      </c>
      <c r="Y86" t="n">
        <v>423</v>
      </c>
      <c r="Z86" t="n">
        <v>401</v>
      </c>
      <c r="AA86" t="n">
        <v>47.2</v>
      </c>
      <c r="AB86" t="inlineStr">
        <is>
          <t>U0085</t>
        </is>
      </c>
      <c r="AC86" t="inlineStr">
        <is>
          <t>UN</t>
        </is>
      </c>
      <c r="AD86" t="n">
        <v>28.1</v>
      </c>
      <c r="AE86" t="n">
        <v>34.4</v>
      </c>
      <c r="AF86" t="n">
        <v>19</v>
      </c>
      <c r="AG86" t="inlineStr">
        <is>
          <t>1:19.0</t>
        </is>
      </c>
      <c r="AH86" t="inlineStr">
        <is>
          <t>25%</t>
        </is>
      </c>
      <c r="AI86" t="n">
        <v>12.5</v>
      </c>
      <c r="AJ86" t="n">
        <v>40.73</v>
      </c>
    </row>
    <row r="87">
      <c r="A87" t="inlineStr">
        <is>
          <t>Aswan University</t>
        </is>
      </c>
      <c r="B87" t="inlineStr">
        <is>
          <t>Egypt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801–1000</t>
        </is>
      </c>
      <c r="O87" t="inlineStr">
        <is>
          <t>32.7–36.9</t>
        </is>
      </c>
      <c r="P87" t="n">
        <v>16.7</v>
      </c>
      <c r="Q87" t="n">
        <v>12.1</v>
      </c>
      <c r="R87" t="n">
        <v>75.59999999999999</v>
      </c>
      <c r="S87" t="n">
        <v>18.4</v>
      </c>
      <c r="T87" t="n">
        <v>50.4</v>
      </c>
      <c r="U87" t="inlineStr">
        <is>
          <t>35,992</t>
        </is>
      </c>
      <c r="V87" t="n">
        <v>45.4</v>
      </c>
      <c r="W87" t="inlineStr">
        <is>
          <t>1%</t>
        </is>
      </c>
      <c r="X87" t="inlineStr">
        <is>
          <t>51 : 49</t>
        </is>
      </c>
      <c r="Y87" t="inlineStr"/>
      <c r="Z87" t="n">
        <v>801</v>
      </c>
      <c r="AA87" t="n">
        <v>34.8</v>
      </c>
      <c r="AB87" t="inlineStr">
        <is>
          <t>U0086</t>
        </is>
      </c>
      <c r="AC87" t="inlineStr">
        <is>
          <t>EG</t>
        </is>
      </c>
      <c r="AD87" t="n">
        <v>34.8</v>
      </c>
      <c r="AE87" t="n">
        <v>75.59999999999999</v>
      </c>
      <c r="AF87" t="n">
        <v>45.4</v>
      </c>
      <c r="AG87" t="inlineStr">
        <is>
          <t>1:45.4</t>
        </is>
      </c>
      <c r="AH87" t="inlineStr">
        <is>
          <t>1%</t>
        </is>
      </c>
      <c r="AI87" t="inlineStr"/>
      <c r="AJ87" t="n">
        <v>34.83</v>
      </c>
    </row>
    <row r="88">
      <c r="A88" t="inlineStr">
        <is>
          <t>Atılım University</t>
        </is>
      </c>
      <c r="B88" t="inlineStr">
        <is>
          <t>Turkey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1201–1500</t>
        </is>
      </c>
      <c r="O88" t="inlineStr">
        <is>
          <t>22.8–28.2</t>
        </is>
      </c>
      <c r="P88" t="n">
        <v>18.4</v>
      </c>
      <c r="Q88" t="n">
        <v>9.699999999999999</v>
      </c>
      <c r="R88" t="n">
        <v>38.4</v>
      </c>
      <c r="S88" t="n">
        <v>36.7</v>
      </c>
      <c r="T88" t="n">
        <v>45.3</v>
      </c>
      <c r="U88" t="inlineStr">
        <is>
          <t>9,302</t>
        </is>
      </c>
      <c r="V88" t="n">
        <v>13.5</v>
      </c>
      <c r="W88" t="inlineStr">
        <is>
          <t>7%</t>
        </is>
      </c>
      <c r="X88" t="inlineStr">
        <is>
          <t>44 : 56</t>
        </is>
      </c>
      <c r="Y88" t="inlineStr"/>
      <c r="Z88" t="n">
        <v>1201</v>
      </c>
      <c r="AA88" t="n">
        <v>25.5</v>
      </c>
      <c r="AB88" t="inlineStr">
        <is>
          <t>U0087</t>
        </is>
      </c>
      <c r="AC88" t="inlineStr">
        <is>
          <t>TU</t>
        </is>
      </c>
      <c r="AD88" t="n">
        <v>25.5</v>
      </c>
      <c r="AE88" t="n">
        <v>38.4</v>
      </c>
      <c r="AF88" t="n">
        <v>13.5</v>
      </c>
      <c r="AG88" t="inlineStr">
        <is>
          <t>1:13.5</t>
        </is>
      </c>
      <c r="AH88" t="inlineStr">
        <is>
          <t>7%</t>
        </is>
      </c>
      <c r="AI88" t="inlineStr"/>
      <c r="AJ88" t="n">
        <v>21.07</v>
      </c>
    </row>
    <row r="89">
      <c r="A89" t="inlineStr">
        <is>
          <t>Atatürk University</t>
        </is>
      </c>
      <c r="B89" t="inlineStr">
        <is>
          <t>Turkey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1201–1500</t>
        </is>
      </c>
      <c r="O89" t="inlineStr">
        <is>
          <t>22.8–28.2</t>
        </is>
      </c>
      <c r="P89" t="n">
        <v>19.1</v>
      </c>
      <c r="Q89" t="n">
        <v>16.7</v>
      </c>
      <c r="R89" t="n">
        <v>45</v>
      </c>
      <c r="S89" t="n">
        <v>24.5</v>
      </c>
      <c r="T89" t="n">
        <v>25.5</v>
      </c>
      <c r="U89" t="inlineStr">
        <is>
          <t>58,922</t>
        </is>
      </c>
      <c r="V89" t="n">
        <v>31</v>
      </c>
      <c r="W89" t="inlineStr">
        <is>
          <t>4%</t>
        </is>
      </c>
      <c r="X89" t="inlineStr">
        <is>
          <t>50 : 50</t>
        </is>
      </c>
      <c r="Y89" t="inlineStr"/>
      <c r="Z89" t="n">
        <v>1201</v>
      </c>
      <c r="AA89" t="n">
        <v>25.5</v>
      </c>
      <c r="AB89" t="inlineStr">
        <is>
          <t>U0088</t>
        </is>
      </c>
      <c r="AC89" t="inlineStr">
        <is>
          <t>TU</t>
        </is>
      </c>
      <c r="AD89" t="n">
        <v>25.5</v>
      </c>
      <c r="AE89" t="n">
        <v>45</v>
      </c>
      <c r="AF89" t="n">
        <v>31</v>
      </c>
      <c r="AG89" t="inlineStr">
        <is>
          <t>1:31.0</t>
        </is>
      </c>
      <c r="AH89" t="inlineStr">
        <is>
          <t>4%</t>
        </is>
      </c>
      <c r="AI89" t="inlineStr"/>
      <c r="AJ89" t="n">
        <v>21.95</v>
      </c>
    </row>
    <row r="90">
      <c r="A90" t="inlineStr">
        <is>
          <t>Ataturk University</t>
        </is>
      </c>
      <c r="B90" t="inlineStr">
        <is>
          <t>Turkey</t>
        </is>
      </c>
      <c r="C90" t="inlineStr">
        <is>
          <t>1201-1400</t>
        </is>
      </c>
      <c r="D90" t="inlineStr"/>
      <c r="E90" t="n">
        <v>5.8</v>
      </c>
      <c r="F90" t="n">
        <v>2.3</v>
      </c>
      <c r="G90" t="n">
        <v>2.9</v>
      </c>
      <c r="H90" t="n">
        <v>4.4</v>
      </c>
      <c r="I90" t="n">
        <v>3.2</v>
      </c>
      <c r="J90" t="n">
        <v>7.4</v>
      </c>
      <c r="K90" t="n">
        <v>39.4</v>
      </c>
      <c r="L90" t="n">
        <v>7.8</v>
      </c>
      <c r="M90" t="n">
        <v>1.1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1201</v>
      </c>
      <c r="Z90" t="inlineStr"/>
      <c r="AA90" t="inlineStr"/>
      <c r="AB90" t="inlineStr">
        <is>
          <t>U0089</t>
        </is>
      </c>
      <c r="AC90" t="inlineStr">
        <is>
          <t>TU</t>
        </is>
      </c>
      <c r="AD90" t="inlineStr"/>
      <c r="AE90" t="n">
        <v>4.4</v>
      </c>
      <c r="AF90" t="inlineStr"/>
      <c r="AG90" t="inlineStr"/>
      <c r="AH90" t="inlineStr"/>
      <c r="AI90" t="n">
        <v>5.8</v>
      </c>
      <c r="AJ90" t="n">
        <v>14.72</v>
      </c>
    </row>
    <row r="91">
      <c r="A91" t="inlineStr">
        <is>
          <t>Ateneo de Manila University</t>
        </is>
      </c>
      <c r="B91" t="inlineStr">
        <is>
          <t>Philippines</t>
        </is>
      </c>
      <c r="C91" t="inlineStr">
        <is>
          <t>516</t>
        </is>
      </c>
      <c r="D91" t="n">
        <v>23.6</v>
      </c>
      <c r="E91" t="n">
        <v>21.4</v>
      </c>
      <c r="F91" t="n">
        <v>64.5</v>
      </c>
      <c r="G91" t="n">
        <v>24.4</v>
      </c>
      <c r="H91" t="n">
        <v>1.8</v>
      </c>
      <c r="I91" t="n">
        <v>2.9</v>
      </c>
      <c r="J91" t="n">
        <v>2.5</v>
      </c>
      <c r="K91" t="n">
        <v>23</v>
      </c>
      <c r="L91" t="n">
        <v>70.59999999999999</v>
      </c>
      <c r="M91" t="n">
        <v>15.6</v>
      </c>
      <c r="N91" t="inlineStr">
        <is>
          <t>1001–1200</t>
        </is>
      </c>
      <c r="O91" t="inlineStr">
        <is>
          <t>28.3–32.6</t>
        </is>
      </c>
      <c r="P91" t="n">
        <v>30.8</v>
      </c>
      <c r="Q91" t="n">
        <v>10.8</v>
      </c>
      <c r="R91" t="n">
        <v>52.4</v>
      </c>
      <c r="S91" t="n">
        <v>27.6</v>
      </c>
      <c r="T91" t="n">
        <v>33.5</v>
      </c>
      <c r="U91" t="inlineStr">
        <is>
          <t>14,168</t>
        </is>
      </c>
      <c r="V91" t="n">
        <v>11.1</v>
      </c>
      <c r="W91" t="inlineStr">
        <is>
          <t>1%</t>
        </is>
      </c>
      <c r="X91" t="inlineStr">
        <is>
          <t>52 : 48</t>
        </is>
      </c>
      <c r="Y91" t="n">
        <v>516</v>
      </c>
      <c r="Z91" t="n">
        <v>1001</v>
      </c>
      <c r="AA91" t="n">
        <v>30.45</v>
      </c>
      <c r="AB91" t="inlineStr">
        <is>
          <t>U0090</t>
        </is>
      </c>
      <c r="AC91" t="inlineStr">
        <is>
          <t>PH</t>
        </is>
      </c>
      <c r="AD91" t="n">
        <v>23.6</v>
      </c>
      <c r="AE91" t="n">
        <v>1.8</v>
      </c>
      <c r="AF91" t="n">
        <v>11.1</v>
      </c>
      <c r="AG91" t="inlineStr">
        <is>
          <t>1:11.1</t>
        </is>
      </c>
      <c r="AH91" t="inlineStr">
        <is>
          <t>1%</t>
        </is>
      </c>
      <c r="AI91" t="n">
        <v>21.4</v>
      </c>
      <c r="AJ91" t="n">
        <v>7.7</v>
      </c>
    </row>
    <row r="92">
      <c r="A92" t="inlineStr">
        <is>
          <t>Athens University of Economics and Business</t>
        </is>
      </c>
      <c r="B92" t="inlineStr">
        <is>
          <t>Greece</t>
        </is>
      </c>
      <c r="C92" t="inlineStr">
        <is>
          <t>951-1000</t>
        </is>
      </c>
      <c r="D92" t="inlineStr"/>
      <c r="E92" t="n">
        <v>7.6</v>
      </c>
      <c r="F92" t="n">
        <v>29.3</v>
      </c>
      <c r="G92" t="n">
        <v>1.7</v>
      </c>
      <c r="H92" t="n">
        <v>20</v>
      </c>
      <c r="I92" t="n">
        <v>1.6</v>
      </c>
      <c r="J92" t="n">
        <v>3.1</v>
      </c>
      <c r="K92" t="n">
        <v>14</v>
      </c>
      <c r="L92" t="n">
        <v>20.9</v>
      </c>
      <c r="M92" t="n">
        <v>2.4</v>
      </c>
      <c r="N92" t="inlineStr">
        <is>
          <t>801–1000</t>
        </is>
      </c>
      <c r="O92" t="inlineStr">
        <is>
          <t>32.7–36.9</t>
        </is>
      </c>
      <c r="P92" t="n">
        <v>18.1</v>
      </c>
      <c r="Q92" t="n">
        <v>23.6</v>
      </c>
      <c r="R92" t="n">
        <v>53.3</v>
      </c>
      <c r="S92" t="n">
        <v>57.8</v>
      </c>
      <c r="T92" t="n">
        <v>44.5</v>
      </c>
      <c r="U92" t="inlineStr">
        <is>
          <t>10,477</t>
        </is>
      </c>
      <c r="V92" t="n">
        <v>53.7</v>
      </c>
      <c r="W92" t="inlineStr">
        <is>
          <t>5%</t>
        </is>
      </c>
      <c r="X92" t="inlineStr">
        <is>
          <t>45 : 55</t>
        </is>
      </c>
      <c r="Y92" t="n">
        <v>951</v>
      </c>
      <c r="Z92" t="n">
        <v>801</v>
      </c>
      <c r="AA92" t="n">
        <v>34.8</v>
      </c>
      <c r="AB92" t="inlineStr">
        <is>
          <t>U0091</t>
        </is>
      </c>
      <c r="AC92" t="inlineStr">
        <is>
          <t>GR</t>
        </is>
      </c>
      <c r="AD92" t="n">
        <v>34.8</v>
      </c>
      <c r="AE92" t="n">
        <v>20</v>
      </c>
      <c r="AF92" t="n">
        <v>53.7</v>
      </c>
      <c r="AG92" t="inlineStr">
        <is>
          <t>1:53.7</t>
        </is>
      </c>
      <c r="AH92" t="inlineStr">
        <is>
          <t>5%</t>
        </is>
      </c>
      <c r="AI92" t="n">
        <v>7.6</v>
      </c>
      <c r="AJ92" t="n">
        <v>22.58</v>
      </c>
    </row>
    <row r="93">
      <c r="A93" t="inlineStr">
        <is>
          <t>Atma Jaya Catholic University Jakarta</t>
        </is>
      </c>
      <c r="B93" t="inlineStr">
        <is>
          <t>Indonesia</t>
        </is>
      </c>
      <c r="C93" t="inlineStr">
        <is>
          <t>1201-1400</t>
        </is>
      </c>
      <c r="D93" t="inlineStr"/>
      <c r="E93" t="n">
        <v>6.8</v>
      </c>
      <c r="F93" t="n">
        <v>7.7</v>
      </c>
      <c r="G93" t="n">
        <v>8.699999999999999</v>
      </c>
      <c r="H93" t="n">
        <v>1.3</v>
      </c>
      <c r="I93" t="n">
        <v>3.4</v>
      </c>
      <c r="J93" t="n">
        <v>1.2</v>
      </c>
      <c r="K93" t="n">
        <v>7.5</v>
      </c>
      <c r="L93" t="n">
        <v>18</v>
      </c>
      <c r="M93" t="n">
        <v>1.1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1201</v>
      </c>
      <c r="Z93" t="inlineStr"/>
      <c r="AA93" t="inlineStr"/>
      <c r="AB93" t="inlineStr">
        <is>
          <t>U0092</t>
        </is>
      </c>
      <c r="AC93" t="inlineStr">
        <is>
          <t>IN</t>
        </is>
      </c>
      <c r="AD93" t="inlineStr"/>
      <c r="AE93" t="n">
        <v>1.3</v>
      </c>
      <c r="AF93" t="inlineStr"/>
      <c r="AG93" t="inlineStr"/>
      <c r="AH93" t="inlineStr"/>
      <c r="AI93" t="n">
        <v>6.8</v>
      </c>
      <c r="AJ93" t="n">
        <v>13.78</v>
      </c>
    </row>
    <row r="94">
      <c r="A94" t="inlineStr">
        <is>
          <t>Auburn University</t>
        </is>
      </c>
      <c r="B94" t="inlineStr">
        <is>
          <t>United States</t>
        </is>
      </c>
      <c r="C94" t="inlineStr">
        <is>
          <t>951-1000</t>
        </is>
      </c>
      <c r="D94" t="inlineStr"/>
      <c r="E94" t="n">
        <v>7.1</v>
      </c>
      <c r="F94" t="n">
        <v>7.7</v>
      </c>
      <c r="G94" t="n">
        <v>7.6</v>
      </c>
      <c r="H94" t="n">
        <v>17.2</v>
      </c>
      <c r="I94" t="n">
        <v>27.6</v>
      </c>
      <c r="J94" t="n">
        <v>6</v>
      </c>
      <c r="K94" t="n">
        <v>54.7</v>
      </c>
      <c r="L94" t="n">
        <v>16.4</v>
      </c>
      <c r="M94" t="n">
        <v>10.9</v>
      </c>
      <c r="N94" t="inlineStr">
        <is>
          <t>501–600</t>
        </is>
      </c>
      <c r="O94" t="inlineStr">
        <is>
          <t>41.9–45.3</t>
        </is>
      </c>
      <c r="P94" t="n">
        <v>36</v>
      </c>
      <c r="Q94" t="n">
        <v>25.7</v>
      </c>
      <c r="R94" t="n">
        <v>59.6</v>
      </c>
      <c r="S94" t="n">
        <v>69.3</v>
      </c>
      <c r="T94" t="n">
        <v>57.7</v>
      </c>
      <c r="U94" t="inlineStr">
        <is>
          <t>27,670</t>
        </is>
      </c>
      <c r="V94" t="n">
        <v>18.2</v>
      </c>
      <c r="W94" t="inlineStr">
        <is>
          <t>8%</t>
        </is>
      </c>
      <c r="X94" t="inlineStr">
        <is>
          <t>50 : 50</t>
        </is>
      </c>
      <c r="Y94" t="n">
        <v>951</v>
      </c>
      <c r="Z94" t="n">
        <v>501</v>
      </c>
      <c r="AA94" t="n">
        <v>43.59999999999999</v>
      </c>
      <c r="AB94" t="inlineStr">
        <is>
          <t>U0093</t>
        </is>
      </c>
      <c r="AC94" t="inlineStr">
        <is>
          <t>UN</t>
        </is>
      </c>
      <c r="AD94" t="n">
        <v>43.59999999999999</v>
      </c>
      <c r="AE94" t="n">
        <v>17.2</v>
      </c>
      <c r="AF94" t="n">
        <v>18.2</v>
      </c>
      <c r="AG94" t="inlineStr">
        <is>
          <t>1:18.2</t>
        </is>
      </c>
      <c r="AH94" t="inlineStr">
        <is>
          <t>8%</t>
        </is>
      </c>
      <c r="AI94" t="n">
        <v>7.1</v>
      </c>
      <c r="AJ94" t="n">
        <v>26.03</v>
      </c>
    </row>
    <row r="95">
      <c r="A95" t="inlineStr">
        <is>
          <t>Auckland University of Technology (AUT)</t>
        </is>
      </c>
      <c r="B95" t="inlineStr">
        <is>
          <t>New Zealand</t>
        </is>
      </c>
      <c r="C95" t="inlineStr">
        <is>
          <t>412</t>
        </is>
      </c>
      <c r="D95" t="n">
        <v>28.9</v>
      </c>
      <c r="E95" t="n">
        <v>19.3</v>
      </c>
      <c r="F95" t="n">
        <v>11.2</v>
      </c>
      <c r="G95" t="n">
        <v>10.6</v>
      </c>
      <c r="H95" t="n">
        <v>21.7</v>
      </c>
      <c r="I95" t="n">
        <v>100</v>
      </c>
      <c r="J95" t="n">
        <v>99.8</v>
      </c>
      <c r="K95" t="n">
        <v>52.6</v>
      </c>
      <c r="L95" t="n">
        <v>12.4</v>
      </c>
      <c r="M95" t="n">
        <v>72.59999999999999</v>
      </c>
      <c r="N95" t="inlineStr">
        <is>
          <t>401–500</t>
        </is>
      </c>
      <c r="O95" t="inlineStr">
        <is>
          <t>45.4–49.0</t>
        </is>
      </c>
      <c r="P95" t="n">
        <v>23.8</v>
      </c>
      <c r="Q95" t="n">
        <v>21.2</v>
      </c>
      <c r="R95" t="n">
        <v>84</v>
      </c>
      <c r="S95" t="n">
        <v>40.8</v>
      </c>
      <c r="T95" t="n">
        <v>92.40000000000001</v>
      </c>
      <c r="U95" t="inlineStr">
        <is>
          <t>18,592</t>
        </is>
      </c>
      <c r="V95" t="n">
        <v>17.7</v>
      </c>
      <c r="W95" t="inlineStr">
        <is>
          <t>46%</t>
        </is>
      </c>
      <c r="X95" t="inlineStr">
        <is>
          <t>60 : 40</t>
        </is>
      </c>
      <c r="Y95" t="n">
        <v>412</v>
      </c>
      <c r="Z95" t="n">
        <v>401</v>
      </c>
      <c r="AA95" t="n">
        <v>47.2</v>
      </c>
      <c r="AB95" t="inlineStr">
        <is>
          <t>U0094</t>
        </is>
      </c>
      <c r="AC95" t="inlineStr">
        <is>
          <t>NE</t>
        </is>
      </c>
      <c r="AD95" t="n">
        <v>28.9</v>
      </c>
      <c r="AE95" t="n">
        <v>21.7</v>
      </c>
      <c r="AF95" t="n">
        <v>17.7</v>
      </c>
      <c r="AG95" t="inlineStr">
        <is>
          <t>1:17.7</t>
        </is>
      </c>
      <c r="AH95" t="inlineStr">
        <is>
          <t>46%</t>
        </is>
      </c>
      <c r="AI95" t="n">
        <v>19.3</v>
      </c>
      <c r="AJ95" t="n">
        <v>33.43</v>
      </c>
    </row>
    <row r="96">
      <c r="A96" t="inlineStr">
        <is>
          <t>Auezov South Kazakhstan University (SKU)</t>
        </is>
      </c>
      <c r="B96" t="inlineStr">
        <is>
          <t>Kazakhstan</t>
        </is>
      </c>
      <c r="C96" t="inlineStr">
        <is>
          <t>621-630</t>
        </is>
      </c>
      <c r="D96" t="inlineStr"/>
      <c r="E96" t="n">
        <v>18.5</v>
      </c>
      <c r="F96" t="n">
        <v>28.7</v>
      </c>
      <c r="G96" t="n">
        <v>89.5</v>
      </c>
      <c r="H96" t="n">
        <v>1</v>
      </c>
      <c r="I96" t="n">
        <v>12.9</v>
      </c>
      <c r="J96" t="n">
        <v>16.2</v>
      </c>
      <c r="K96" t="n">
        <v>4</v>
      </c>
      <c r="L96" t="n">
        <v>3.2</v>
      </c>
      <c r="M96" t="n">
        <v>2.6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621</v>
      </c>
      <c r="Z96" t="inlineStr"/>
      <c r="AA96" t="inlineStr"/>
      <c r="AB96" t="inlineStr">
        <is>
          <t>U0095</t>
        </is>
      </c>
      <c r="AC96" t="inlineStr">
        <is>
          <t>KA</t>
        </is>
      </c>
      <c r="AD96" t="inlineStr"/>
      <c r="AE96" t="n">
        <v>1</v>
      </c>
      <c r="AF96" t="inlineStr"/>
      <c r="AG96" t="inlineStr"/>
      <c r="AH96" t="inlineStr"/>
      <c r="AI96" t="n">
        <v>18.5</v>
      </c>
      <c r="AJ96" t="n">
        <v>13.69</v>
      </c>
    </row>
    <row r="97">
      <c r="A97" t="inlineStr">
        <is>
          <t>Austral University of Chile</t>
        </is>
      </c>
      <c r="B97" t="inlineStr">
        <is>
          <t>Chile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1201–1500</t>
        </is>
      </c>
      <c r="O97" t="inlineStr">
        <is>
          <t>22.8–28.2</t>
        </is>
      </c>
      <c r="P97" t="n">
        <v>17.3</v>
      </c>
      <c r="Q97" t="n">
        <v>14.7</v>
      </c>
      <c r="R97" t="n">
        <v>30.2</v>
      </c>
      <c r="S97" t="n">
        <v>30.9</v>
      </c>
      <c r="T97" t="n">
        <v>51.4</v>
      </c>
      <c r="U97" t="inlineStr">
        <is>
          <t>18,594</t>
        </is>
      </c>
      <c r="V97" t="n">
        <v>16.4</v>
      </c>
      <c r="W97" t="inlineStr">
        <is>
          <t>1%</t>
        </is>
      </c>
      <c r="X97" t="inlineStr">
        <is>
          <t>54 : 46</t>
        </is>
      </c>
      <c r="Y97" t="inlineStr"/>
      <c r="Z97" t="n">
        <v>1201</v>
      </c>
      <c r="AA97" t="n">
        <v>25.5</v>
      </c>
      <c r="AB97" t="inlineStr">
        <is>
          <t>U0096</t>
        </is>
      </c>
      <c r="AC97" t="inlineStr">
        <is>
          <t>CH</t>
        </is>
      </c>
      <c r="AD97" t="n">
        <v>25.5</v>
      </c>
      <c r="AE97" t="n">
        <v>30.2</v>
      </c>
      <c r="AF97" t="n">
        <v>16.4</v>
      </c>
      <c r="AG97" t="inlineStr">
        <is>
          <t>1:16.4</t>
        </is>
      </c>
      <c r="AH97" t="inlineStr">
        <is>
          <t>1%</t>
        </is>
      </c>
      <c r="AI97" t="inlineStr"/>
      <c r="AJ97" t="n">
        <v>22.68</v>
      </c>
    </row>
    <row r="98">
      <c r="A98" t="inlineStr">
        <is>
          <t>Australian Catholic University</t>
        </is>
      </c>
      <c r="B98" t="inlineStr">
        <is>
          <t>Australia</t>
        </is>
      </c>
      <c r="C98" t="inlineStr">
        <is>
          <t>901-950</t>
        </is>
      </c>
      <c r="D98" t="inlineStr"/>
      <c r="E98" t="n">
        <v>8.199999999999999</v>
      </c>
      <c r="F98" t="n">
        <v>8.9</v>
      </c>
      <c r="G98" t="n">
        <v>5.1</v>
      </c>
      <c r="H98" t="n">
        <v>12.1</v>
      </c>
      <c r="I98" t="n">
        <v>71</v>
      </c>
      <c r="J98" t="n">
        <v>41.7</v>
      </c>
      <c r="K98" t="n">
        <v>33.9</v>
      </c>
      <c r="L98" t="n">
        <v>1.7</v>
      </c>
      <c r="M98" t="n">
        <v>2.7</v>
      </c>
      <c r="N98" t="inlineStr">
        <is>
          <t>401–500</t>
        </is>
      </c>
      <c r="O98" t="inlineStr">
        <is>
          <t>45.4–49.0</t>
        </is>
      </c>
      <c r="P98" t="n">
        <v>16.8</v>
      </c>
      <c r="Q98" t="n">
        <v>25.7</v>
      </c>
      <c r="R98" t="n">
        <v>97</v>
      </c>
      <c r="S98" t="n">
        <v>21.9</v>
      </c>
      <c r="T98" t="n">
        <v>80.7</v>
      </c>
      <c r="U98" t="inlineStr">
        <is>
          <t>23,843</t>
        </is>
      </c>
      <c r="V98" t="n">
        <v>38.4</v>
      </c>
      <c r="W98" t="inlineStr">
        <is>
          <t>14%</t>
        </is>
      </c>
      <c r="X98" t="inlineStr">
        <is>
          <t>76 : 24</t>
        </is>
      </c>
      <c r="Y98" t="n">
        <v>901</v>
      </c>
      <c r="Z98" t="n">
        <v>401</v>
      </c>
      <c r="AA98" t="n">
        <v>47.2</v>
      </c>
      <c r="AB98" t="inlineStr">
        <is>
          <t>U0097</t>
        </is>
      </c>
      <c r="AC98" t="inlineStr">
        <is>
          <t>AU</t>
        </is>
      </c>
      <c r="AD98" t="n">
        <v>47.2</v>
      </c>
      <c r="AE98" t="n">
        <v>12.1</v>
      </c>
      <c r="AF98" t="n">
        <v>38.4</v>
      </c>
      <c r="AG98" t="inlineStr">
        <is>
          <t>1:38.4</t>
        </is>
      </c>
      <c r="AH98" t="inlineStr">
        <is>
          <t>14%</t>
        </is>
      </c>
      <c r="AI98" t="n">
        <v>8.199999999999999</v>
      </c>
      <c r="AJ98" t="n">
        <v>30.05</v>
      </c>
    </row>
    <row r="99">
      <c r="A99" t="inlineStr">
        <is>
          <t>The Australian National University</t>
        </is>
      </c>
      <c r="B99" t="inlineStr">
        <is>
          <t>Australia</t>
        </is>
      </c>
      <c r="C99" t="inlineStr">
        <is>
          <t>30</t>
        </is>
      </c>
      <c r="D99" t="n">
        <v>82.40000000000001</v>
      </c>
      <c r="E99" t="n">
        <v>93.8</v>
      </c>
      <c r="F99" t="n">
        <v>75.40000000000001</v>
      </c>
      <c r="G99" t="n">
        <v>34.6</v>
      </c>
      <c r="H99" t="n">
        <v>84.59999999999999</v>
      </c>
      <c r="I99" t="n">
        <v>100</v>
      </c>
      <c r="J99" t="n">
        <v>96.2</v>
      </c>
      <c r="K99" t="n">
        <v>91.40000000000001</v>
      </c>
      <c r="L99" t="n">
        <v>56.6</v>
      </c>
      <c r="M99" t="n">
        <v>97.09999999999999</v>
      </c>
      <c r="N99" t="inlineStr">
        <is>
          <t>67</t>
        </is>
      </c>
      <c r="O99" t="inlineStr">
        <is>
          <t>72.6</t>
        </is>
      </c>
      <c r="P99" t="n">
        <v>55.9</v>
      </c>
      <c r="Q99" t="n">
        <v>68</v>
      </c>
      <c r="R99" t="n">
        <v>86.59999999999999</v>
      </c>
      <c r="S99" t="n">
        <v>82</v>
      </c>
      <c r="T99" t="n">
        <v>94.8</v>
      </c>
      <c r="U99" t="inlineStr">
        <is>
          <t>17,293</t>
        </is>
      </c>
      <c r="V99" t="n">
        <v>15.1</v>
      </c>
      <c r="W99" t="inlineStr">
        <is>
          <t>48%</t>
        </is>
      </c>
      <c r="X99" t="inlineStr">
        <is>
          <t>52 : 48</t>
        </is>
      </c>
      <c r="Y99" t="n">
        <v>30</v>
      </c>
      <c r="Z99" t="n">
        <v>67</v>
      </c>
      <c r="AA99" t="n">
        <v>72.59999999999999</v>
      </c>
      <c r="AB99" t="inlineStr">
        <is>
          <t>U0098</t>
        </is>
      </c>
      <c r="AC99" t="inlineStr">
        <is>
          <t>AU</t>
        </is>
      </c>
      <c r="AD99" t="n">
        <v>82.40000000000001</v>
      </c>
      <c r="AE99" t="n">
        <v>84.59999999999999</v>
      </c>
      <c r="AF99" t="n">
        <v>15.1</v>
      </c>
      <c r="AG99" t="inlineStr">
        <is>
          <t>1:15.1</t>
        </is>
      </c>
      <c r="AH99" t="inlineStr">
        <is>
          <t>48%</t>
        </is>
      </c>
      <c r="AI99" t="n">
        <v>93.8</v>
      </c>
      <c r="AJ99" t="n">
        <v>77.59</v>
      </c>
    </row>
    <row r="100">
      <c r="A100" t="inlineStr">
        <is>
          <t>Autonomous University of Baja California</t>
        </is>
      </c>
      <c r="B100" t="inlineStr">
        <is>
          <t>Mexico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1501+</t>
        </is>
      </c>
      <c r="O100" t="inlineStr">
        <is>
          <t>9.7–22.7</t>
        </is>
      </c>
      <c r="P100" t="n">
        <v>13</v>
      </c>
      <c r="Q100" t="n">
        <v>9</v>
      </c>
      <c r="R100" t="n">
        <v>12.6</v>
      </c>
      <c r="S100" t="n">
        <v>17</v>
      </c>
      <c r="T100" t="n">
        <v>35.7</v>
      </c>
      <c r="U100" t="inlineStr">
        <is>
          <t>67,944</t>
        </is>
      </c>
      <c r="V100" t="n">
        <v>21.7</v>
      </c>
      <c r="W100" t="inlineStr">
        <is>
          <t>3%</t>
        </is>
      </c>
      <c r="X100" t="inlineStr">
        <is>
          <t>54 : 46</t>
        </is>
      </c>
      <c r="Y100" t="inlineStr"/>
      <c r="Z100" t="n">
        <v>1501</v>
      </c>
      <c r="AA100" t="n">
        <v>16.2</v>
      </c>
      <c r="AB100" t="inlineStr">
        <is>
          <t>U0099</t>
        </is>
      </c>
      <c r="AC100" t="inlineStr">
        <is>
          <t>ME</t>
        </is>
      </c>
      <c r="AD100" t="n">
        <v>16.2</v>
      </c>
      <c r="AE100" t="n">
        <v>12.6</v>
      </c>
      <c r="AF100" t="n">
        <v>21.7</v>
      </c>
      <c r="AG100" t="inlineStr">
        <is>
          <t>1:21.7</t>
        </is>
      </c>
      <c r="AH100" t="inlineStr">
        <is>
          <t>3%</t>
        </is>
      </c>
      <c r="AI100" t="inlineStr"/>
      <c r="AJ100" t="n">
        <v>10.56</v>
      </c>
    </row>
    <row r="101">
      <c r="A101" t="inlineStr">
        <is>
          <t>Autonomous University of Barcelona</t>
        </is>
      </c>
      <c r="B101" t="inlineStr">
        <is>
          <t>Spain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201–250</t>
        </is>
      </c>
      <c r="O101" t="inlineStr">
        <is>
          <t>55.9–58.6</t>
        </is>
      </c>
      <c r="P101" t="n">
        <v>45.1</v>
      </c>
      <c r="Q101" t="n">
        <v>41.4</v>
      </c>
      <c r="R101" t="n">
        <v>84.8</v>
      </c>
      <c r="S101" t="n">
        <v>67.59999999999999</v>
      </c>
      <c r="T101" t="n">
        <v>68.8</v>
      </c>
      <c r="U101" t="inlineStr">
        <is>
          <t>32,901</t>
        </is>
      </c>
      <c r="V101" t="n">
        <v>13.2</v>
      </c>
      <c r="W101" t="inlineStr">
        <is>
          <t>13%</t>
        </is>
      </c>
      <c r="X101" t="inlineStr">
        <is>
          <t>60 : 40</t>
        </is>
      </c>
      <c r="Y101" t="inlineStr"/>
      <c r="Z101" t="n">
        <v>201</v>
      </c>
      <c r="AA101" t="n">
        <v>57.25</v>
      </c>
      <c r="AB101" t="inlineStr">
        <is>
          <t>U0100</t>
        </is>
      </c>
      <c r="AC101" t="inlineStr">
        <is>
          <t>SP</t>
        </is>
      </c>
      <c r="AD101" t="n">
        <v>57.25</v>
      </c>
      <c r="AE101" t="n">
        <v>84.8</v>
      </c>
      <c r="AF101" t="n">
        <v>13.2</v>
      </c>
      <c r="AG101" t="inlineStr">
        <is>
          <t>1:13.2</t>
        </is>
      </c>
      <c r="AH101" t="inlineStr">
        <is>
          <t>13%</t>
        </is>
      </c>
      <c r="AI101" t="inlineStr"/>
      <c r="AJ101" t="n">
        <v>57.43</v>
      </c>
    </row>
    <row r="102">
      <c r="A102" t="inlineStr">
        <is>
          <t>Autonomous University of Madrid</t>
        </is>
      </c>
      <c r="B102" t="inlineStr">
        <is>
          <t>Spain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351–400</t>
        </is>
      </c>
      <c r="O102" t="inlineStr">
        <is>
          <t>49.1–51.0</t>
        </is>
      </c>
      <c r="P102" t="n">
        <v>38.7</v>
      </c>
      <c r="Q102" t="n">
        <v>29.9</v>
      </c>
      <c r="R102" t="n">
        <v>76.3</v>
      </c>
      <c r="S102" t="n">
        <v>65.40000000000001</v>
      </c>
      <c r="T102" t="n">
        <v>60.9</v>
      </c>
      <c r="U102" t="inlineStr">
        <is>
          <t>30,227</t>
        </is>
      </c>
      <c r="V102" t="n">
        <v>13.4</v>
      </c>
      <c r="W102" t="inlineStr">
        <is>
          <t>15%</t>
        </is>
      </c>
      <c r="X102" t="inlineStr">
        <is>
          <t>62 : 38</t>
        </is>
      </c>
      <c r="Y102" t="inlineStr"/>
      <c r="Z102" t="n">
        <v>351</v>
      </c>
      <c r="AA102" t="n">
        <v>50.05</v>
      </c>
      <c r="AB102" t="inlineStr">
        <is>
          <t>U0101</t>
        </is>
      </c>
      <c r="AC102" t="inlineStr">
        <is>
          <t>SP</t>
        </is>
      </c>
      <c r="AD102" t="n">
        <v>50.05</v>
      </c>
      <c r="AE102" t="n">
        <v>76.3</v>
      </c>
      <c r="AF102" t="n">
        <v>13.4</v>
      </c>
      <c r="AG102" t="inlineStr">
        <is>
          <t>1:13.4</t>
        </is>
      </c>
      <c r="AH102" t="inlineStr">
        <is>
          <t>15%</t>
        </is>
      </c>
      <c r="AI102" t="inlineStr"/>
      <c r="AJ102" t="n">
        <v>46.91</v>
      </c>
    </row>
    <row r="103">
      <c r="A103" t="inlineStr">
        <is>
          <t>Autonomous University of Sinaloa</t>
        </is>
      </c>
      <c r="B103" t="inlineStr">
        <is>
          <t>Mexico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1201–1500</t>
        </is>
      </c>
      <c r="O103" t="inlineStr">
        <is>
          <t>22.8–28.2</t>
        </is>
      </c>
      <c r="P103" t="n">
        <v>13.5</v>
      </c>
      <c r="Q103" t="n">
        <v>12.1</v>
      </c>
      <c r="R103" t="n">
        <v>46.7</v>
      </c>
      <c r="S103" t="n">
        <v>15.9</v>
      </c>
      <c r="T103" t="n">
        <v>30.2</v>
      </c>
      <c r="U103" t="inlineStr">
        <is>
          <t>74,001</t>
        </is>
      </c>
      <c r="V103" t="n">
        <v>21.8</v>
      </c>
      <c r="W103" t="inlineStr">
        <is>
          <t>1%</t>
        </is>
      </c>
      <c r="X103" t="inlineStr">
        <is>
          <t>56 : 44</t>
        </is>
      </c>
      <c r="Y103" t="inlineStr"/>
      <c r="Z103" t="n">
        <v>1201</v>
      </c>
      <c r="AA103" t="n">
        <v>25.5</v>
      </c>
      <c r="AB103" t="inlineStr">
        <is>
          <t>U0102</t>
        </is>
      </c>
      <c r="AC103" t="inlineStr">
        <is>
          <t>ME</t>
        </is>
      </c>
      <c r="AD103" t="n">
        <v>25.5</v>
      </c>
      <c r="AE103" t="n">
        <v>46.7</v>
      </c>
      <c r="AF103" t="n">
        <v>21.8</v>
      </c>
      <c r="AG103" t="inlineStr">
        <is>
          <t>1:21.8</t>
        </is>
      </c>
      <c r="AH103" t="inlineStr">
        <is>
          <t>1%</t>
        </is>
      </c>
      <c r="AI103" t="inlineStr"/>
      <c r="AJ103" t="n">
        <v>21.19</v>
      </c>
    </row>
    <row r="104">
      <c r="A104" t="inlineStr">
        <is>
          <t>Azarbaijan Shahid Madani University</t>
        </is>
      </c>
      <c r="B104" t="inlineStr">
        <is>
          <t>Iran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1001–1200</t>
        </is>
      </c>
      <c r="O104" t="inlineStr">
        <is>
          <t>28.3–32.6</t>
        </is>
      </c>
      <c r="P104" t="n">
        <v>14.9</v>
      </c>
      <c r="Q104" t="n">
        <v>15.3</v>
      </c>
      <c r="R104" t="n">
        <v>67.90000000000001</v>
      </c>
      <c r="S104" t="n">
        <v>19</v>
      </c>
      <c r="T104" t="n">
        <v>27.9</v>
      </c>
      <c r="U104" t="inlineStr">
        <is>
          <t>7,477</t>
        </is>
      </c>
      <c r="V104" t="n">
        <v>27.1</v>
      </c>
      <c r="W104" t="inlineStr">
        <is>
          <t>2%</t>
        </is>
      </c>
      <c r="X104" t="inlineStr">
        <is>
          <t>61 : 39</t>
        </is>
      </c>
      <c r="Y104" t="inlineStr"/>
      <c r="Z104" t="n">
        <v>1001</v>
      </c>
      <c r="AA104" t="n">
        <v>30.45</v>
      </c>
      <c r="AB104" t="inlineStr">
        <is>
          <t>U0103</t>
        </is>
      </c>
      <c r="AC104" t="inlineStr">
        <is>
          <t>IR</t>
        </is>
      </c>
      <c r="AD104" t="n">
        <v>30.45</v>
      </c>
      <c r="AE104" t="n">
        <v>67.90000000000001</v>
      </c>
      <c r="AF104" t="n">
        <v>27.1</v>
      </c>
      <c r="AG104" t="inlineStr">
        <is>
          <t>1:27.1</t>
        </is>
      </c>
      <c r="AH104" t="inlineStr">
        <is>
          <t>2%</t>
        </is>
      </c>
      <c r="AI104" t="inlineStr"/>
      <c r="AJ104" t="n">
        <v>28.73</v>
      </c>
    </row>
    <row r="105">
      <c r="A105" t="inlineStr">
        <is>
          <t>Azerbaijan State Oil and Industry University</t>
        </is>
      </c>
      <c r="B105" t="inlineStr">
        <is>
          <t>Azerbaijan</t>
        </is>
      </c>
      <c r="C105" t="inlineStr">
        <is>
          <t>1001-1200</t>
        </is>
      </c>
      <c r="D105" t="inlineStr"/>
      <c r="E105" t="n">
        <v>7.3</v>
      </c>
      <c r="F105" t="n">
        <v>5.3</v>
      </c>
      <c r="G105" t="n">
        <v>29.9</v>
      </c>
      <c r="H105" t="n">
        <v>1.1</v>
      </c>
      <c r="I105" t="n">
        <v>17.4</v>
      </c>
      <c r="J105" t="n">
        <v>2.6</v>
      </c>
      <c r="K105" t="n">
        <v>6.6</v>
      </c>
      <c r="L105" t="n">
        <v>31.4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1001</v>
      </c>
      <c r="Z105" t="inlineStr"/>
      <c r="AA105" t="inlineStr"/>
      <c r="AB105" t="inlineStr">
        <is>
          <t>U0104</t>
        </is>
      </c>
      <c r="AC105" t="inlineStr">
        <is>
          <t>AZ</t>
        </is>
      </c>
      <c r="AD105" t="inlineStr"/>
      <c r="AE105" t="n">
        <v>1.1</v>
      </c>
      <c r="AF105" t="inlineStr"/>
      <c r="AG105" t="inlineStr"/>
      <c r="AH105" t="inlineStr"/>
      <c r="AI105" t="n">
        <v>7.3</v>
      </c>
      <c r="AJ105" t="n">
        <v>13.72</v>
      </c>
    </row>
    <row r="106">
      <c r="A106" t="inlineStr">
        <is>
          <t>Azerbaijan State University of Economics</t>
        </is>
      </c>
      <c r="B106" t="inlineStr">
        <is>
          <t>Azerbaijan</t>
        </is>
      </c>
      <c r="C106" t="inlineStr">
        <is>
          <t>1001-1200</t>
        </is>
      </c>
      <c r="D106" t="inlineStr"/>
      <c r="E106" t="n">
        <v>13</v>
      </c>
      <c r="F106" t="n">
        <v>14.5</v>
      </c>
      <c r="G106" t="n">
        <v>26.1</v>
      </c>
      <c r="H106" t="n">
        <v>1.2</v>
      </c>
      <c r="I106" t="n">
        <v>14.2</v>
      </c>
      <c r="J106" t="n">
        <v>3.4</v>
      </c>
      <c r="K106" t="n">
        <v>4.6</v>
      </c>
      <c r="L106" t="n">
        <v>38.6</v>
      </c>
      <c r="M106" t="n">
        <v>1.9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1001</v>
      </c>
      <c r="Z106" t="inlineStr"/>
      <c r="AA106" t="inlineStr"/>
      <c r="AB106" t="inlineStr">
        <is>
          <t>U0105</t>
        </is>
      </c>
      <c r="AC106" t="inlineStr">
        <is>
          <t>AZ</t>
        </is>
      </c>
      <c r="AD106" t="inlineStr"/>
      <c r="AE106" t="n">
        <v>1.2</v>
      </c>
      <c r="AF106" t="inlineStr"/>
      <c r="AG106" t="inlineStr"/>
      <c r="AH106" t="inlineStr"/>
      <c r="AI106" t="n">
        <v>13</v>
      </c>
      <c r="AJ106" t="n">
        <v>13.75</v>
      </c>
    </row>
    <row r="107">
      <c r="A107" t="inlineStr">
        <is>
          <t>B. S. Abdur Rahman Crescent Institute of Science and Technology</t>
        </is>
      </c>
      <c r="B107" t="inlineStr">
        <is>
          <t>India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1201–1500</t>
        </is>
      </c>
      <c r="O107" t="inlineStr">
        <is>
          <t>22.8–28.2</t>
        </is>
      </c>
      <c r="P107" t="n">
        <v>18.6</v>
      </c>
      <c r="Q107" t="n">
        <v>9.9</v>
      </c>
      <c r="R107" t="n">
        <v>43.6</v>
      </c>
      <c r="S107" t="n">
        <v>17.4</v>
      </c>
      <c r="T107" t="n">
        <v>24.6</v>
      </c>
      <c r="U107" t="inlineStr">
        <is>
          <t>7,805</t>
        </is>
      </c>
      <c r="V107" t="n">
        <v>18.3</v>
      </c>
      <c r="W107" t="inlineStr">
        <is>
          <t>0%</t>
        </is>
      </c>
      <c r="X107" t="inlineStr">
        <is>
          <t>31 : 69</t>
        </is>
      </c>
      <c r="Y107" t="inlineStr"/>
      <c r="Z107" t="n">
        <v>1201</v>
      </c>
      <c r="AA107" t="n">
        <v>25.5</v>
      </c>
      <c r="AB107" t="inlineStr">
        <is>
          <t>U0106</t>
        </is>
      </c>
      <c r="AC107" t="inlineStr">
        <is>
          <t>IN</t>
        </is>
      </c>
      <c r="AD107" t="n">
        <v>25.5</v>
      </c>
      <c r="AE107" t="n">
        <v>43.6</v>
      </c>
      <c r="AF107" t="n">
        <v>18.3</v>
      </c>
      <c r="AG107" t="inlineStr">
        <is>
          <t>1:18.3</t>
        </is>
      </c>
      <c r="AH107" t="inlineStr">
        <is>
          <t>0%</t>
        </is>
      </c>
      <c r="AI107" t="inlineStr"/>
      <c r="AJ107" t="n">
        <v>17.74</v>
      </c>
    </row>
    <row r="108">
      <c r="A108" t="inlineStr">
        <is>
          <t>Başkent University</t>
        </is>
      </c>
      <c r="B108" t="inlineStr">
        <is>
          <t>Turkey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1501+</t>
        </is>
      </c>
      <c r="O108" t="inlineStr">
        <is>
          <t>9.7–22.7</t>
        </is>
      </c>
      <c r="P108" t="n">
        <v>20</v>
      </c>
      <c r="Q108" t="n">
        <v>12.2</v>
      </c>
      <c r="R108" t="n">
        <v>15.7</v>
      </c>
      <c r="S108" t="n">
        <v>29.1</v>
      </c>
      <c r="T108" t="n">
        <v>22</v>
      </c>
      <c r="U108" t="inlineStr">
        <is>
          <t>13,970</t>
        </is>
      </c>
      <c r="V108" t="n">
        <v>13.3</v>
      </c>
      <c r="W108" t="inlineStr">
        <is>
          <t>3%</t>
        </is>
      </c>
      <c r="X108" t="inlineStr">
        <is>
          <t>49 : 51</t>
        </is>
      </c>
      <c r="Y108" t="inlineStr"/>
      <c r="Z108" t="n">
        <v>1501</v>
      </c>
      <c r="AA108" t="n">
        <v>16.2</v>
      </c>
      <c r="AB108" t="inlineStr">
        <is>
          <t>U0107</t>
        </is>
      </c>
      <c r="AC108" t="inlineStr">
        <is>
          <t>TU</t>
        </is>
      </c>
      <c r="AD108" t="n">
        <v>16.2</v>
      </c>
      <c r="AE108" t="n">
        <v>15.7</v>
      </c>
      <c r="AF108" t="n">
        <v>13.3</v>
      </c>
      <c r="AG108" t="inlineStr">
        <is>
          <t>1:13.3</t>
        </is>
      </c>
      <c r="AH108" t="inlineStr">
        <is>
          <t>3%</t>
        </is>
      </c>
      <c r="AI108" t="inlineStr"/>
      <c r="AJ108" t="n">
        <v>9.859999999999999</v>
      </c>
    </row>
    <row r="109">
      <c r="A109" t="inlineStr">
        <is>
          <t>Babeş-Bolyai University</t>
        </is>
      </c>
      <c r="B109" t="inlineStr">
        <is>
          <t>Romania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1001–1200</t>
        </is>
      </c>
      <c r="O109" t="inlineStr">
        <is>
          <t>28.3–32.6</t>
        </is>
      </c>
      <c r="P109" t="n">
        <v>23.3</v>
      </c>
      <c r="Q109" t="n">
        <v>16.8</v>
      </c>
      <c r="R109" t="n">
        <v>46</v>
      </c>
      <c r="S109" t="n">
        <v>35.2</v>
      </c>
      <c r="T109" t="n">
        <v>39</v>
      </c>
      <c r="U109" t="inlineStr">
        <is>
          <t>43,018</t>
        </is>
      </c>
      <c r="V109" t="n">
        <v>21.1</v>
      </c>
      <c r="W109" t="inlineStr">
        <is>
          <t>4%</t>
        </is>
      </c>
      <c r="X109" t="inlineStr">
        <is>
          <t>64 : 36</t>
        </is>
      </c>
      <c r="Y109" t="inlineStr"/>
      <c r="Z109" t="n">
        <v>1001</v>
      </c>
      <c r="AA109" t="n">
        <v>30.45</v>
      </c>
      <c r="AB109" t="inlineStr">
        <is>
          <t>U0108</t>
        </is>
      </c>
      <c r="AC109" t="inlineStr">
        <is>
          <t>RO</t>
        </is>
      </c>
      <c r="AD109" t="n">
        <v>30.45</v>
      </c>
      <c r="AE109" t="n">
        <v>46</v>
      </c>
      <c r="AF109" t="n">
        <v>21.1</v>
      </c>
      <c r="AG109" t="inlineStr">
        <is>
          <t>1:21.1</t>
        </is>
      </c>
      <c r="AH109" t="inlineStr">
        <is>
          <t>4%</t>
        </is>
      </c>
      <c r="AI109" t="inlineStr"/>
      <c r="AJ109" t="n">
        <v>25.57</v>
      </c>
    </row>
    <row r="110">
      <c r="A110" t="inlineStr">
        <is>
          <t>Babes-Bolyai University</t>
        </is>
      </c>
      <c r="B110" t="inlineStr">
        <is>
          <t>Romania</t>
        </is>
      </c>
      <c r="C110" t="inlineStr">
        <is>
          <t>781-790</t>
        </is>
      </c>
      <c r="D110" t="inlineStr"/>
      <c r="E110" t="n">
        <v>15.5</v>
      </c>
      <c r="F110" t="n">
        <v>19.5</v>
      </c>
      <c r="G110" t="n">
        <v>5.3</v>
      </c>
      <c r="H110" t="n">
        <v>4.4</v>
      </c>
      <c r="I110" t="n">
        <v>7.8</v>
      </c>
      <c r="J110" t="n">
        <v>3.8</v>
      </c>
      <c r="K110" t="n">
        <v>80.09999999999999</v>
      </c>
      <c r="L110" t="n">
        <v>26.7</v>
      </c>
      <c r="M110" t="n">
        <v>42.7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781</v>
      </c>
      <c r="Z110" t="inlineStr"/>
      <c r="AA110" t="inlineStr"/>
      <c r="AB110" t="inlineStr">
        <is>
          <t>U0109</t>
        </is>
      </c>
      <c r="AC110" t="inlineStr">
        <is>
          <t>RO</t>
        </is>
      </c>
      <c r="AD110" t="inlineStr"/>
      <c r="AE110" t="n">
        <v>4.4</v>
      </c>
      <c r="AF110" t="inlineStr"/>
      <c r="AG110" t="inlineStr"/>
      <c r="AH110" t="inlineStr"/>
      <c r="AI110" t="n">
        <v>15.5</v>
      </c>
      <c r="AJ110" t="n">
        <v>14.72</v>
      </c>
    </row>
    <row r="111">
      <c r="A111" t="inlineStr">
        <is>
          <t>Babol Noshirvani University of Technology</t>
        </is>
      </c>
      <c r="B111" t="inlineStr">
        <is>
          <t>Iran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501–600</t>
        </is>
      </c>
      <c r="O111" t="inlineStr">
        <is>
          <t>41.9–45.3</t>
        </is>
      </c>
      <c r="P111" t="n">
        <v>21.5</v>
      </c>
      <c r="Q111" t="n">
        <v>21.5</v>
      </c>
      <c r="R111" t="n">
        <v>94.40000000000001</v>
      </c>
      <c r="S111" t="n">
        <v>28.4</v>
      </c>
      <c r="T111" t="n">
        <v>25.3</v>
      </c>
      <c r="U111" t="inlineStr">
        <is>
          <t>5,815</t>
        </is>
      </c>
      <c r="V111" t="n">
        <v>26.7</v>
      </c>
      <c r="W111" t="inlineStr">
        <is>
          <t>0%</t>
        </is>
      </c>
      <c r="X111" t="inlineStr">
        <is>
          <t>34 : 66</t>
        </is>
      </c>
      <c r="Y111" t="inlineStr"/>
      <c r="Z111" t="n">
        <v>501</v>
      </c>
      <c r="AA111" t="n">
        <v>43.59999999999999</v>
      </c>
      <c r="AB111" t="inlineStr">
        <is>
          <t>U0110</t>
        </is>
      </c>
      <c r="AC111" t="inlineStr">
        <is>
          <t>IR</t>
        </is>
      </c>
      <c r="AD111" t="n">
        <v>43.59999999999999</v>
      </c>
      <c r="AE111" t="n">
        <v>94.40000000000001</v>
      </c>
      <c r="AF111" t="n">
        <v>26.7</v>
      </c>
      <c r="AG111" t="inlineStr">
        <is>
          <t>1:26.7</t>
        </is>
      </c>
      <c r="AH111" t="inlineStr">
        <is>
          <t>0%</t>
        </is>
      </c>
      <c r="AI111" t="inlineStr"/>
      <c r="AJ111" t="n">
        <v>39.39</v>
      </c>
    </row>
    <row r="112">
      <c r="A112" t="inlineStr">
        <is>
          <t>Babol University of Medical Sciences</t>
        </is>
      </c>
      <c r="B112" t="inlineStr">
        <is>
          <t>Iran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601–800</t>
        </is>
      </c>
      <c r="O112" t="inlineStr">
        <is>
          <t>37.0–41.8</t>
        </is>
      </c>
      <c r="P112" t="n">
        <v>41.7</v>
      </c>
      <c r="Q112" t="n">
        <v>12</v>
      </c>
      <c r="R112" t="n">
        <v>70.5</v>
      </c>
      <c r="S112" t="n">
        <v>18</v>
      </c>
      <c r="T112" t="n">
        <v>21</v>
      </c>
      <c r="U112" t="inlineStr">
        <is>
          <t>4,135</t>
        </is>
      </c>
      <c r="V112" t="n">
        <v>11.7</v>
      </c>
      <c r="W112" t="inlineStr">
        <is>
          <t>0%</t>
        </is>
      </c>
      <c r="X112" t="inlineStr">
        <is>
          <t>57 : 43</t>
        </is>
      </c>
      <c r="Y112" t="inlineStr"/>
      <c r="Z112" t="n">
        <v>601</v>
      </c>
      <c r="AA112" t="n">
        <v>39.4</v>
      </c>
      <c r="AB112" t="inlineStr">
        <is>
          <t>U0111</t>
        </is>
      </c>
      <c r="AC112" t="inlineStr">
        <is>
          <t>IR</t>
        </is>
      </c>
      <c r="AD112" t="n">
        <v>39.4</v>
      </c>
      <c r="AE112" t="n">
        <v>70.5</v>
      </c>
      <c r="AF112" t="n">
        <v>11.7</v>
      </c>
      <c r="AG112" t="inlineStr">
        <is>
          <t>1:11.7</t>
        </is>
      </c>
      <c r="AH112" t="inlineStr">
        <is>
          <t>0%</t>
        </is>
      </c>
      <c r="AI112" t="inlineStr"/>
      <c r="AJ112" t="n">
        <v>26.12</v>
      </c>
    </row>
    <row r="113">
      <c r="A113" t="inlineStr">
        <is>
          <t>Badji Mokhtar University – Annaba</t>
        </is>
      </c>
      <c r="B113" t="inlineStr">
        <is>
          <t>Algeria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1501+</t>
        </is>
      </c>
      <c r="O113" t="inlineStr">
        <is>
          <t>9.7–22.7</t>
        </is>
      </c>
      <c r="P113" t="n">
        <v>34.1</v>
      </c>
      <c r="Q113" t="n">
        <v>16.2</v>
      </c>
      <c r="R113" t="n">
        <v>12.5</v>
      </c>
      <c r="S113" t="n">
        <v>16.9</v>
      </c>
      <c r="T113" t="n">
        <v>35</v>
      </c>
      <c r="U113" t="inlineStr">
        <is>
          <t>38,030</t>
        </is>
      </c>
      <c r="V113" t="n">
        <v>11.9</v>
      </c>
      <c r="W113" t="inlineStr">
        <is>
          <t>2%</t>
        </is>
      </c>
      <c r="X113" t="inlineStr">
        <is>
          <t>63 : 37</t>
        </is>
      </c>
      <c r="Y113" t="inlineStr"/>
      <c r="Z113" t="n">
        <v>1501</v>
      </c>
      <c r="AA113" t="n">
        <v>16.2</v>
      </c>
      <c r="AB113" t="inlineStr">
        <is>
          <t>U0112</t>
        </is>
      </c>
      <c r="AC113" t="inlineStr">
        <is>
          <t>AL</t>
        </is>
      </c>
      <c r="AD113" t="n">
        <v>16.2</v>
      </c>
      <c r="AE113" t="n">
        <v>12.5</v>
      </c>
      <c r="AF113" t="n">
        <v>11.9</v>
      </c>
      <c r="AG113" t="inlineStr">
        <is>
          <t>1:11.9</t>
        </is>
      </c>
      <c r="AH113" t="inlineStr">
        <is>
          <t>2%</t>
        </is>
      </c>
      <c r="AI113" t="inlineStr"/>
      <c r="AJ113" t="n">
        <v>14.14</v>
      </c>
    </row>
    <row r="114">
      <c r="A114" t="inlineStr">
        <is>
          <t>Bahçeşehir University</t>
        </is>
      </c>
      <c r="B114" t="inlineStr">
        <is>
          <t>Turkey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801–1000</t>
        </is>
      </c>
      <c r="O114" t="inlineStr">
        <is>
          <t>32.7–36.9</t>
        </is>
      </c>
      <c r="P114" t="n">
        <v>19.5</v>
      </c>
      <c r="Q114" t="n">
        <v>24.4</v>
      </c>
      <c r="R114" t="n">
        <v>59.4</v>
      </c>
      <c r="S114" t="n">
        <v>39.6</v>
      </c>
      <c r="T114" t="n">
        <v>61.2</v>
      </c>
      <c r="U114" t="inlineStr">
        <is>
          <t>18,795</t>
        </is>
      </c>
      <c r="V114" t="n">
        <v>47.9</v>
      </c>
      <c r="W114" t="inlineStr">
        <is>
          <t>22%</t>
        </is>
      </c>
      <c r="X114" t="inlineStr">
        <is>
          <t>50 : 50</t>
        </is>
      </c>
      <c r="Y114" t="inlineStr"/>
      <c r="Z114" t="n">
        <v>801</v>
      </c>
      <c r="AA114" t="n">
        <v>34.8</v>
      </c>
      <c r="AB114" t="inlineStr">
        <is>
          <t>U0113</t>
        </is>
      </c>
      <c r="AC114" t="inlineStr">
        <is>
          <t>TU</t>
        </is>
      </c>
      <c r="AD114" t="n">
        <v>34.8</v>
      </c>
      <c r="AE114" t="n">
        <v>59.4</v>
      </c>
      <c r="AF114" t="n">
        <v>47.9</v>
      </c>
      <c r="AG114" t="inlineStr">
        <is>
          <t>1:47.9</t>
        </is>
      </c>
      <c r="AH114" t="inlineStr">
        <is>
          <t>22%</t>
        </is>
      </c>
      <c r="AI114" t="inlineStr"/>
      <c r="AJ114" t="n">
        <v>38.98</v>
      </c>
    </row>
    <row r="115">
      <c r="A115" t="inlineStr">
        <is>
          <t xml:space="preserve">Bahauddin Zakariya University </t>
        </is>
      </c>
      <c r="B115" t="inlineStr">
        <is>
          <t>Pakistan</t>
        </is>
      </c>
      <c r="C115" t="inlineStr">
        <is>
          <t>1201-1400</t>
        </is>
      </c>
      <c r="D115" t="inlineStr"/>
      <c r="E115" t="n">
        <v>6</v>
      </c>
      <c r="F115" t="n">
        <v>6.2</v>
      </c>
      <c r="G115" t="n">
        <v>1.8</v>
      </c>
      <c r="H115" t="n">
        <v>14.6</v>
      </c>
      <c r="I115" t="inlineStr"/>
      <c r="J115" t="n">
        <v>1</v>
      </c>
      <c r="K115" t="n">
        <v>44.6</v>
      </c>
      <c r="L115" t="n">
        <v>4.1</v>
      </c>
      <c r="M115" t="n">
        <v>1</v>
      </c>
      <c r="N115" t="inlineStr">
        <is>
          <t>1001–1200</t>
        </is>
      </c>
      <c r="O115" t="inlineStr">
        <is>
          <t>28.3–32.6</t>
        </is>
      </c>
      <c r="P115" t="n">
        <v>19.6</v>
      </c>
      <c r="Q115" t="n">
        <v>12.6</v>
      </c>
      <c r="R115" t="n">
        <v>58.5</v>
      </c>
      <c r="S115" t="n">
        <v>19.2</v>
      </c>
      <c r="T115" t="n">
        <v>48.1</v>
      </c>
      <c r="U115" t="inlineStr">
        <is>
          <t>26,994</t>
        </is>
      </c>
      <c r="V115" t="n">
        <v>27.2</v>
      </c>
      <c r="W115" t="inlineStr">
        <is>
          <t>0%</t>
        </is>
      </c>
      <c r="X115" t="inlineStr">
        <is>
          <t>40 : 60</t>
        </is>
      </c>
      <c r="Y115" t="n">
        <v>1201</v>
      </c>
      <c r="Z115" t="n">
        <v>1001</v>
      </c>
      <c r="AA115" t="n">
        <v>30.45</v>
      </c>
      <c r="AB115" t="inlineStr">
        <is>
          <t>U0114</t>
        </is>
      </c>
      <c r="AC115" t="inlineStr">
        <is>
          <t>PA</t>
        </is>
      </c>
      <c r="AD115" t="n">
        <v>30.45</v>
      </c>
      <c r="AE115" t="n">
        <v>14.6</v>
      </c>
      <c r="AF115" t="n">
        <v>27.2</v>
      </c>
      <c r="AG115" t="inlineStr">
        <is>
          <t>1:27.2</t>
        </is>
      </c>
      <c r="AH115" t="inlineStr">
        <is>
          <t>0%</t>
        </is>
      </c>
      <c r="AI115" t="n">
        <v>6</v>
      </c>
      <c r="AJ115" t="n">
        <v>16.05</v>
      </c>
    </row>
    <row r="116">
      <c r="A116" t="inlineStr">
        <is>
          <t>Bahria University</t>
        </is>
      </c>
      <c r="B116" t="inlineStr">
        <is>
          <t>Pakistan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801–1000</t>
        </is>
      </c>
      <c r="O116" t="inlineStr">
        <is>
          <t>32.7–36.9</t>
        </is>
      </c>
      <c r="P116" t="n">
        <v>14.2</v>
      </c>
      <c r="Q116" t="n">
        <v>9.699999999999999</v>
      </c>
      <c r="R116" t="n">
        <v>77.3</v>
      </c>
      <c r="S116" t="n">
        <v>16.2</v>
      </c>
      <c r="T116" t="n">
        <v>48.7</v>
      </c>
      <c r="U116" t="inlineStr">
        <is>
          <t>20,224</t>
        </is>
      </c>
      <c r="V116" t="n">
        <v>20.3</v>
      </c>
      <c r="W116" t="inlineStr">
        <is>
          <t>1%</t>
        </is>
      </c>
      <c r="X116" t="inlineStr">
        <is>
          <t>45 : 55</t>
        </is>
      </c>
      <c r="Y116" t="inlineStr"/>
      <c r="Z116" t="n">
        <v>801</v>
      </c>
      <c r="AA116" t="n">
        <v>34.8</v>
      </c>
      <c r="AB116" t="inlineStr">
        <is>
          <t>U0115</t>
        </is>
      </c>
      <c r="AC116" t="inlineStr">
        <is>
          <t>PA</t>
        </is>
      </c>
      <c r="AD116" t="n">
        <v>34.8</v>
      </c>
      <c r="AE116" t="n">
        <v>77.3</v>
      </c>
      <c r="AF116" t="n">
        <v>20.3</v>
      </c>
      <c r="AG116" t="inlineStr">
        <is>
          <t>1:20.3</t>
        </is>
      </c>
      <c r="AH116" t="inlineStr">
        <is>
          <t>1%</t>
        </is>
      </c>
      <c r="AI116" t="inlineStr"/>
      <c r="AJ116" t="n">
        <v>33.68</v>
      </c>
    </row>
    <row r="117">
      <c r="A117" t="inlineStr">
        <is>
          <t>Baku State University</t>
        </is>
      </c>
      <c r="B117" t="inlineStr">
        <is>
          <t>Azerbaijan</t>
        </is>
      </c>
      <c r="C117" t="inlineStr">
        <is>
          <t>951-1000</t>
        </is>
      </c>
      <c r="D117" t="inlineStr"/>
      <c r="E117" t="n">
        <v>12.9</v>
      </c>
      <c r="F117" t="n">
        <v>5.5</v>
      </c>
      <c r="G117" t="n">
        <v>41.7</v>
      </c>
      <c r="H117" t="n">
        <v>1.4</v>
      </c>
      <c r="I117" t="n">
        <v>5.3</v>
      </c>
      <c r="J117" t="n">
        <v>2.2</v>
      </c>
      <c r="K117" t="n">
        <v>16.7</v>
      </c>
      <c r="L117" t="n">
        <v>47.7</v>
      </c>
      <c r="M117" t="n">
        <v>1.3</v>
      </c>
      <c r="N117" t="inlineStr">
        <is>
          <t>1501+</t>
        </is>
      </c>
      <c r="O117" t="inlineStr">
        <is>
          <t>9.7–22.7</t>
        </is>
      </c>
      <c r="P117" t="n">
        <v>20.1</v>
      </c>
      <c r="Q117" t="n">
        <v>8.6</v>
      </c>
      <c r="R117" t="n">
        <v>13.8</v>
      </c>
      <c r="S117" t="n">
        <v>19.7</v>
      </c>
      <c r="T117" t="n">
        <v>35.5</v>
      </c>
      <c r="U117" t="inlineStr">
        <is>
          <t>23,684</t>
        </is>
      </c>
      <c r="V117" t="n">
        <v>13.2</v>
      </c>
      <c r="W117" t="inlineStr">
        <is>
          <t>2%</t>
        </is>
      </c>
      <c r="X117" t="inlineStr">
        <is>
          <t>66 : 34</t>
        </is>
      </c>
      <c r="Y117" t="n">
        <v>951</v>
      </c>
      <c r="Z117" t="n">
        <v>1501</v>
      </c>
      <c r="AA117" t="n">
        <v>16.2</v>
      </c>
      <c r="AB117" t="inlineStr">
        <is>
          <t>U0116</t>
        </is>
      </c>
      <c r="AC117" t="inlineStr">
        <is>
          <t>AZ</t>
        </is>
      </c>
      <c r="AD117" t="n">
        <v>16.2</v>
      </c>
      <c r="AE117" t="n">
        <v>1.4</v>
      </c>
      <c r="AF117" t="n">
        <v>13.2</v>
      </c>
      <c r="AG117" t="inlineStr">
        <is>
          <t>1:13.2</t>
        </is>
      </c>
      <c r="AH117" t="inlineStr">
        <is>
          <t>2%</t>
        </is>
      </c>
      <c r="AI117" t="n">
        <v>12.9</v>
      </c>
      <c r="AJ117" t="n">
        <v>6.91</v>
      </c>
    </row>
    <row r="118">
      <c r="A118" t="inlineStr">
        <is>
          <t>Banaras Hindu University</t>
        </is>
      </c>
      <c r="B118" t="inlineStr">
        <is>
          <t>India</t>
        </is>
      </c>
      <c r="C118" t="inlineStr">
        <is>
          <t>1001-1200</t>
        </is>
      </c>
      <c r="D118" t="inlineStr"/>
      <c r="E118" t="n">
        <v>13.5</v>
      </c>
      <c r="F118" t="n">
        <v>8</v>
      </c>
      <c r="G118" t="n">
        <v>12.4</v>
      </c>
      <c r="H118" t="n">
        <v>9</v>
      </c>
      <c r="I118" t="n">
        <v>1.2</v>
      </c>
      <c r="J118" t="n">
        <v>1.7</v>
      </c>
      <c r="K118" t="n">
        <v>56.4</v>
      </c>
      <c r="L118" t="n">
        <v>8.800000000000001</v>
      </c>
      <c r="M118" t="n">
        <v>2.7</v>
      </c>
      <c r="N118" t="inlineStr">
        <is>
          <t>601–800</t>
        </is>
      </c>
      <c r="O118" t="inlineStr">
        <is>
          <t>37.0–41.8</t>
        </is>
      </c>
      <c r="P118" t="n">
        <v>47.2</v>
      </c>
      <c r="Q118" t="n">
        <v>16.4</v>
      </c>
      <c r="R118" t="n">
        <v>66.40000000000001</v>
      </c>
      <c r="S118" t="n">
        <v>26.8</v>
      </c>
      <c r="T118" t="n">
        <v>25</v>
      </c>
      <c r="U118" t="inlineStr">
        <is>
          <t>12,620</t>
        </is>
      </c>
      <c r="V118" t="n">
        <v>8</v>
      </c>
      <c r="W118" t="inlineStr">
        <is>
          <t>3%</t>
        </is>
      </c>
      <c r="X118" t="inlineStr">
        <is>
          <t>43 : 57</t>
        </is>
      </c>
      <c r="Y118" t="n">
        <v>1001</v>
      </c>
      <c r="Z118" t="n">
        <v>601</v>
      </c>
      <c r="AA118" t="n">
        <v>39.4</v>
      </c>
      <c r="AB118" t="inlineStr">
        <is>
          <t>U0117</t>
        </is>
      </c>
      <c r="AC118" t="inlineStr">
        <is>
          <t>IN</t>
        </is>
      </c>
      <c r="AD118" t="n">
        <v>39.4</v>
      </c>
      <c r="AE118" t="n">
        <v>9</v>
      </c>
      <c r="AF118" t="n">
        <v>8</v>
      </c>
      <c r="AG118" t="inlineStr">
        <is>
          <t>1:8.0</t>
        </is>
      </c>
      <c r="AH118" t="inlineStr">
        <is>
          <t>3%</t>
        </is>
      </c>
      <c r="AI118" t="n">
        <v>13.5</v>
      </c>
      <c r="AJ118" t="n">
        <v>10.76</v>
      </c>
    </row>
    <row r="119">
      <c r="A119" t="inlineStr">
        <is>
          <t>Banasthali University</t>
        </is>
      </c>
      <c r="B119" t="inlineStr">
        <is>
          <t>India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1201–1500</t>
        </is>
      </c>
      <c r="O119" t="inlineStr">
        <is>
          <t>22.8–28.2</t>
        </is>
      </c>
      <c r="P119" t="n">
        <v>34.6</v>
      </c>
      <c r="Q119" t="n">
        <v>11.7</v>
      </c>
      <c r="R119" t="n">
        <v>31.4</v>
      </c>
      <c r="S119" t="n">
        <v>23.8</v>
      </c>
      <c r="T119" t="n">
        <v>25.6</v>
      </c>
      <c r="U119" t="inlineStr">
        <is>
          <t>9,873</t>
        </is>
      </c>
      <c r="V119" t="n">
        <v>16.8</v>
      </c>
      <c r="W119" t="inlineStr">
        <is>
          <t>4%</t>
        </is>
      </c>
      <c r="X119" t="inlineStr">
        <is>
          <t>99 : 1</t>
        </is>
      </c>
      <c r="Y119" t="inlineStr"/>
      <c r="Z119" t="n">
        <v>1201</v>
      </c>
      <c r="AA119" t="n">
        <v>25.5</v>
      </c>
      <c r="AB119" t="inlineStr">
        <is>
          <t>U0118</t>
        </is>
      </c>
      <c r="AC119" t="inlineStr">
        <is>
          <t>IN</t>
        </is>
      </c>
      <c r="AD119" t="n">
        <v>25.5</v>
      </c>
      <c r="AE119" t="n">
        <v>31.4</v>
      </c>
      <c r="AF119" t="n">
        <v>16.8</v>
      </c>
      <c r="AG119" t="inlineStr">
        <is>
          <t>1:16.8</t>
        </is>
      </c>
      <c r="AH119" t="inlineStr">
        <is>
          <t>4%</t>
        </is>
      </c>
      <c r="AI119" t="inlineStr"/>
      <c r="AJ119" t="n">
        <v>15.23</v>
      </c>
    </row>
    <row r="120">
      <c r="A120" t="inlineStr">
        <is>
          <t>Bandung Institute of Technology (ITB)</t>
        </is>
      </c>
      <c r="B120" t="inlineStr">
        <is>
          <t>Indonesia</t>
        </is>
      </c>
      <c r="C120" t="inlineStr">
        <is>
          <t>256</t>
        </is>
      </c>
      <c r="D120" t="n">
        <v>39.9</v>
      </c>
      <c r="E120" t="n">
        <v>43.2</v>
      </c>
      <c r="F120" t="n">
        <v>72.7</v>
      </c>
      <c r="G120" t="n">
        <v>55.8</v>
      </c>
      <c r="H120" t="n">
        <v>2.6</v>
      </c>
      <c r="I120" t="n">
        <v>94.40000000000001</v>
      </c>
      <c r="J120" t="n">
        <v>3.8</v>
      </c>
      <c r="K120" t="n">
        <v>26.3</v>
      </c>
      <c r="L120" t="n">
        <v>49.2</v>
      </c>
      <c r="M120" t="n">
        <v>37.6</v>
      </c>
      <c r="N120" t="inlineStr">
        <is>
          <t>1201–1500</t>
        </is>
      </c>
      <c r="O120" t="inlineStr">
        <is>
          <t>22.8–28.2</t>
        </is>
      </c>
      <c r="P120" t="n">
        <v>23.7</v>
      </c>
      <c r="Q120" t="n">
        <v>17.1</v>
      </c>
      <c r="R120" t="n">
        <v>29.2</v>
      </c>
      <c r="S120" t="n">
        <v>29.4</v>
      </c>
      <c r="T120" t="n">
        <v>38.5</v>
      </c>
      <c r="U120" t="inlineStr">
        <is>
          <t>27,774</t>
        </is>
      </c>
      <c r="V120" t="n">
        <v>15.3</v>
      </c>
      <c r="W120" t="inlineStr">
        <is>
          <t>3%</t>
        </is>
      </c>
      <c r="X120" t="inlineStr">
        <is>
          <t>43 : 57</t>
        </is>
      </c>
      <c r="Y120" t="n">
        <v>256</v>
      </c>
      <c r="Z120" t="n">
        <v>1201</v>
      </c>
      <c r="AA120" t="n">
        <v>25.5</v>
      </c>
      <c r="AB120" t="inlineStr">
        <is>
          <t>U0119</t>
        </is>
      </c>
      <c r="AC120" t="inlineStr">
        <is>
          <t>IN</t>
        </is>
      </c>
      <c r="AD120" t="n">
        <v>39.9</v>
      </c>
      <c r="AE120" t="n">
        <v>2.6</v>
      </c>
      <c r="AF120" t="n">
        <v>15.3</v>
      </c>
      <c r="AG120" t="inlineStr">
        <is>
          <t>1:15.3</t>
        </is>
      </c>
      <c r="AH120" t="inlineStr">
        <is>
          <t>3%</t>
        </is>
      </c>
      <c r="AI120" t="n">
        <v>43.2</v>
      </c>
      <c r="AJ120" t="n">
        <v>12.45</v>
      </c>
    </row>
    <row r="121">
      <c r="A121" t="inlineStr">
        <is>
          <t>Bangladesh Agricultural University (BAU)</t>
        </is>
      </c>
      <c r="B121" t="inlineStr">
        <is>
          <t>Bangladesh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1001–1200</t>
        </is>
      </c>
      <c r="O121" t="inlineStr">
        <is>
          <t>28.3–32.6</t>
        </is>
      </c>
      <c r="P121" t="n">
        <v>29.5</v>
      </c>
      <c r="Q121" t="n">
        <v>9.9</v>
      </c>
      <c r="R121" t="n">
        <v>45.2</v>
      </c>
      <c r="S121" t="n">
        <v>22.6</v>
      </c>
      <c r="T121" t="n">
        <v>49.5</v>
      </c>
      <c r="U121" t="inlineStr">
        <is>
          <t>6,810</t>
        </is>
      </c>
      <c r="V121" t="n">
        <v>11.4</v>
      </c>
      <c r="W121" t="inlineStr">
        <is>
          <t>1%</t>
        </is>
      </c>
      <c r="X121" t="inlineStr">
        <is>
          <t>45 : 55</t>
        </is>
      </c>
      <c r="Y121" t="inlineStr"/>
      <c r="Z121" t="n">
        <v>1001</v>
      </c>
      <c r="AA121" t="n">
        <v>30.45</v>
      </c>
      <c r="AB121" t="inlineStr">
        <is>
          <t>U0120</t>
        </is>
      </c>
      <c r="AC121" t="inlineStr">
        <is>
          <t>BA</t>
        </is>
      </c>
      <c r="AD121" t="n">
        <v>30.45</v>
      </c>
      <c r="AE121" t="n">
        <v>45.2</v>
      </c>
      <c r="AF121" t="n">
        <v>11.4</v>
      </c>
      <c r="AG121" t="inlineStr">
        <is>
          <t>1:11.4</t>
        </is>
      </c>
      <c r="AH121" t="inlineStr">
        <is>
          <t>1%</t>
        </is>
      </c>
      <c r="AI121" t="inlineStr"/>
      <c r="AJ121" t="n">
        <v>24.25</v>
      </c>
    </row>
    <row r="122">
      <c r="A122" t="inlineStr">
        <is>
          <t>Bangladesh University of Engineering and Technology</t>
        </is>
      </c>
      <c r="B122" t="inlineStr">
        <is>
          <t>Bangladesh</t>
        </is>
      </c>
      <c r="C122" t="inlineStr">
        <is>
          <t>761-770</t>
        </is>
      </c>
      <c r="D122" t="inlineStr"/>
      <c r="E122" t="n">
        <v>16.9</v>
      </c>
      <c r="F122" t="n">
        <v>36.6</v>
      </c>
      <c r="G122" t="n">
        <v>13.6</v>
      </c>
      <c r="H122" t="n">
        <v>14.9</v>
      </c>
      <c r="I122" t="inlineStr"/>
      <c r="J122" t="n">
        <v>1</v>
      </c>
      <c r="K122" t="n">
        <v>25.1</v>
      </c>
      <c r="L122" t="n">
        <v>22.2</v>
      </c>
      <c r="M122" t="n">
        <v>1.2</v>
      </c>
      <c r="N122" t="inlineStr">
        <is>
          <t>1001–1200</t>
        </is>
      </c>
      <c r="O122" t="inlineStr">
        <is>
          <t>28.3–32.6</t>
        </is>
      </c>
      <c r="P122" t="n">
        <v>21.7</v>
      </c>
      <c r="Q122" t="n">
        <v>15.8</v>
      </c>
      <c r="R122" t="n">
        <v>50.7</v>
      </c>
      <c r="S122" t="n">
        <v>35.2</v>
      </c>
      <c r="T122" t="n">
        <v>29.8</v>
      </c>
      <c r="U122" t="inlineStr">
        <is>
          <t>6,237</t>
        </is>
      </c>
      <c r="V122" t="n">
        <v>13.2</v>
      </c>
      <c r="W122" t="inlineStr">
        <is>
          <t>0%</t>
        </is>
      </c>
      <c r="X122" t="inlineStr">
        <is>
          <t>22 : 78</t>
        </is>
      </c>
      <c r="Y122" t="n">
        <v>761</v>
      </c>
      <c r="Z122" t="n">
        <v>1001</v>
      </c>
      <c r="AA122" t="n">
        <v>30.45</v>
      </c>
      <c r="AB122" t="inlineStr">
        <is>
          <t>U0121</t>
        </is>
      </c>
      <c r="AC122" t="inlineStr">
        <is>
          <t>BA</t>
        </is>
      </c>
      <c r="AD122" t="n">
        <v>30.45</v>
      </c>
      <c r="AE122" t="n">
        <v>14.9</v>
      </c>
      <c r="AF122" t="n">
        <v>13.2</v>
      </c>
      <c r="AG122" t="inlineStr">
        <is>
          <t>1:13.2</t>
        </is>
      </c>
      <c r="AH122" t="inlineStr">
        <is>
          <t>0%</t>
        </is>
      </c>
      <c r="AI122" t="n">
        <v>16.9</v>
      </c>
      <c r="AJ122" t="n">
        <v>13.4</v>
      </c>
    </row>
    <row r="123">
      <c r="A123" t="inlineStr">
        <is>
          <t>Bangor University</t>
        </is>
      </c>
      <c r="B123" t="inlineStr">
        <is>
          <t>United Kingdom</t>
        </is>
      </c>
      <c r="C123" t="inlineStr">
        <is>
          <t>474</t>
        </is>
      </c>
      <c r="D123" t="n">
        <v>25.2</v>
      </c>
      <c r="E123" t="n">
        <v>8.6</v>
      </c>
      <c r="F123" t="n">
        <v>5.8</v>
      </c>
      <c r="G123" t="n">
        <v>12.1</v>
      </c>
      <c r="H123" t="n">
        <v>43</v>
      </c>
      <c r="I123" t="n">
        <v>40.7</v>
      </c>
      <c r="J123" t="n">
        <v>52.3</v>
      </c>
      <c r="K123" t="n">
        <v>75</v>
      </c>
      <c r="L123" t="n">
        <v>8.1</v>
      </c>
      <c r="M123" t="n">
        <v>82.90000000000001</v>
      </c>
      <c r="N123" t="inlineStr">
        <is>
          <t>401–500</t>
        </is>
      </c>
      <c r="O123" t="inlineStr">
        <is>
          <t>45.4–49.0</t>
        </is>
      </c>
      <c r="P123" t="n">
        <v>27.6</v>
      </c>
      <c r="Q123" t="n">
        <v>25.3</v>
      </c>
      <c r="R123" t="n">
        <v>72.7</v>
      </c>
      <c r="S123" t="n">
        <v>64.3</v>
      </c>
      <c r="T123" t="n">
        <v>88.2</v>
      </c>
      <c r="U123" t="inlineStr">
        <is>
          <t>8,130</t>
        </is>
      </c>
      <c r="V123" t="n">
        <v>14.8</v>
      </c>
      <c r="W123" t="inlineStr">
        <is>
          <t>23%</t>
        </is>
      </c>
      <c r="X123" t="inlineStr">
        <is>
          <t>61 : 39</t>
        </is>
      </c>
      <c r="Y123" t="n">
        <v>474</v>
      </c>
      <c r="Z123" t="n">
        <v>401</v>
      </c>
      <c r="AA123" t="n">
        <v>47.2</v>
      </c>
      <c r="AB123" t="inlineStr">
        <is>
          <t>U0122</t>
        </is>
      </c>
      <c r="AC123" t="inlineStr">
        <is>
          <t>UN</t>
        </is>
      </c>
      <c r="AD123" t="n">
        <v>25.2</v>
      </c>
      <c r="AE123" t="n">
        <v>43</v>
      </c>
      <c r="AF123" t="n">
        <v>14.8</v>
      </c>
      <c r="AG123" t="inlineStr">
        <is>
          <t>1:14.8</t>
        </is>
      </c>
      <c r="AH123" t="inlineStr">
        <is>
          <t>23%</t>
        </is>
      </c>
      <c r="AI123" t="n">
        <v>8.6</v>
      </c>
      <c r="AJ123" t="n">
        <v>41.01</v>
      </c>
    </row>
    <row r="124">
      <c r="A124" t="inlineStr">
        <is>
          <t>Bar-Ilan University</t>
        </is>
      </c>
      <c r="B124" t="inlineStr">
        <is>
          <t>Israel</t>
        </is>
      </c>
      <c r="C124" t="inlineStr">
        <is>
          <t>671-680</t>
        </is>
      </c>
      <c r="D124" t="inlineStr"/>
      <c r="E124" t="n">
        <v>7.8</v>
      </c>
      <c r="F124" t="n">
        <v>6.1</v>
      </c>
      <c r="G124" t="n">
        <v>7.5</v>
      </c>
      <c r="H124" t="n">
        <v>48.1</v>
      </c>
      <c r="I124" t="n">
        <v>46.4</v>
      </c>
      <c r="J124" t="n">
        <v>2.7</v>
      </c>
      <c r="K124" t="n">
        <v>50.1</v>
      </c>
      <c r="L124" t="n">
        <v>22.9</v>
      </c>
      <c r="M124" t="n">
        <v>4.2</v>
      </c>
      <c r="N124" t="inlineStr">
        <is>
          <t>501–600</t>
        </is>
      </c>
      <c r="O124" t="inlineStr">
        <is>
          <t>41.9–45.3</t>
        </is>
      </c>
      <c r="P124" t="n">
        <v>30</v>
      </c>
      <c r="Q124" t="n">
        <v>34.1</v>
      </c>
      <c r="R124" t="n">
        <v>54.1</v>
      </c>
      <c r="S124" t="n">
        <v>85.8</v>
      </c>
      <c r="T124" t="n">
        <v>46.8</v>
      </c>
      <c r="U124" t="inlineStr">
        <is>
          <t>19,599</t>
        </is>
      </c>
      <c r="V124" t="n">
        <v>19</v>
      </c>
      <c r="W124" t="inlineStr">
        <is>
          <t>4%</t>
        </is>
      </c>
      <c r="X124" t="inlineStr">
        <is>
          <t>61 : 39</t>
        </is>
      </c>
      <c r="Y124" t="n">
        <v>671</v>
      </c>
      <c r="Z124" t="n">
        <v>501</v>
      </c>
      <c r="AA124" t="n">
        <v>43.59999999999999</v>
      </c>
      <c r="AB124" t="inlineStr">
        <is>
          <t>U0123</t>
        </is>
      </c>
      <c r="AC124" t="inlineStr">
        <is>
          <t>IS</t>
        </is>
      </c>
      <c r="AD124" t="n">
        <v>43.59999999999999</v>
      </c>
      <c r="AE124" t="n">
        <v>48.1</v>
      </c>
      <c r="AF124" t="n">
        <v>19</v>
      </c>
      <c r="AG124" t="inlineStr">
        <is>
          <t>1:19.0</t>
        </is>
      </c>
      <c r="AH124" t="inlineStr">
        <is>
          <t>4%</t>
        </is>
      </c>
      <c r="AI124" t="n">
        <v>7.8</v>
      </c>
      <c r="AJ124" t="n">
        <v>37.16</v>
      </c>
    </row>
    <row r="125">
      <c r="A125" t="inlineStr">
        <is>
          <t>Bartin University</t>
        </is>
      </c>
      <c r="B125" t="inlineStr">
        <is>
          <t>Turkey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1001–1200</t>
        </is>
      </c>
      <c r="O125" t="inlineStr">
        <is>
          <t>28.3–32.6</t>
        </is>
      </c>
      <c r="P125" t="n">
        <v>11.1</v>
      </c>
      <c r="Q125" t="n">
        <v>13</v>
      </c>
      <c r="R125" t="n">
        <v>69.59999999999999</v>
      </c>
      <c r="S125" t="n">
        <v>16.3</v>
      </c>
      <c r="T125" t="n">
        <v>37.4</v>
      </c>
      <c r="U125" t="inlineStr">
        <is>
          <t>11,828</t>
        </is>
      </c>
      <c r="V125" t="n">
        <v>31.8</v>
      </c>
      <c r="W125" t="inlineStr">
        <is>
          <t>11%</t>
        </is>
      </c>
      <c r="X125" t="inlineStr">
        <is>
          <t>39 : 61</t>
        </is>
      </c>
      <c r="Y125" t="inlineStr"/>
      <c r="Z125" t="n">
        <v>1001</v>
      </c>
      <c r="AA125" t="n">
        <v>30.45</v>
      </c>
      <c r="AB125" t="inlineStr">
        <is>
          <t>U0124</t>
        </is>
      </c>
      <c r="AC125" t="inlineStr">
        <is>
          <t>TU</t>
        </is>
      </c>
      <c r="AD125" t="n">
        <v>30.45</v>
      </c>
      <c r="AE125" t="n">
        <v>69.59999999999999</v>
      </c>
      <c r="AF125" t="n">
        <v>31.8</v>
      </c>
      <c r="AG125" t="inlineStr">
        <is>
          <t>1:31.8</t>
        </is>
      </c>
      <c r="AH125" t="inlineStr">
        <is>
          <t>11%</t>
        </is>
      </c>
      <c r="AI125" t="inlineStr"/>
      <c r="AJ125" t="n">
        <v>30.34</v>
      </c>
    </row>
    <row r="126">
      <c r="A126" t="inlineStr">
        <is>
          <t>Bauman Moscow State Technical University</t>
        </is>
      </c>
      <c r="B126" t="inlineStr">
        <is>
          <t>Russian Federation</t>
        </is>
      </c>
      <c r="C126" t="inlineStr">
        <is>
          <t>298</t>
        </is>
      </c>
      <c r="D126" t="n">
        <v>36.5</v>
      </c>
      <c r="E126" t="n">
        <v>36.2</v>
      </c>
      <c r="F126" t="n">
        <v>51.9</v>
      </c>
      <c r="G126" t="n">
        <v>99.90000000000001</v>
      </c>
      <c r="H126" t="n">
        <v>1.4</v>
      </c>
      <c r="I126" t="n">
        <v>65.59999999999999</v>
      </c>
      <c r="J126" t="n">
        <v>70</v>
      </c>
      <c r="K126" t="n">
        <v>15.2</v>
      </c>
      <c r="L126" t="n">
        <v>7.7</v>
      </c>
      <c r="M126" t="n">
        <v>6.8</v>
      </c>
      <c r="N126" t="inlineStr">
        <is>
          <t>401–500</t>
        </is>
      </c>
      <c r="O126" t="inlineStr">
        <is>
          <t>45.4–49.0</t>
        </is>
      </c>
      <c r="P126" t="n">
        <v>71.7</v>
      </c>
      <c r="Q126" t="n">
        <v>43.9</v>
      </c>
      <c r="R126" t="n">
        <v>22.1</v>
      </c>
      <c r="S126" t="n">
        <v>51.7</v>
      </c>
      <c r="T126" t="n">
        <v>59.3</v>
      </c>
      <c r="U126" t="inlineStr">
        <is>
          <t>16,061</t>
        </is>
      </c>
      <c r="V126" t="n">
        <v>6.6</v>
      </c>
      <c r="W126" t="inlineStr">
        <is>
          <t>18%</t>
        </is>
      </c>
      <c r="X126" t="inlineStr">
        <is>
          <t>42 : 58</t>
        </is>
      </c>
      <c r="Y126" t="n">
        <v>298</v>
      </c>
      <c r="Z126" t="n">
        <v>401</v>
      </c>
      <c r="AA126" t="n">
        <v>47.2</v>
      </c>
      <c r="AB126" t="inlineStr">
        <is>
          <t>U0125</t>
        </is>
      </c>
      <c r="AC126" t="inlineStr">
        <is>
          <t>RU</t>
        </is>
      </c>
      <c r="AD126" t="n">
        <v>36.5</v>
      </c>
      <c r="AE126" t="n">
        <v>1.4</v>
      </c>
      <c r="AF126" t="n">
        <v>6.6</v>
      </c>
      <c r="AG126" t="inlineStr">
        <is>
          <t>1:6.6</t>
        </is>
      </c>
      <c r="AH126" t="inlineStr">
        <is>
          <t>18%</t>
        </is>
      </c>
      <c r="AI126" t="n">
        <v>36.2</v>
      </c>
      <c r="AJ126" t="n">
        <v>31.17</v>
      </c>
    </row>
    <row r="127">
      <c r="A127" t="inlineStr">
        <is>
          <t>Bayero University</t>
        </is>
      </c>
      <c r="B127" t="inlineStr">
        <is>
          <t>Nigeria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1201–1500</t>
        </is>
      </c>
      <c r="O127" t="inlineStr">
        <is>
          <t>22.8–28.2</t>
        </is>
      </c>
      <c r="P127" t="n">
        <v>17.4</v>
      </c>
      <c r="Q127" t="n">
        <v>9.699999999999999</v>
      </c>
      <c r="R127" t="n">
        <v>43.2</v>
      </c>
      <c r="S127" t="n">
        <v>16.8</v>
      </c>
      <c r="T127" t="n">
        <v>49</v>
      </c>
      <c r="U127" t="inlineStr">
        <is>
          <t>43,027</t>
        </is>
      </c>
      <c r="V127" t="n">
        <v>25.4</v>
      </c>
      <c r="W127" t="inlineStr">
        <is>
          <t>0%</t>
        </is>
      </c>
      <c r="X127" t="inlineStr">
        <is>
          <t>35 : 65</t>
        </is>
      </c>
      <c r="Y127" t="inlineStr"/>
      <c r="Z127" t="n">
        <v>1201</v>
      </c>
      <c r="AA127" t="n">
        <v>25.5</v>
      </c>
      <c r="AB127" t="inlineStr">
        <is>
          <t>U0126</t>
        </is>
      </c>
      <c r="AC127" t="inlineStr">
        <is>
          <t>NI</t>
        </is>
      </c>
      <c r="AD127" t="n">
        <v>25.5</v>
      </c>
      <c r="AE127" t="n">
        <v>43.2</v>
      </c>
      <c r="AF127" t="n">
        <v>25.4</v>
      </c>
      <c r="AG127" t="inlineStr">
        <is>
          <t>1:25.4</t>
        </is>
      </c>
      <c r="AH127" t="inlineStr">
        <is>
          <t>0%</t>
        </is>
      </c>
      <c r="AI127" t="inlineStr"/>
      <c r="AJ127" t="n">
        <v>23.42</v>
      </c>
    </row>
    <row r="128">
      <c r="A128" t="inlineStr">
        <is>
          <t>Baylor University</t>
        </is>
      </c>
      <c r="B128" t="inlineStr">
        <is>
          <t>United States</t>
        </is>
      </c>
      <c r="C128" t="inlineStr">
        <is>
          <t>1001-1200</t>
        </is>
      </c>
      <c r="D128" t="inlineStr"/>
      <c r="E128" t="n">
        <v>6.1</v>
      </c>
      <c r="F128" t="n">
        <v>9.1</v>
      </c>
      <c r="G128" t="n">
        <v>11.9</v>
      </c>
      <c r="H128" t="n">
        <v>7.5</v>
      </c>
      <c r="I128" t="n">
        <v>2.4</v>
      </c>
      <c r="J128" t="n">
        <v>3.8</v>
      </c>
      <c r="K128" t="n">
        <v>41.8</v>
      </c>
      <c r="L128" t="n">
        <v>11.6</v>
      </c>
      <c r="M128" t="n">
        <v>4</v>
      </c>
      <c r="N128" t="inlineStr">
        <is>
          <t>601–800</t>
        </is>
      </c>
      <c r="O128" t="inlineStr">
        <is>
          <t>37.0–41.8</t>
        </is>
      </c>
      <c r="P128" t="n">
        <v>39.2</v>
      </c>
      <c r="Q128" t="n">
        <v>19.7</v>
      </c>
      <c r="R128" t="n">
        <v>61.3</v>
      </c>
      <c r="S128" t="n">
        <v>54.8</v>
      </c>
      <c r="T128" t="n">
        <v>38.6</v>
      </c>
      <c r="U128" t="inlineStr">
        <is>
          <t>20,859</t>
        </is>
      </c>
      <c r="V128" t="n">
        <v>19</v>
      </c>
      <c r="W128" t="inlineStr">
        <is>
          <t>6%</t>
        </is>
      </c>
      <c r="X128" t="inlineStr">
        <is>
          <t>61 : 39</t>
        </is>
      </c>
      <c r="Y128" t="n">
        <v>1001</v>
      </c>
      <c r="Z128" t="n">
        <v>601</v>
      </c>
      <c r="AA128" t="n">
        <v>39.4</v>
      </c>
      <c r="AB128" t="inlineStr">
        <is>
          <t>U0127</t>
        </is>
      </c>
      <c r="AC128" t="inlineStr">
        <is>
          <t>UN</t>
        </is>
      </c>
      <c r="AD128" t="n">
        <v>39.4</v>
      </c>
      <c r="AE128" t="n">
        <v>7.5</v>
      </c>
      <c r="AF128" t="n">
        <v>19</v>
      </c>
      <c r="AG128" t="inlineStr">
        <is>
          <t>1:19.0</t>
        </is>
      </c>
      <c r="AH128" t="inlineStr">
        <is>
          <t>6%</t>
        </is>
      </c>
      <c r="AI128" t="n">
        <v>6.1</v>
      </c>
      <c r="AJ128" t="n">
        <v>15.33</v>
      </c>
    </row>
    <row r="129">
      <c r="A129" t="inlineStr">
        <is>
          <t>Beihang University (former BUAA)</t>
        </is>
      </c>
      <c r="B129" t="inlineStr">
        <is>
          <t>China</t>
        </is>
      </c>
      <c r="C129" t="inlineStr">
        <is>
          <t>452</t>
        </is>
      </c>
      <c r="D129" t="n">
        <v>26.4</v>
      </c>
      <c r="E129" t="n">
        <v>12.1</v>
      </c>
      <c r="F129" t="n">
        <v>7.8</v>
      </c>
      <c r="G129" t="n">
        <v>41.5</v>
      </c>
      <c r="H129" t="n">
        <v>72.09999999999999</v>
      </c>
      <c r="I129" t="n">
        <v>7</v>
      </c>
      <c r="J129" t="n">
        <v>4.5</v>
      </c>
      <c r="K129" t="n">
        <v>51.2</v>
      </c>
      <c r="L129" t="n">
        <v>12.8</v>
      </c>
      <c r="M129" t="n">
        <v>4.3</v>
      </c>
      <c r="N129" t="inlineStr">
        <is>
          <t>301–350</t>
        </is>
      </c>
      <c r="O129" t="inlineStr">
        <is>
          <t>51.1–53.0</t>
        </is>
      </c>
      <c r="P129" t="n">
        <v>42.9</v>
      </c>
      <c r="Q129" t="n">
        <v>43.5</v>
      </c>
      <c r="R129" t="n">
        <v>68.59999999999999</v>
      </c>
      <c r="S129" t="n">
        <v>94.7</v>
      </c>
      <c r="T129" t="n">
        <v>34.5</v>
      </c>
      <c r="U129" t="inlineStr">
        <is>
          <t>32,854</t>
        </is>
      </c>
      <c r="V129" t="n">
        <v>12.3</v>
      </c>
      <c r="W129" t="inlineStr">
        <is>
          <t>4%</t>
        </is>
      </c>
      <c r="X129" t="inlineStr"/>
      <c r="Y129" t="n">
        <v>452</v>
      </c>
      <c r="Z129" t="n">
        <v>301</v>
      </c>
      <c r="AA129" t="n">
        <v>52.05</v>
      </c>
      <c r="AB129" t="inlineStr">
        <is>
          <t>U0128</t>
        </is>
      </c>
      <c r="AC129" t="inlineStr">
        <is>
          <t>CH</t>
        </is>
      </c>
      <c r="AD129" t="n">
        <v>26.4</v>
      </c>
      <c r="AE129" t="n">
        <v>72.09999999999999</v>
      </c>
      <c r="AF129" t="n">
        <v>12.3</v>
      </c>
      <c r="AG129" t="inlineStr">
        <is>
          <t>1:12.3</t>
        </is>
      </c>
      <c r="AH129" t="inlineStr">
        <is>
          <t>4%</t>
        </is>
      </c>
      <c r="AI129" t="n">
        <v>12.1</v>
      </c>
      <c r="AJ129" t="n">
        <v>46.38</v>
      </c>
    </row>
    <row r="130">
      <c r="A130" t="inlineStr">
        <is>
          <t>Beijing Foreign Studies University</t>
        </is>
      </c>
      <c r="B130" t="inlineStr">
        <is>
          <t>China</t>
        </is>
      </c>
      <c r="C130" t="inlineStr">
        <is>
          <t>1201-1400</t>
        </is>
      </c>
      <c r="D130" t="inlineStr"/>
      <c r="E130" t="n">
        <v>5.7</v>
      </c>
      <c r="F130" t="n">
        <v>2.9</v>
      </c>
      <c r="G130" t="n">
        <v>25.9</v>
      </c>
      <c r="H130" t="n">
        <v>1.5</v>
      </c>
      <c r="I130" t="n">
        <v>19.6</v>
      </c>
      <c r="J130" t="n">
        <v>25.8</v>
      </c>
      <c r="K130" t="n">
        <v>3.4</v>
      </c>
      <c r="L130" t="n">
        <v>7.4</v>
      </c>
      <c r="M130" t="n">
        <v>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1201</v>
      </c>
      <c r="Z130" t="inlineStr"/>
      <c r="AA130" t="inlineStr"/>
      <c r="AB130" t="inlineStr">
        <is>
          <t>U0129</t>
        </is>
      </c>
      <c r="AC130" t="inlineStr">
        <is>
          <t>CH</t>
        </is>
      </c>
      <c r="AD130" t="inlineStr"/>
      <c r="AE130" t="n">
        <v>1.5</v>
      </c>
      <c r="AF130" t="inlineStr"/>
      <c r="AG130" t="inlineStr"/>
      <c r="AH130" t="inlineStr"/>
      <c r="AI130" t="n">
        <v>5.7</v>
      </c>
      <c r="AJ130" t="n">
        <v>13.84</v>
      </c>
    </row>
    <row r="131">
      <c r="A131" t="inlineStr">
        <is>
          <t>Beijing Institute of Technology</t>
        </is>
      </c>
      <c r="B131" t="inlineStr">
        <is>
          <t>China</t>
        </is>
      </c>
      <c r="C131" t="inlineStr">
        <is>
          <t>302</t>
        </is>
      </c>
      <c r="D131" t="n">
        <v>35.9</v>
      </c>
      <c r="E131" t="n">
        <v>23.2</v>
      </c>
      <c r="F131" t="n">
        <v>24.3</v>
      </c>
      <c r="G131" t="n">
        <v>43.4</v>
      </c>
      <c r="H131" t="n">
        <v>82</v>
      </c>
      <c r="I131" t="n">
        <v>5.7</v>
      </c>
      <c r="J131" t="n">
        <v>6.7</v>
      </c>
      <c r="K131" t="n">
        <v>68.59999999999999</v>
      </c>
      <c r="L131" t="n">
        <v>14.3</v>
      </c>
      <c r="M131" t="n">
        <v>10.1</v>
      </c>
      <c r="N131" t="inlineStr">
        <is>
          <t>251–300</t>
        </is>
      </c>
      <c r="O131" t="inlineStr">
        <is>
          <t>53.1–55.8</t>
        </is>
      </c>
      <c r="P131" t="n">
        <v>45.1</v>
      </c>
      <c r="Q131" t="n">
        <v>44</v>
      </c>
      <c r="R131" t="n">
        <v>74.7</v>
      </c>
      <c r="S131" t="n">
        <v>82.09999999999999</v>
      </c>
      <c r="T131" t="n">
        <v>36.8</v>
      </c>
      <c r="U131" t="inlineStr">
        <is>
          <t>34,050</t>
        </is>
      </c>
      <c r="V131" t="n">
        <v>13.4</v>
      </c>
      <c r="W131" t="inlineStr">
        <is>
          <t>8%</t>
        </is>
      </c>
      <c r="X131" t="inlineStr"/>
      <c r="Y131" t="n">
        <v>302</v>
      </c>
      <c r="Z131" t="n">
        <v>251</v>
      </c>
      <c r="AA131" t="n">
        <v>54.45</v>
      </c>
      <c r="AB131" t="inlineStr">
        <is>
          <t>U0130</t>
        </is>
      </c>
      <c r="AC131" t="inlineStr">
        <is>
          <t>CH</t>
        </is>
      </c>
      <c r="AD131" t="n">
        <v>35.9</v>
      </c>
      <c r="AE131" t="n">
        <v>82</v>
      </c>
      <c r="AF131" t="n">
        <v>13.4</v>
      </c>
      <c r="AG131" t="inlineStr">
        <is>
          <t>1:13.4</t>
        </is>
      </c>
      <c r="AH131" t="inlineStr">
        <is>
          <t>8%</t>
        </is>
      </c>
      <c r="AI131" t="n">
        <v>23.2</v>
      </c>
      <c r="AJ131" t="n">
        <v>50.2</v>
      </c>
    </row>
    <row r="132">
      <c r="A132" t="inlineStr">
        <is>
          <t>Beijing Jiaotong University</t>
        </is>
      </c>
      <c r="B132" t="inlineStr">
        <is>
          <t>China</t>
        </is>
      </c>
      <c r="C132" t="inlineStr">
        <is>
          <t>901-950</t>
        </is>
      </c>
      <c r="D132" t="inlineStr"/>
      <c r="E132" t="n">
        <v>9.699999999999999</v>
      </c>
      <c r="F132" t="n">
        <v>5.4</v>
      </c>
      <c r="G132" t="n">
        <v>15.2</v>
      </c>
      <c r="H132" t="n">
        <v>31.8</v>
      </c>
      <c r="I132" t="n">
        <v>4.7</v>
      </c>
      <c r="J132" t="n">
        <v>9.6</v>
      </c>
      <c r="K132" t="n">
        <v>29.1</v>
      </c>
      <c r="L132" t="n">
        <v>9.6</v>
      </c>
      <c r="M132" t="n">
        <v>1.2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901</v>
      </c>
      <c r="Z132" t="inlineStr"/>
      <c r="AA132" t="inlineStr"/>
      <c r="AB132" t="inlineStr">
        <is>
          <t>U0131</t>
        </is>
      </c>
      <c r="AC132" t="inlineStr">
        <is>
          <t>CH</t>
        </is>
      </c>
      <c r="AD132" t="inlineStr"/>
      <c r="AE132" t="n">
        <v>31.8</v>
      </c>
      <c r="AF132" t="inlineStr"/>
      <c r="AG132" t="inlineStr"/>
      <c r="AH132" t="inlineStr"/>
      <c r="AI132" t="n">
        <v>9.699999999999999</v>
      </c>
      <c r="AJ132" t="n">
        <v>23.02</v>
      </c>
    </row>
    <row r="133">
      <c r="A133" t="inlineStr">
        <is>
          <t xml:space="preserve">Beijing Normal University </t>
        </is>
      </c>
      <c r="B133" t="inlineStr">
        <is>
          <t>China</t>
        </is>
      </c>
      <c r="C133" t="inlineStr">
        <is>
          <t>271</t>
        </is>
      </c>
      <c r="D133" t="n">
        <v>38.5</v>
      </c>
      <c r="E133" t="n">
        <v>33.9</v>
      </c>
      <c r="F133" t="n">
        <v>10.3</v>
      </c>
      <c r="G133" t="n">
        <v>24.2</v>
      </c>
      <c r="H133" t="n">
        <v>92.59999999999999</v>
      </c>
      <c r="I133" t="n">
        <v>6.6</v>
      </c>
      <c r="J133" t="n">
        <v>21.3</v>
      </c>
      <c r="K133" t="n">
        <v>70.8</v>
      </c>
      <c r="L133" t="n">
        <v>10.5</v>
      </c>
      <c r="M133" t="n">
        <v>19.7</v>
      </c>
      <c r="N133">
        <f>177</f>
        <v/>
      </c>
      <c r="O133" t="inlineStr">
        <is>
          <t>60.2</t>
        </is>
      </c>
      <c r="P133" t="n">
        <v>57.7</v>
      </c>
      <c r="Q133" t="n">
        <v>45.8</v>
      </c>
      <c r="R133" t="n">
        <v>77.5</v>
      </c>
      <c r="S133" t="n">
        <v>67.59999999999999</v>
      </c>
      <c r="T133" t="n">
        <v>52.3</v>
      </c>
      <c r="U133" t="inlineStr">
        <is>
          <t>26,439</t>
        </is>
      </c>
      <c r="V133" t="n">
        <v>14.4</v>
      </c>
      <c r="W133" t="inlineStr">
        <is>
          <t>9%</t>
        </is>
      </c>
      <c r="X133" t="inlineStr"/>
      <c r="Y133" t="n">
        <v>271</v>
      </c>
      <c r="Z133" t="n">
        <v>177</v>
      </c>
      <c r="AA133" t="n">
        <v>60.2</v>
      </c>
      <c r="AB133" t="inlineStr">
        <is>
          <t>U0132</t>
        </is>
      </c>
      <c r="AC133" t="inlineStr">
        <is>
          <t>CH</t>
        </is>
      </c>
      <c r="AD133" t="n">
        <v>38.5</v>
      </c>
      <c r="AE133" t="n">
        <v>92.59999999999999</v>
      </c>
      <c r="AF133" t="n">
        <v>14.4</v>
      </c>
      <c r="AG133" t="inlineStr">
        <is>
          <t>1:14.4</t>
        </is>
      </c>
      <c r="AH133" t="inlineStr">
        <is>
          <t>9%</t>
        </is>
      </c>
      <c r="AI133" t="n">
        <v>33.9</v>
      </c>
      <c r="AJ133" t="n">
        <v>58.11</v>
      </c>
    </row>
    <row r="134">
      <c r="A134" t="inlineStr">
        <is>
          <t>Beijing University of Chemical Technology</t>
        </is>
      </c>
      <c r="B134" t="inlineStr">
        <is>
          <t>China</t>
        </is>
      </c>
      <c r="C134" t="inlineStr">
        <is>
          <t>701-710</t>
        </is>
      </c>
      <c r="D134" t="inlineStr"/>
      <c r="E134" t="n">
        <v>4.5</v>
      </c>
      <c r="F134" t="n">
        <v>1.8</v>
      </c>
      <c r="G134" t="n">
        <v>19</v>
      </c>
      <c r="H134" t="n">
        <v>67.09999999999999</v>
      </c>
      <c r="I134" t="n">
        <v>2.5</v>
      </c>
      <c r="J134" t="n">
        <v>1.7</v>
      </c>
      <c r="K134" t="n">
        <v>37.2</v>
      </c>
      <c r="L134" t="n">
        <v>2.4</v>
      </c>
      <c r="M134" t="n">
        <v>1.3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701</v>
      </c>
      <c r="Z134" t="inlineStr"/>
      <c r="AA134" t="inlineStr"/>
      <c r="AB134" t="inlineStr">
        <is>
          <t>U0133</t>
        </is>
      </c>
      <c r="AC134" t="inlineStr">
        <is>
          <t>CH</t>
        </is>
      </c>
      <c r="AD134" t="inlineStr"/>
      <c r="AE134" t="n">
        <v>67.09999999999999</v>
      </c>
      <c r="AF134" t="inlineStr"/>
      <c r="AG134" t="inlineStr"/>
      <c r="AH134" t="inlineStr"/>
      <c r="AI134" t="n">
        <v>4.5</v>
      </c>
      <c r="AJ134" t="n">
        <v>33.72</v>
      </c>
    </row>
    <row r="135">
      <c r="A135" t="inlineStr">
        <is>
          <t>Beijing University of Chinese Medicine</t>
        </is>
      </c>
      <c r="B135" t="inlineStr">
        <is>
          <t>China</t>
        </is>
      </c>
      <c r="C135" t="inlineStr">
        <is>
          <t>1201-1400</t>
        </is>
      </c>
      <c r="D135" t="inlineStr"/>
      <c r="E135" t="n">
        <v>4.4</v>
      </c>
      <c r="F135" t="n">
        <v>1.6</v>
      </c>
      <c r="G135" t="n">
        <v>37.2</v>
      </c>
      <c r="H135" t="n">
        <v>9.4</v>
      </c>
      <c r="I135" t="inlineStr"/>
      <c r="J135" t="n">
        <v>8.800000000000001</v>
      </c>
      <c r="K135" t="n">
        <v>7.1</v>
      </c>
      <c r="L135" t="n">
        <v>3</v>
      </c>
      <c r="M135" t="n">
        <v>1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1201</v>
      </c>
      <c r="Z135" t="inlineStr"/>
      <c r="AA135" t="inlineStr"/>
      <c r="AB135" t="inlineStr">
        <is>
          <t>U0134</t>
        </is>
      </c>
      <c r="AC135" t="inlineStr">
        <is>
          <t>CH</t>
        </is>
      </c>
      <c r="AD135" t="inlineStr"/>
      <c r="AE135" t="n">
        <v>9.4</v>
      </c>
      <c r="AF135" t="inlineStr"/>
      <c r="AG135" t="inlineStr"/>
      <c r="AH135" t="inlineStr"/>
      <c r="AI135" t="n">
        <v>4.4</v>
      </c>
      <c r="AJ135" t="n">
        <v>16.24</v>
      </c>
    </row>
    <row r="136">
      <c r="A136" t="inlineStr">
        <is>
          <t>Beijing University of Posts and Telecommunications</t>
        </is>
      </c>
      <c r="B136" t="inlineStr">
        <is>
          <t>China</t>
        </is>
      </c>
      <c r="C136" t="inlineStr">
        <is>
          <t>901-950</t>
        </is>
      </c>
      <c r="D136" t="inlineStr"/>
      <c r="E136" t="n">
        <v>3.2</v>
      </c>
      <c r="F136" t="n">
        <v>2.6</v>
      </c>
      <c r="G136" t="n">
        <v>10.2</v>
      </c>
      <c r="H136" t="n">
        <v>49.3</v>
      </c>
      <c r="I136" t="n">
        <v>4.7</v>
      </c>
      <c r="J136" t="n">
        <v>1.7</v>
      </c>
      <c r="K136" t="n">
        <v>18.7</v>
      </c>
      <c r="L136" t="n">
        <v>13.5</v>
      </c>
      <c r="M136" t="n">
        <v>1.4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901</v>
      </c>
      <c r="Z136" t="inlineStr"/>
      <c r="AA136" t="inlineStr"/>
      <c r="AB136" t="inlineStr">
        <is>
          <t>U0135</t>
        </is>
      </c>
      <c r="AC136" t="inlineStr">
        <is>
          <t>CH</t>
        </is>
      </c>
      <c r="AD136" t="inlineStr"/>
      <c r="AE136" t="n">
        <v>49.3</v>
      </c>
      <c r="AF136" t="inlineStr"/>
      <c r="AG136" t="inlineStr"/>
      <c r="AH136" t="inlineStr"/>
      <c r="AI136" t="n">
        <v>3.2</v>
      </c>
      <c r="AJ136" t="n">
        <v>28.33</v>
      </c>
    </row>
    <row r="137">
      <c r="A137" t="inlineStr">
        <is>
          <t>Beijing University of Technology</t>
        </is>
      </c>
      <c r="B137" t="inlineStr">
        <is>
          <t>China</t>
        </is>
      </c>
      <c r="C137" t="inlineStr">
        <is>
          <t>801-850</t>
        </is>
      </c>
      <c r="D137" t="inlineStr"/>
      <c r="E137" t="n">
        <v>7.7</v>
      </c>
      <c r="F137" t="n">
        <v>4.9</v>
      </c>
      <c r="G137" t="n">
        <v>38.2</v>
      </c>
      <c r="H137" t="n">
        <v>33.1</v>
      </c>
      <c r="I137" t="n">
        <v>4.7</v>
      </c>
      <c r="J137" t="n">
        <v>1.8</v>
      </c>
      <c r="K137" t="n">
        <v>31.9</v>
      </c>
      <c r="L137" t="n">
        <v>4.2</v>
      </c>
      <c r="M137" t="n">
        <v>1.6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801</v>
      </c>
      <c r="Z137" t="inlineStr"/>
      <c r="AA137" t="inlineStr"/>
      <c r="AB137" t="inlineStr">
        <is>
          <t>U0136</t>
        </is>
      </c>
      <c r="AC137" t="inlineStr">
        <is>
          <t>CH</t>
        </is>
      </c>
      <c r="AD137" t="inlineStr"/>
      <c r="AE137" t="n">
        <v>33.1</v>
      </c>
      <c r="AF137" t="inlineStr"/>
      <c r="AG137" t="inlineStr"/>
      <c r="AH137" t="inlineStr"/>
      <c r="AI137" t="n">
        <v>7.7</v>
      </c>
      <c r="AJ137" t="n">
        <v>23.42</v>
      </c>
    </row>
    <row r="138">
      <c r="A138" t="inlineStr">
        <is>
          <t xml:space="preserve">Beirut Arab University </t>
        </is>
      </c>
      <c r="B138" t="inlineStr">
        <is>
          <t>Lebanon</t>
        </is>
      </c>
      <c r="C138" t="inlineStr">
        <is>
          <t>641-650</t>
        </is>
      </c>
      <c r="D138" t="inlineStr"/>
      <c r="E138" t="n">
        <v>17.7</v>
      </c>
      <c r="F138" t="n">
        <v>14.8</v>
      </c>
      <c r="G138" t="n">
        <v>19.1</v>
      </c>
      <c r="H138" t="n">
        <v>3.3</v>
      </c>
      <c r="I138" t="n">
        <v>88.5</v>
      </c>
      <c r="J138" t="n">
        <v>48.2</v>
      </c>
      <c r="K138" t="n">
        <v>28</v>
      </c>
      <c r="L138" t="n">
        <v>38.2</v>
      </c>
      <c r="M138" t="n">
        <v>1</v>
      </c>
      <c r="N138" t="inlineStr">
        <is>
          <t>501–600</t>
        </is>
      </c>
      <c r="O138" t="inlineStr">
        <is>
          <t>41.9–45.3</t>
        </is>
      </c>
      <c r="P138" t="n">
        <v>48.5</v>
      </c>
      <c r="Q138" t="n">
        <v>24.6</v>
      </c>
      <c r="R138" t="n">
        <v>47.3</v>
      </c>
      <c r="S138" t="n">
        <v>18.6</v>
      </c>
      <c r="T138" t="n">
        <v>88.2</v>
      </c>
      <c r="U138" t="inlineStr">
        <is>
          <t>4,834</t>
        </is>
      </c>
      <c r="V138" t="n">
        <v>10.4</v>
      </c>
      <c r="W138" t="inlineStr">
        <is>
          <t>21%</t>
        </is>
      </c>
      <c r="X138" t="inlineStr">
        <is>
          <t>45 : 55</t>
        </is>
      </c>
      <c r="Y138" t="n">
        <v>641</v>
      </c>
      <c r="Z138" t="n">
        <v>501</v>
      </c>
      <c r="AA138" t="n">
        <v>43.59999999999999</v>
      </c>
      <c r="AB138" t="inlineStr">
        <is>
          <t>U0137</t>
        </is>
      </c>
      <c r="AC138" t="inlineStr">
        <is>
          <t>LE</t>
        </is>
      </c>
      <c r="AD138" t="n">
        <v>43.59999999999999</v>
      </c>
      <c r="AE138" t="n">
        <v>3.3</v>
      </c>
      <c r="AF138" t="n">
        <v>10.4</v>
      </c>
      <c r="AG138" t="inlineStr">
        <is>
          <t>1:10.4</t>
        </is>
      </c>
      <c r="AH138" t="inlineStr">
        <is>
          <t>21%</t>
        </is>
      </c>
      <c r="AI138" t="n">
        <v>17.7</v>
      </c>
      <c r="AJ138" t="n">
        <v>28.62</v>
      </c>
    </row>
    <row r="139">
      <c r="A139" t="inlineStr">
        <is>
          <t>Belarusian National Technical University (BNTU)</t>
        </is>
      </c>
      <c r="B139" t="inlineStr">
        <is>
          <t>Belarus</t>
        </is>
      </c>
      <c r="C139" t="inlineStr">
        <is>
          <t>801-850</t>
        </is>
      </c>
      <c r="D139" t="inlineStr"/>
      <c r="E139" t="n">
        <v>14.8</v>
      </c>
      <c r="F139" t="n">
        <v>26.7</v>
      </c>
      <c r="G139" t="n">
        <v>51</v>
      </c>
      <c r="H139" t="n">
        <v>1</v>
      </c>
      <c r="I139" t="n">
        <v>2.1</v>
      </c>
      <c r="J139" t="n">
        <v>34.1</v>
      </c>
      <c r="K139" t="n">
        <v>5.1</v>
      </c>
      <c r="L139" t="n">
        <v>5.6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801</v>
      </c>
      <c r="Z139" t="inlineStr"/>
      <c r="AA139" t="inlineStr"/>
      <c r="AB139" t="inlineStr">
        <is>
          <t>U0138</t>
        </is>
      </c>
      <c r="AC139" t="inlineStr">
        <is>
          <t>BE</t>
        </is>
      </c>
      <c r="AD139" t="inlineStr"/>
      <c r="AE139" t="n">
        <v>1</v>
      </c>
      <c r="AF139" t="inlineStr"/>
      <c r="AG139" t="inlineStr"/>
      <c r="AH139" t="inlineStr"/>
      <c r="AI139" t="n">
        <v>14.8</v>
      </c>
      <c r="AJ139" t="n">
        <v>13.69</v>
      </c>
    </row>
    <row r="140">
      <c r="A140" t="inlineStr">
        <is>
          <t>Belarusian State University</t>
        </is>
      </c>
      <c r="B140" t="inlineStr">
        <is>
          <t>Belarus</t>
        </is>
      </c>
      <c r="C140" t="inlineStr">
        <is>
          <t>387</t>
        </is>
      </c>
      <c r="D140" t="n">
        <v>30.3</v>
      </c>
      <c r="E140" t="n">
        <v>28.4</v>
      </c>
      <c r="F140" t="n">
        <v>40.7</v>
      </c>
      <c r="G140" t="n">
        <v>93</v>
      </c>
      <c r="H140" t="n">
        <v>1.3</v>
      </c>
      <c r="I140" t="n">
        <v>3.8</v>
      </c>
      <c r="J140" t="n">
        <v>59.3</v>
      </c>
      <c r="K140" t="n">
        <v>36.4</v>
      </c>
      <c r="L140" t="n">
        <v>38.2</v>
      </c>
      <c r="M140" t="n">
        <v>1</v>
      </c>
      <c r="N140" t="inlineStr">
        <is>
          <t>1201–1500</t>
        </is>
      </c>
      <c r="O140" t="inlineStr">
        <is>
          <t>22.8–28.2</t>
        </is>
      </c>
      <c r="P140" t="n">
        <v>25.5</v>
      </c>
      <c r="Q140" t="n">
        <v>11.5</v>
      </c>
      <c r="R140" t="n">
        <v>17</v>
      </c>
      <c r="S140" t="n">
        <v>55.4</v>
      </c>
      <c r="T140" t="n">
        <v>66.8</v>
      </c>
      <c r="U140" t="inlineStr">
        <is>
          <t>23,030</t>
        </is>
      </c>
      <c r="V140" t="n">
        <v>7.6</v>
      </c>
      <c r="W140" t="inlineStr">
        <is>
          <t>19%</t>
        </is>
      </c>
      <c r="X140" t="inlineStr">
        <is>
          <t>62 : 38</t>
        </is>
      </c>
      <c r="Y140" t="n">
        <v>387</v>
      </c>
      <c r="Z140" t="n">
        <v>1201</v>
      </c>
      <c r="AA140" t="n">
        <v>25.5</v>
      </c>
      <c r="AB140" t="inlineStr">
        <is>
          <t>U0139</t>
        </is>
      </c>
      <c r="AC140" t="inlineStr">
        <is>
          <t>BE</t>
        </is>
      </c>
      <c r="AD140" t="n">
        <v>30.3</v>
      </c>
      <c r="AE140" t="n">
        <v>1.3</v>
      </c>
      <c r="AF140" t="n">
        <v>7.6</v>
      </c>
      <c r="AG140" t="inlineStr">
        <is>
          <t>1:7.6</t>
        </is>
      </c>
      <c r="AH140" t="inlineStr">
        <is>
          <t>19%</t>
        </is>
      </c>
      <c r="AI140" t="n">
        <v>28.4</v>
      </c>
      <c r="AJ140" t="n">
        <v>15.97</v>
      </c>
    </row>
    <row r="141">
      <c r="A141" t="inlineStr">
        <is>
          <t>Belarusian State University of Informatics and Radioelectronics</t>
        </is>
      </c>
      <c r="B141" t="inlineStr">
        <is>
          <t>Belarus</t>
        </is>
      </c>
      <c r="C141" t="inlineStr">
        <is>
          <t>1201-1400</t>
        </is>
      </c>
      <c r="D141" t="inlineStr"/>
      <c r="E141" t="n">
        <v>6.6</v>
      </c>
      <c r="F141" t="n">
        <v>17.1</v>
      </c>
      <c r="G141" t="n">
        <v>15.3</v>
      </c>
      <c r="H141" t="n">
        <v>1.2</v>
      </c>
      <c r="I141" t="n">
        <v>1.1</v>
      </c>
      <c r="J141" t="n">
        <v>9.300000000000001</v>
      </c>
      <c r="K141" t="n">
        <v>7.4</v>
      </c>
      <c r="L141" t="n">
        <v>5.9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1201</v>
      </c>
      <c r="Z141" t="inlineStr"/>
      <c r="AA141" t="inlineStr"/>
      <c r="AB141" t="inlineStr">
        <is>
          <t>U0140</t>
        </is>
      </c>
      <c r="AC141" t="inlineStr">
        <is>
          <t>BE</t>
        </is>
      </c>
      <c r="AD141" t="inlineStr"/>
      <c r="AE141" t="n">
        <v>1.2</v>
      </c>
      <c r="AF141" t="inlineStr"/>
      <c r="AG141" t="inlineStr"/>
      <c r="AH141" t="inlineStr"/>
      <c r="AI141" t="n">
        <v>6.6</v>
      </c>
      <c r="AJ141" t="n">
        <v>13.75</v>
      </c>
    </row>
    <row r="142">
      <c r="A142" t="inlineStr">
        <is>
          <t>Belgorod State National Research University</t>
        </is>
      </c>
      <c r="B142" t="inlineStr">
        <is>
          <t>Russian Federation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1501+</t>
        </is>
      </c>
      <c r="O142" t="inlineStr">
        <is>
          <t>9.7–22.7</t>
        </is>
      </c>
      <c r="P142" t="n">
        <v>23.4</v>
      </c>
      <c r="Q142" t="n">
        <v>13.7</v>
      </c>
      <c r="R142" t="n">
        <v>10.6</v>
      </c>
      <c r="S142" t="n">
        <v>34.1</v>
      </c>
      <c r="T142" t="n">
        <v>42.3</v>
      </c>
      <c r="U142" t="inlineStr">
        <is>
          <t>14,066</t>
        </is>
      </c>
      <c r="V142" t="n">
        <v>15.6</v>
      </c>
      <c r="W142" t="inlineStr">
        <is>
          <t>20%</t>
        </is>
      </c>
      <c r="X142" t="inlineStr">
        <is>
          <t>60 : 40</t>
        </is>
      </c>
      <c r="Y142" t="inlineStr"/>
      <c r="Z142" t="n">
        <v>1501</v>
      </c>
      <c r="AA142" t="n">
        <v>16.2</v>
      </c>
      <c r="AB142" t="inlineStr">
        <is>
          <t>U0141</t>
        </is>
      </c>
      <c r="AC142" t="inlineStr">
        <is>
          <t>RU</t>
        </is>
      </c>
      <c r="AD142" t="n">
        <v>16.2</v>
      </c>
      <c r="AE142" t="n">
        <v>10.6</v>
      </c>
      <c r="AF142" t="n">
        <v>15.6</v>
      </c>
      <c r="AG142" t="inlineStr">
        <is>
          <t>1:15.6</t>
        </is>
      </c>
      <c r="AH142" t="inlineStr">
        <is>
          <t>20%</t>
        </is>
      </c>
      <c r="AI142" t="inlineStr"/>
      <c r="AJ142" t="n">
        <v>14.01</v>
      </c>
    </row>
    <row r="143">
      <c r="A143" t="inlineStr">
        <is>
          <t>Ben-Gurion University of The Negev</t>
        </is>
      </c>
      <c r="B143" t="inlineStr">
        <is>
          <t>Israel</t>
        </is>
      </c>
      <c r="C143" t="inlineStr">
        <is>
          <t>471</t>
        </is>
      </c>
      <c r="D143" t="n">
        <v>25.5</v>
      </c>
      <c r="E143" t="n">
        <v>14.4</v>
      </c>
      <c r="F143" t="n">
        <v>14.5</v>
      </c>
      <c r="G143" t="n">
        <v>11.1</v>
      </c>
      <c r="H143" t="n">
        <v>51.7</v>
      </c>
      <c r="I143" t="n">
        <v>64</v>
      </c>
      <c r="J143" t="n">
        <v>14.3</v>
      </c>
      <c r="K143" t="n">
        <v>64.90000000000001</v>
      </c>
      <c r="L143" t="n">
        <v>16.3</v>
      </c>
      <c r="M143" t="n">
        <v>11.8</v>
      </c>
      <c r="N143" t="inlineStr">
        <is>
          <t>501–600</t>
        </is>
      </c>
      <c r="O143" t="inlineStr">
        <is>
          <t>41.9–45.3</t>
        </is>
      </c>
      <c r="P143" t="n">
        <v>34.1</v>
      </c>
      <c r="Q143" t="n">
        <v>30.6</v>
      </c>
      <c r="R143" t="n">
        <v>59</v>
      </c>
      <c r="S143" t="n">
        <v>71.59999999999999</v>
      </c>
      <c r="T143" t="n">
        <v>34.5</v>
      </c>
      <c r="U143" t="inlineStr">
        <is>
          <t>17,265</t>
        </is>
      </c>
      <c r="V143" t="n">
        <v>21.3</v>
      </c>
      <c r="W143" t="inlineStr">
        <is>
          <t>2%</t>
        </is>
      </c>
      <c r="X143" t="inlineStr">
        <is>
          <t>52 : 48</t>
        </is>
      </c>
      <c r="Y143" t="n">
        <v>471</v>
      </c>
      <c r="Z143" t="n">
        <v>501</v>
      </c>
      <c r="AA143" t="n">
        <v>43.59999999999999</v>
      </c>
      <c r="AB143" t="inlineStr">
        <is>
          <t>U0142</t>
        </is>
      </c>
      <c r="AC143" t="inlineStr">
        <is>
          <t>IS</t>
        </is>
      </c>
      <c r="AD143" t="n">
        <v>25.5</v>
      </c>
      <c r="AE143" t="n">
        <v>51.7</v>
      </c>
      <c r="AF143" t="n">
        <v>21.3</v>
      </c>
      <c r="AG143" t="inlineStr">
        <is>
          <t>1:21.3</t>
        </is>
      </c>
      <c r="AH143" t="inlineStr">
        <is>
          <t>2%</t>
        </is>
      </c>
      <c r="AI143" t="n">
        <v>14.4</v>
      </c>
      <c r="AJ143" t="n">
        <v>33.44</v>
      </c>
    </row>
    <row r="144">
      <c r="A144" t="inlineStr">
        <is>
          <t>Benemérita Universidad Autónoma de Puebla</t>
        </is>
      </c>
      <c r="B144" t="inlineStr">
        <is>
          <t>Mexico</t>
        </is>
      </c>
      <c r="C144" t="inlineStr">
        <is>
          <t>1201-1400</t>
        </is>
      </c>
      <c r="D144" t="inlineStr"/>
      <c r="E144" t="n">
        <v>13.7</v>
      </c>
      <c r="F144" t="n">
        <v>5.4</v>
      </c>
      <c r="G144" t="n">
        <v>2.8</v>
      </c>
      <c r="H144" t="n">
        <v>1.9</v>
      </c>
      <c r="I144" t="n">
        <v>2.8</v>
      </c>
      <c r="J144" t="n">
        <v>1.3</v>
      </c>
      <c r="K144" t="n">
        <v>24.5</v>
      </c>
      <c r="L144" t="n">
        <v>2</v>
      </c>
      <c r="M144" t="n">
        <v>1.2</v>
      </c>
      <c r="N144" t="inlineStr">
        <is>
          <t>1501+</t>
        </is>
      </c>
      <c r="O144" t="inlineStr">
        <is>
          <t>9.7–22.7</t>
        </is>
      </c>
      <c r="P144" t="n">
        <v>15.6</v>
      </c>
      <c r="Q144" t="n">
        <v>9.5</v>
      </c>
      <c r="R144" t="n">
        <v>17.1</v>
      </c>
      <c r="S144" t="n">
        <v>19.4</v>
      </c>
      <c r="T144" t="n">
        <v>37.7</v>
      </c>
      <c r="U144" t="inlineStr">
        <is>
          <t>79,695</t>
        </is>
      </c>
      <c r="V144" t="n">
        <v>45.2</v>
      </c>
      <c r="W144" t="inlineStr">
        <is>
          <t>1%</t>
        </is>
      </c>
      <c r="X144" t="inlineStr">
        <is>
          <t>52 : 48</t>
        </is>
      </c>
      <c r="Y144" t="n">
        <v>1201</v>
      </c>
      <c r="Z144" t="n">
        <v>1501</v>
      </c>
      <c r="AA144" t="n">
        <v>16.2</v>
      </c>
      <c r="AB144" t="inlineStr">
        <is>
          <t>U0143</t>
        </is>
      </c>
      <c r="AC144" t="inlineStr">
        <is>
          <t>ME</t>
        </is>
      </c>
      <c r="AD144" t="n">
        <v>16.2</v>
      </c>
      <c r="AE144" t="n">
        <v>1.9</v>
      </c>
      <c r="AF144" t="n">
        <v>45.2</v>
      </c>
      <c r="AG144" t="inlineStr">
        <is>
          <t>1:45.2</t>
        </is>
      </c>
      <c r="AH144" t="inlineStr">
        <is>
          <t>1%</t>
        </is>
      </c>
      <c r="AI144" t="n">
        <v>13.7</v>
      </c>
      <c r="AJ144" t="n">
        <v>8.06</v>
      </c>
    </row>
    <row r="145">
      <c r="A145" t="inlineStr">
        <is>
          <t>Benha University</t>
        </is>
      </c>
      <c r="B145" t="inlineStr">
        <is>
          <t>Egypt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1001–1200</t>
        </is>
      </c>
      <c r="O145" t="inlineStr">
        <is>
          <t>28.3–32.6</t>
        </is>
      </c>
      <c r="P145" t="n">
        <v>15.7</v>
      </c>
      <c r="Q145" t="n">
        <v>9.199999999999999</v>
      </c>
      <c r="R145" t="n">
        <v>66.5</v>
      </c>
      <c r="S145" t="n">
        <v>18.9</v>
      </c>
      <c r="T145" t="n">
        <v>49.1</v>
      </c>
      <c r="U145" t="inlineStr">
        <is>
          <t>110,873</t>
        </is>
      </c>
      <c r="V145" t="n">
        <v>30.9</v>
      </c>
      <c r="W145" t="inlineStr">
        <is>
          <t>2%</t>
        </is>
      </c>
      <c r="X145" t="inlineStr">
        <is>
          <t>42 : 58</t>
        </is>
      </c>
      <c r="Y145" t="inlineStr"/>
      <c r="Z145" t="n">
        <v>1001</v>
      </c>
      <c r="AA145" t="n">
        <v>30.45</v>
      </c>
      <c r="AB145" t="inlineStr">
        <is>
          <t>U0144</t>
        </is>
      </c>
      <c r="AC145" t="inlineStr">
        <is>
          <t>EG</t>
        </is>
      </c>
      <c r="AD145" t="n">
        <v>30.45</v>
      </c>
      <c r="AE145" t="n">
        <v>66.5</v>
      </c>
      <c r="AF145" t="n">
        <v>30.9</v>
      </c>
      <c r="AG145" t="inlineStr">
        <is>
          <t>1:30.9</t>
        </is>
      </c>
      <c r="AH145" t="inlineStr">
        <is>
          <t>2%</t>
        </is>
      </c>
      <c r="AI145" t="inlineStr"/>
      <c r="AJ145" t="n">
        <v>30.24</v>
      </c>
    </row>
    <row r="146">
      <c r="A146" t="inlineStr">
        <is>
          <t>Beni-Suef University</t>
        </is>
      </c>
      <c r="B146" t="inlineStr">
        <is>
          <t>Egypt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1001–1200</t>
        </is>
      </c>
      <c r="O146" t="inlineStr">
        <is>
          <t>28.3–32.6</t>
        </is>
      </c>
      <c r="P146" t="n">
        <v>16.8</v>
      </c>
      <c r="Q146" t="n">
        <v>9.800000000000001</v>
      </c>
      <c r="R146" t="n">
        <v>61.1</v>
      </c>
      <c r="S146" t="n">
        <v>19.5</v>
      </c>
      <c r="T146" t="n">
        <v>51.4</v>
      </c>
      <c r="U146" t="inlineStr">
        <is>
          <t>85,158</t>
        </is>
      </c>
      <c r="V146" t="n">
        <v>31.6</v>
      </c>
      <c r="W146" t="inlineStr">
        <is>
          <t>0%</t>
        </is>
      </c>
      <c r="X146" t="inlineStr">
        <is>
          <t>49 : 51</t>
        </is>
      </c>
      <c r="Y146" t="inlineStr"/>
      <c r="Z146" t="n">
        <v>1001</v>
      </c>
      <c r="AA146" t="n">
        <v>30.45</v>
      </c>
      <c r="AB146" t="inlineStr">
        <is>
          <t>U0145</t>
        </is>
      </c>
      <c r="AC146" t="inlineStr">
        <is>
          <t>EG</t>
        </is>
      </c>
      <c r="AD146" t="n">
        <v>30.45</v>
      </c>
      <c r="AE146" t="n">
        <v>61.1</v>
      </c>
      <c r="AF146" t="n">
        <v>31.6</v>
      </c>
      <c r="AG146" t="inlineStr">
        <is>
          <t>1:31.6</t>
        </is>
      </c>
      <c r="AH146" t="inlineStr">
        <is>
          <t>0%</t>
        </is>
      </c>
      <c r="AI146" t="inlineStr"/>
      <c r="AJ146" t="n">
        <v>29.47</v>
      </c>
    </row>
    <row r="147">
      <c r="A147" t="inlineStr">
        <is>
          <t>Bernardo O’Higgins University</t>
        </is>
      </c>
      <c r="B147" t="inlineStr">
        <is>
          <t>Chile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1501+</t>
        </is>
      </c>
      <c r="O147" t="inlineStr">
        <is>
          <t>9.7–22.7</t>
        </is>
      </c>
      <c r="P147" t="n">
        <v>13.9</v>
      </c>
      <c r="Q147" t="n">
        <v>10.3</v>
      </c>
      <c r="R147" t="n">
        <v>10.7</v>
      </c>
      <c r="S147" t="n">
        <v>20.9</v>
      </c>
      <c r="T147" t="n">
        <v>54</v>
      </c>
      <c r="U147" t="inlineStr">
        <is>
          <t>9,010</t>
        </is>
      </c>
      <c r="V147" t="n">
        <v>18.6</v>
      </c>
      <c r="W147" t="inlineStr">
        <is>
          <t>6%</t>
        </is>
      </c>
      <c r="X147" t="inlineStr">
        <is>
          <t>68 : 32</t>
        </is>
      </c>
      <c r="Y147" t="inlineStr"/>
      <c r="Z147" t="n">
        <v>1501</v>
      </c>
      <c r="AA147" t="n">
        <v>16.2</v>
      </c>
      <c r="AB147" t="inlineStr">
        <is>
          <t>U0146</t>
        </is>
      </c>
      <c r="AC147" t="inlineStr">
        <is>
          <t>CH</t>
        </is>
      </c>
      <c r="AD147" t="n">
        <v>16.2</v>
      </c>
      <c r="AE147" t="n">
        <v>10.7</v>
      </c>
      <c r="AF147" t="n">
        <v>18.6</v>
      </c>
      <c r="AG147" t="inlineStr">
        <is>
          <t>1:18.6</t>
        </is>
      </c>
      <c r="AH147" t="inlineStr">
        <is>
          <t>6%</t>
        </is>
      </c>
      <c r="AI147" t="inlineStr"/>
      <c r="AJ147" t="n">
        <v>15.09</v>
      </c>
    </row>
    <row r="148">
      <c r="A148" t="inlineStr">
        <is>
          <t>Bezmiâlem Vakif University</t>
        </is>
      </c>
      <c r="B148" t="inlineStr">
        <is>
          <t>Turkey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1201–1500</t>
        </is>
      </c>
      <c r="O148" t="inlineStr">
        <is>
          <t>22.8–28.2</t>
        </is>
      </c>
      <c r="P148" t="n">
        <v>30.4</v>
      </c>
      <c r="Q148" t="n">
        <v>11.9</v>
      </c>
      <c r="R148" t="n">
        <v>26.9</v>
      </c>
      <c r="S148" t="n">
        <v>21.6</v>
      </c>
      <c r="T148" t="n">
        <v>27.2</v>
      </c>
      <c r="U148" t="inlineStr">
        <is>
          <t>3,622</t>
        </is>
      </c>
      <c r="V148" t="n">
        <v>11.8</v>
      </c>
      <c r="W148" t="inlineStr">
        <is>
          <t>5%</t>
        </is>
      </c>
      <c r="X148" t="inlineStr">
        <is>
          <t>72 : 28</t>
        </is>
      </c>
      <c r="Y148" t="inlineStr"/>
      <c r="Z148" t="n">
        <v>1201</v>
      </c>
      <c r="AA148" t="n">
        <v>25.5</v>
      </c>
      <c r="AB148" t="inlineStr">
        <is>
          <t>U0147</t>
        </is>
      </c>
      <c r="AC148" t="inlineStr">
        <is>
          <t>TU</t>
        </is>
      </c>
      <c r="AD148" t="n">
        <v>25.5</v>
      </c>
      <c r="AE148" t="n">
        <v>26.9</v>
      </c>
      <c r="AF148" t="n">
        <v>11.8</v>
      </c>
      <c r="AG148" t="inlineStr">
        <is>
          <t>1:11.8</t>
        </is>
      </c>
      <c r="AH148" t="inlineStr">
        <is>
          <t>5%</t>
        </is>
      </c>
      <c r="AI148" t="inlineStr"/>
      <c r="AJ148" t="n">
        <v>14.36</v>
      </c>
    </row>
    <row r="149">
      <c r="A149" t="inlineStr">
        <is>
          <t>Bharath Institute of Higher Education and Research</t>
        </is>
      </c>
      <c r="B149" t="inlineStr">
        <is>
          <t>India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1501+</t>
        </is>
      </c>
      <c r="O149" t="inlineStr">
        <is>
          <t>9.7–22.7</t>
        </is>
      </c>
      <c r="P149" t="n">
        <v>21.1</v>
      </c>
      <c r="Q149" t="n">
        <v>7.3</v>
      </c>
      <c r="R149" t="n">
        <v>30.2</v>
      </c>
      <c r="S149" t="n">
        <v>21.2</v>
      </c>
      <c r="T149" t="n">
        <v>35.9</v>
      </c>
      <c r="U149" t="inlineStr">
        <is>
          <t>22,563</t>
        </is>
      </c>
      <c r="V149" t="n">
        <v>14</v>
      </c>
      <c r="W149" t="inlineStr">
        <is>
          <t>2%</t>
        </is>
      </c>
      <c r="X149" t="inlineStr">
        <is>
          <t>56 : 44</t>
        </is>
      </c>
      <c r="Y149" t="inlineStr"/>
      <c r="Z149" t="n">
        <v>1501</v>
      </c>
      <c r="AA149" t="n">
        <v>16.2</v>
      </c>
      <c r="AB149" t="inlineStr">
        <is>
          <t>U0148</t>
        </is>
      </c>
      <c r="AC149" t="inlineStr">
        <is>
          <t>IN</t>
        </is>
      </c>
      <c r="AD149" t="n">
        <v>16.2</v>
      </c>
      <c r="AE149" t="n">
        <v>30.2</v>
      </c>
      <c r="AF149" t="n">
        <v>14</v>
      </c>
      <c r="AG149" t="inlineStr">
        <is>
          <t>1:14.0</t>
        </is>
      </c>
      <c r="AH149" t="inlineStr">
        <is>
          <t>2%</t>
        </is>
      </c>
      <c r="AI149" t="inlineStr"/>
      <c r="AJ149" t="n">
        <v>15.05</v>
      </c>
    </row>
    <row r="150">
      <c r="A150" t="inlineStr">
        <is>
          <t>Bharathiar University</t>
        </is>
      </c>
      <c r="B150" t="inlineStr">
        <is>
          <t>India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601–800</t>
        </is>
      </c>
      <c r="O150" t="inlineStr">
        <is>
          <t>37.0–41.8</t>
        </is>
      </c>
      <c r="P150" t="n">
        <v>36.7</v>
      </c>
      <c r="Q150" t="n">
        <v>32.6</v>
      </c>
      <c r="R150" t="n">
        <v>48</v>
      </c>
      <c r="S150" t="n">
        <v>34.6</v>
      </c>
      <c r="T150" t="n">
        <v>31.1</v>
      </c>
      <c r="U150" t="inlineStr">
        <is>
          <t>3,887</t>
        </is>
      </c>
      <c r="V150" t="n">
        <v>18.2</v>
      </c>
      <c r="W150" t="inlineStr">
        <is>
          <t>0%</t>
        </is>
      </c>
      <c r="X150" t="inlineStr">
        <is>
          <t>62 : 38</t>
        </is>
      </c>
      <c r="Y150" t="inlineStr"/>
      <c r="Z150" t="n">
        <v>601</v>
      </c>
      <c r="AA150" t="n">
        <v>39.4</v>
      </c>
      <c r="AB150" t="inlineStr">
        <is>
          <t>U0149</t>
        </is>
      </c>
      <c r="AC150" t="inlineStr">
        <is>
          <t>IN</t>
        </is>
      </c>
      <c r="AD150" t="n">
        <v>39.4</v>
      </c>
      <c r="AE150" t="n">
        <v>48</v>
      </c>
      <c r="AF150" t="n">
        <v>18.2</v>
      </c>
      <c r="AG150" t="inlineStr">
        <is>
          <t>1:18.2</t>
        </is>
      </c>
      <c r="AH150" t="inlineStr">
        <is>
          <t>0%</t>
        </is>
      </c>
      <c r="AI150" t="inlineStr"/>
      <c r="AJ150" t="n">
        <v>32.55</v>
      </c>
    </row>
    <row r="151">
      <c r="A151" t="inlineStr">
        <is>
          <t>Bharati Vidyapeeth University</t>
        </is>
      </c>
      <c r="B151" t="inlineStr">
        <is>
          <t>India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1501+</t>
        </is>
      </c>
      <c r="O151" t="inlineStr">
        <is>
          <t>9.7–22.7</t>
        </is>
      </c>
      <c r="P151" t="n">
        <v>24.8</v>
      </c>
      <c r="Q151" t="n">
        <v>9.4</v>
      </c>
      <c r="R151" t="n">
        <v>13.5</v>
      </c>
      <c r="S151" t="n">
        <v>30.4</v>
      </c>
      <c r="T151" t="n">
        <v>18.8</v>
      </c>
      <c r="U151" t="inlineStr">
        <is>
          <t>9,925</t>
        </is>
      </c>
      <c r="V151" t="n">
        <v>7.3</v>
      </c>
      <c r="W151" t="inlineStr">
        <is>
          <t>0%</t>
        </is>
      </c>
      <c r="X151" t="inlineStr">
        <is>
          <t>50 : 50</t>
        </is>
      </c>
      <c r="Y151" t="inlineStr"/>
      <c r="Z151" t="n">
        <v>1501</v>
      </c>
      <c r="AA151" t="n">
        <v>16.2</v>
      </c>
      <c r="AB151" t="inlineStr">
        <is>
          <t>U0150</t>
        </is>
      </c>
      <c r="AC151" t="inlineStr">
        <is>
          <t>IN</t>
        </is>
      </c>
      <c r="AD151" t="n">
        <v>16.2</v>
      </c>
      <c r="AE151" t="n">
        <v>13.5</v>
      </c>
      <c r="AF151" t="n">
        <v>7.3</v>
      </c>
      <c r="AG151" t="inlineStr">
        <is>
          <t>1:7.3</t>
        </is>
      </c>
      <c r="AH151" t="inlineStr">
        <is>
          <t>0%</t>
        </is>
      </c>
      <c r="AI151" t="inlineStr"/>
      <c r="AJ151" t="n">
        <v>6.96</v>
      </c>
    </row>
    <row r="152">
      <c r="A152" t="inlineStr">
        <is>
          <t>Bialystok University of Technology</t>
        </is>
      </c>
      <c r="B152" t="inlineStr">
        <is>
          <t>Poland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1501+</t>
        </is>
      </c>
      <c r="O152" t="inlineStr">
        <is>
          <t>9.7–22.7</t>
        </is>
      </c>
      <c r="P152" t="n">
        <v>23</v>
      </c>
      <c r="Q152" t="n">
        <v>14.9</v>
      </c>
      <c r="R152" t="n">
        <v>23.1</v>
      </c>
      <c r="S152" t="n">
        <v>20.6</v>
      </c>
      <c r="T152" t="n">
        <v>24.3</v>
      </c>
      <c r="U152" t="inlineStr">
        <is>
          <t>6,471</t>
        </is>
      </c>
      <c r="V152" t="n">
        <v>10.8</v>
      </c>
      <c r="W152" t="inlineStr">
        <is>
          <t>3%</t>
        </is>
      </c>
      <c r="X152" t="inlineStr">
        <is>
          <t>36 : 64</t>
        </is>
      </c>
      <c r="Y152" t="inlineStr"/>
      <c r="Z152" t="n">
        <v>1501</v>
      </c>
      <c r="AA152" t="n">
        <v>16.2</v>
      </c>
      <c r="AB152" t="inlineStr">
        <is>
          <t>U0151</t>
        </is>
      </c>
      <c r="AC152" t="inlineStr">
        <is>
          <t>PO</t>
        </is>
      </c>
      <c r="AD152" t="n">
        <v>16.2</v>
      </c>
      <c r="AE152" t="n">
        <v>23.1</v>
      </c>
      <c r="AF152" t="n">
        <v>10.8</v>
      </c>
      <c r="AG152" t="inlineStr">
        <is>
          <t>1:10.8</t>
        </is>
      </c>
      <c r="AH152" t="inlineStr">
        <is>
          <t>3%</t>
        </is>
      </c>
      <c r="AI152" t="inlineStr"/>
      <c r="AJ152" t="n">
        <v>14.08</v>
      </c>
    </row>
    <row r="153">
      <c r="A153" t="inlineStr">
        <is>
          <t>Bielefeld University</t>
        </is>
      </c>
      <c r="B153" t="inlineStr">
        <is>
          <t>Germany</t>
        </is>
      </c>
      <c r="C153" t="inlineStr">
        <is>
          <t>1001-1200</t>
        </is>
      </c>
      <c r="D153" t="inlineStr"/>
      <c r="E153" t="n">
        <v>14.2</v>
      </c>
      <c r="F153" t="n">
        <v>3.3</v>
      </c>
      <c r="G153" t="n">
        <v>8</v>
      </c>
      <c r="H153" t="n">
        <v>6.7</v>
      </c>
      <c r="I153" t="n">
        <v>20</v>
      </c>
      <c r="J153" t="n">
        <v>7</v>
      </c>
      <c r="K153" t="n">
        <v>67</v>
      </c>
      <c r="L153" t="n">
        <v>2.9</v>
      </c>
      <c r="M153" t="n">
        <v>4.9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1001</v>
      </c>
      <c r="Z153" t="inlineStr"/>
      <c r="AA153" t="inlineStr"/>
      <c r="AB153" t="inlineStr">
        <is>
          <t>U0152</t>
        </is>
      </c>
      <c r="AC153" t="inlineStr">
        <is>
          <t>GE</t>
        </is>
      </c>
      <c r="AD153" t="inlineStr"/>
      <c r="AE153" t="n">
        <v>6.7</v>
      </c>
      <c r="AF153" t="inlineStr"/>
      <c r="AG153" t="inlineStr"/>
      <c r="AH153" t="inlineStr"/>
      <c r="AI153" t="n">
        <v>14.2</v>
      </c>
      <c r="AJ153" t="n">
        <v>15.42</v>
      </c>
    </row>
    <row r="154">
      <c r="A154" t="inlineStr">
        <is>
          <t>Bilecik Şeyh Edebali University</t>
        </is>
      </c>
      <c r="B154" t="inlineStr">
        <is>
          <t>Turkey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1501+</t>
        </is>
      </c>
      <c r="O154" t="inlineStr">
        <is>
          <t>9.7–22.7</t>
        </is>
      </c>
      <c r="P154" t="n">
        <v>14.5</v>
      </c>
      <c r="Q154" t="n">
        <v>9.5</v>
      </c>
      <c r="R154" t="n">
        <v>22.8</v>
      </c>
      <c r="S154" t="n">
        <v>17.8</v>
      </c>
      <c r="T154" t="n">
        <v>32</v>
      </c>
      <c r="U154" t="inlineStr">
        <is>
          <t>10,386</t>
        </is>
      </c>
      <c r="V154" t="n">
        <v>16.3</v>
      </c>
      <c r="W154" t="inlineStr">
        <is>
          <t>13%</t>
        </is>
      </c>
      <c r="X154" t="inlineStr">
        <is>
          <t>40 : 60</t>
        </is>
      </c>
      <c r="Y154" t="inlineStr"/>
      <c r="Z154" t="n">
        <v>1501</v>
      </c>
      <c r="AA154" t="n">
        <v>16.2</v>
      </c>
      <c r="AB154" t="inlineStr">
        <is>
          <t>U0153</t>
        </is>
      </c>
      <c r="AC154" t="inlineStr">
        <is>
          <t>TU</t>
        </is>
      </c>
      <c r="AD154" t="n">
        <v>16.2</v>
      </c>
      <c r="AE154" t="n">
        <v>22.8</v>
      </c>
      <c r="AF154" t="n">
        <v>16.3</v>
      </c>
      <c r="AG154" t="inlineStr">
        <is>
          <t>1:16.3</t>
        </is>
      </c>
      <c r="AH154" t="inlineStr">
        <is>
          <t>13%</t>
        </is>
      </c>
      <c r="AI154" t="inlineStr"/>
      <c r="AJ154" t="n">
        <v>13.02</v>
      </c>
    </row>
    <row r="155">
      <c r="A155" t="inlineStr">
        <is>
          <t>Bilkent University</t>
        </is>
      </c>
      <c r="B155" t="inlineStr">
        <is>
          <t>Turkey</t>
        </is>
      </c>
      <c r="C155" t="inlineStr">
        <is>
          <t>477</t>
        </is>
      </c>
      <c r="D155" t="n">
        <v>25.1</v>
      </c>
      <c r="E155" t="n">
        <v>24</v>
      </c>
      <c r="F155" t="n">
        <v>52.1</v>
      </c>
      <c r="G155" t="n">
        <v>13.3</v>
      </c>
      <c r="H155" t="n">
        <v>15.2</v>
      </c>
      <c r="I155" t="n">
        <v>61.4</v>
      </c>
      <c r="J155" t="n">
        <v>3.7</v>
      </c>
      <c r="K155" t="n">
        <v>38.3</v>
      </c>
      <c r="L155" t="n">
        <v>19.3</v>
      </c>
      <c r="M155" t="n">
        <v>10.6</v>
      </c>
      <c r="N155" t="inlineStr">
        <is>
          <t>601–800</t>
        </is>
      </c>
      <c r="O155" t="inlineStr">
        <is>
          <t>37.0–41.8</t>
        </is>
      </c>
      <c r="P155" t="n">
        <v>27.8</v>
      </c>
      <c r="Q155" t="n">
        <v>26</v>
      </c>
      <c r="R155" t="n">
        <v>48.8</v>
      </c>
      <c r="S155" t="n">
        <v>91.40000000000001</v>
      </c>
      <c r="T155" t="n">
        <v>70</v>
      </c>
      <c r="U155" t="inlineStr">
        <is>
          <t>9,109</t>
        </is>
      </c>
      <c r="V155" t="n">
        <v>14.8</v>
      </c>
      <c r="W155" t="inlineStr">
        <is>
          <t>8%</t>
        </is>
      </c>
      <c r="X155" t="inlineStr">
        <is>
          <t>46 : 54</t>
        </is>
      </c>
      <c r="Y155" t="n">
        <v>477</v>
      </c>
      <c r="Z155" t="n">
        <v>601</v>
      </c>
      <c r="AA155" t="n">
        <v>39.4</v>
      </c>
      <c r="AB155" t="inlineStr">
        <is>
          <t>U0154</t>
        </is>
      </c>
      <c r="AC155" t="inlineStr">
        <is>
          <t>TU</t>
        </is>
      </c>
      <c r="AD155" t="n">
        <v>25.1</v>
      </c>
      <c r="AE155" t="n">
        <v>15.2</v>
      </c>
      <c r="AF155" t="n">
        <v>14.8</v>
      </c>
      <c r="AG155" t="inlineStr">
        <is>
          <t>1:14.8</t>
        </is>
      </c>
      <c r="AH155" t="inlineStr">
        <is>
          <t>8%</t>
        </is>
      </c>
      <c r="AI155" t="n">
        <v>24</v>
      </c>
      <c r="AJ155" t="n">
        <v>28.55</v>
      </c>
    </row>
    <row r="156">
      <c r="A156" t="inlineStr">
        <is>
          <t>Bina Nusantara University (BINUS)</t>
        </is>
      </c>
      <c r="B156" t="inlineStr">
        <is>
          <t>Indonesia</t>
        </is>
      </c>
      <c r="C156" t="inlineStr">
        <is>
          <t>951-1000</t>
        </is>
      </c>
      <c r="D156" t="inlineStr"/>
      <c r="E156" t="n">
        <v>12.5</v>
      </c>
      <c r="F156" t="n">
        <v>21.8</v>
      </c>
      <c r="G156" t="n">
        <v>19.9</v>
      </c>
      <c r="H156" t="n">
        <v>2.1</v>
      </c>
      <c r="I156" t="n">
        <v>34.7</v>
      </c>
      <c r="J156" t="n">
        <v>4.3</v>
      </c>
      <c r="K156" t="n">
        <v>10.7</v>
      </c>
      <c r="L156" t="n">
        <v>12.9</v>
      </c>
      <c r="M156" t="n">
        <v>4.1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951</v>
      </c>
      <c r="Z156" t="inlineStr"/>
      <c r="AA156" t="inlineStr"/>
      <c r="AB156" t="inlineStr">
        <is>
          <t>U0155</t>
        </is>
      </c>
      <c r="AC156" t="inlineStr">
        <is>
          <t>IN</t>
        </is>
      </c>
      <c r="AD156" t="inlineStr"/>
      <c r="AE156" t="n">
        <v>2.1</v>
      </c>
      <c r="AF156" t="inlineStr"/>
      <c r="AG156" t="inlineStr"/>
      <c r="AH156" t="inlineStr"/>
      <c r="AI156" t="n">
        <v>12.5</v>
      </c>
      <c r="AJ156" t="n">
        <v>14.02</v>
      </c>
    </row>
    <row r="157">
      <c r="A157" t="inlineStr">
        <is>
          <t>Binghamton University SUNY</t>
        </is>
      </c>
      <c r="B157" t="inlineStr">
        <is>
          <t>United States</t>
        </is>
      </c>
      <c r="C157" t="inlineStr">
        <is>
          <t>1001-1200</t>
        </is>
      </c>
      <c r="D157" t="inlineStr"/>
      <c r="E157" t="n">
        <v>7</v>
      </c>
      <c r="F157" t="n">
        <v>5.1</v>
      </c>
      <c r="G157" t="n">
        <v>5.7</v>
      </c>
      <c r="H157" t="n">
        <v>15.8</v>
      </c>
      <c r="I157" t="n">
        <v>10.8</v>
      </c>
      <c r="J157" t="n">
        <v>10.3</v>
      </c>
      <c r="K157" t="n">
        <v>44.2</v>
      </c>
      <c r="L157" t="n">
        <v>3.9</v>
      </c>
      <c r="M157" t="n">
        <v>3.1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1001</v>
      </c>
      <c r="Z157" t="inlineStr"/>
      <c r="AA157" t="inlineStr"/>
      <c r="AB157" t="inlineStr">
        <is>
          <t>U0156</t>
        </is>
      </c>
      <c r="AC157" t="inlineStr">
        <is>
          <t>UN</t>
        </is>
      </c>
      <c r="AD157" t="inlineStr"/>
      <c r="AE157" t="n">
        <v>15.8</v>
      </c>
      <c r="AF157" t="inlineStr"/>
      <c r="AG157" t="inlineStr"/>
      <c r="AH157" t="inlineStr"/>
      <c r="AI157" t="n">
        <v>7</v>
      </c>
      <c r="AJ157" t="n">
        <v>18.18</v>
      </c>
    </row>
    <row r="158">
      <c r="A158" t="inlineStr">
        <is>
          <t>BINUS University</t>
        </is>
      </c>
      <c r="B158" t="inlineStr">
        <is>
          <t>Indonesia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1201–1500</t>
        </is>
      </c>
      <c r="O158" t="inlineStr">
        <is>
          <t>22.8–28.2</t>
        </is>
      </c>
      <c r="P158" t="n">
        <v>20</v>
      </c>
      <c r="Q158" t="n">
        <v>17.2</v>
      </c>
      <c r="R158" t="n">
        <v>37.5</v>
      </c>
      <c r="S158" t="n">
        <v>25.1</v>
      </c>
      <c r="T158" t="n">
        <v>34.1</v>
      </c>
      <c r="U158" t="inlineStr">
        <is>
          <t>15,185</t>
        </is>
      </c>
      <c r="V158" t="n">
        <v>14.2</v>
      </c>
      <c r="W158" t="inlineStr">
        <is>
          <t>4%</t>
        </is>
      </c>
      <c r="X158" t="inlineStr">
        <is>
          <t>43 : 57</t>
        </is>
      </c>
      <c r="Y158" t="inlineStr"/>
      <c r="Z158" t="n">
        <v>1201</v>
      </c>
      <c r="AA158" t="n">
        <v>25.5</v>
      </c>
      <c r="AB158" t="inlineStr">
        <is>
          <t>U0157</t>
        </is>
      </c>
      <c r="AC158" t="inlineStr">
        <is>
          <t>IN</t>
        </is>
      </c>
      <c r="AD158" t="n">
        <v>25.5</v>
      </c>
      <c r="AE158" t="n">
        <v>37.5</v>
      </c>
      <c r="AF158" t="n">
        <v>14.2</v>
      </c>
      <c r="AG158" t="inlineStr">
        <is>
          <t>1:14.2</t>
        </is>
      </c>
      <c r="AH158" t="inlineStr">
        <is>
          <t>4%</t>
        </is>
      </c>
      <c r="AI158" t="inlineStr"/>
      <c r="AJ158" t="n">
        <v>22.02</v>
      </c>
    </row>
    <row r="159">
      <c r="A159" t="inlineStr">
        <is>
          <t>Birkbeck, University of London</t>
        </is>
      </c>
      <c r="B159" t="inlineStr">
        <is>
          <t>United Kingdom</t>
        </is>
      </c>
      <c r="C159" t="inlineStr">
        <is>
          <t>408</t>
        </is>
      </c>
      <c r="D159" t="n">
        <v>29.1</v>
      </c>
      <c r="E159" t="n">
        <v>10</v>
      </c>
      <c r="F159" t="n">
        <v>3.6</v>
      </c>
      <c r="G159" t="n">
        <v>15.6</v>
      </c>
      <c r="H159" t="n">
        <v>57.1</v>
      </c>
      <c r="I159" t="n">
        <v>97.7</v>
      </c>
      <c r="J159" t="n">
        <v>99.5</v>
      </c>
      <c r="K159" t="n">
        <v>55.5</v>
      </c>
      <c r="L159" t="n">
        <v>8.800000000000001</v>
      </c>
      <c r="M159" t="n">
        <v>7.7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408</v>
      </c>
      <c r="Z159" t="inlineStr"/>
      <c r="AA159" t="inlineStr"/>
      <c r="AB159" t="inlineStr">
        <is>
          <t>U0158</t>
        </is>
      </c>
      <c r="AC159" t="inlineStr">
        <is>
          <t>UN</t>
        </is>
      </c>
      <c r="AD159" t="n">
        <v>29.1</v>
      </c>
      <c r="AE159" t="n">
        <v>57.1</v>
      </c>
      <c r="AF159" t="inlineStr"/>
      <c r="AG159" t="inlineStr"/>
      <c r="AH159" t="inlineStr"/>
      <c r="AI159" t="n">
        <v>10</v>
      </c>
      <c r="AJ159" t="n">
        <v>30.69</v>
      </c>
    </row>
    <row r="160">
      <c r="A160" t="inlineStr">
        <is>
          <t>Birla Institute of Technology and Science, Pilani</t>
        </is>
      </c>
      <c r="B160" t="inlineStr">
        <is>
          <t>India</t>
        </is>
      </c>
      <c r="C160" t="inlineStr">
        <is>
          <t>801-850</t>
        </is>
      </c>
      <c r="D160" t="inlineStr"/>
      <c r="E160" t="n">
        <v>11</v>
      </c>
      <c r="F160" t="n">
        <v>19.7</v>
      </c>
      <c r="G160" t="n">
        <v>8</v>
      </c>
      <c r="H160" t="n">
        <v>20.4</v>
      </c>
      <c r="I160" t="n">
        <v>2.2</v>
      </c>
      <c r="J160" t="n">
        <v>2.5</v>
      </c>
      <c r="K160" t="n">
        <v>37.6</v>
      </c>
      <c r="L160" t="n">
        <v>25.4</v>
      </c>
      <c r="M160" t="n">
        <v>30.4</v>
      </c>
      <c r="N160" t="inlineStr">
        <is>
          <t>801–1000</t>
        </is>
      </c>
      <c r="O160" t="inlineStr">
        <is>
          <t>32.7–36.9</t>
        </is>
      </c>
      <c r="P160" t="n">
        <v>23.7</v>
      </c>
      <c r="Q160" t="n">
        <v>17</v>
      </c>
      <c r="R160" t="n">
        <v>67.40000000000001</v>
      </c>
      <c r="S160" t="n">
        <v>31.7</v>
      </c>
      <c r="T160" t="n">
        <v>25.1</v>
      </c>
      <c r="U160" t="inlineStr">
        <is>
          <t>16,339</t>
        </is>
      </c>
      <c r="V160" t="n">
        <v>16.2</v>
      </c>
      <c r="W160" t="inlineStr">
        <is>
          <t>2%</t>
        </is>
      </c>
      <c r="X160" t="inlineStr">
        <is>
          <t>20 : 80</t>
        </is>
      </c>
      <c r="Y160" t="n">
        <v>801</v>
      </c>
      <c r="Z160" t="n">
        <v>801</v>
      </c>
      <c r="AA160" t="n">
        <v>34.8</v>
      </c>
      <c r="AB160" t="inlineStr">
        <is>
          <t>U0159</t>
        </is>
      </c>
      <c r="AC160" t="inlineStr">
        <is>
          <t>IN</t>
        </is>
      </c>
      <c r="AD160" t="n">
        <v>34.8</v>
      </c>
      <c r="AE160" t="n">
        <v>20.4</v>
      </c>
      <c r="AF160" t="n">
        <v>16.2</v>
      </c>
      <c r="AG160" t="inlineStr">
        <is>
          <t>1:16.2</t>
        </is>
      </c>
      <c r="AH160" t="inlineStr">
        <is>
          <t>2%</t>
        </is>
      </c>
      <c r="AI160" t="n">
        <v>11</v>
      </c>
      <c r="AJ160" t="n">
        <v>14.55</v>
      </c>
    </row>
    <row r="161">
      <c r="A161" t="inlineStr">
        <is>
          <t xml:space="preserve">Birmingham City University </t>
        </is>
      </c>
      <c r="B161" t="inlineStr">
        <is>
          <t>United Kingdom</t>
        </is>
      </c>
      <c r="C161" t="inlineStr">
        <is>
          <t>1001-1200</t>
        </is>
      </c>
      <c r="D161" t="inlineStr"/>
      <c r="E161" t="n">
        <v>6.2</v>
      </c>
      <c r="F161" t="n">
        <v>4.4</v>
      </c>
      <c r="G161" t="n">
        <v>7.3</v>
      </c>
      <c r="H161" t="n">
        <v>3.2</v>
      </c>
      <c r="I161" t="n">
        <v>42</v>
      </c>
      <c r="J161" t="n">
        <v>73.8</v>
      </c>
      <c r="K161" t="n">
        <v>27.2</v>
      </c>
      <c r="L161" t="n">
        <v>6.5</v>
      </c>
      <c r="M161" t="n">
        <v>1.4</v>
      </c>
      <c r="N161" t="inlineStr">
        <is>
          <t>601–800</t>
        </is>
      </c>
      <c r="O161" t="inlineStr">
        <is>
          <t>37.0–41.8</t>
        </is>
      </c>
      <c r="P161" t="n">
        <v>17.3</v>
      </c>
      <c r="Q161" t="n">
        <v>11.8</v>
      </c>
      <c r="R161" t="n">
        <v>77.8</v>
      </c>
      <c r="S161" t="n">
        <v>23.2</v>
      </c>
      <c r="T161" t="n">
        <v>81.90000000000001</v>
      </c>
      <c r="U161" t="inlineStr">
        <is>
          <t>24,575</t>
        </is>
      </c>
      <c r="V161" t="n">
        <v>17.2</v>
      </c>
      <c r="W161" t="inlineStr">
        <is>
          <t>26%</t>
        </is>
      </c>
      <c r="X161" t="inlineStr">
        <is>
          <t>63 : 37</t>
        </is>
      </c>
      <c r="Y161" t="n">
        <v>1001</v>
      </c>
      <c r="Z161" t="n">
        <v>601</v>
      </c>
      <c r="AA161" t="n">
        <v>39.4</v>
      </c>
      <c r="AB161" t="inlineStr">
        <is>
          <t>U0160</t>
        </is>
      </c>
      <c r="AC161" t="inlineStr">
        <is>
          <t>UN</t>
        </is>
      </c>
      <c r="AD161" t="n">
        <v>39.4</v>
      </c>
      <c r="AE161" t="n">
        <v>3.2</v>
      </c>
      <c r="AF161" t="n">
        <v>17.2</v>
      </c>
      <c r="AG161" t="inlineStr">
        <is>
          <t>1:17.2</t>
        </is>
      </c>
      <c r="AH161" t="inlineStr">
        <is>
          <t>26%</t>
        </is>
      </c>
      <c r="AI161" t="n">
        <v>6.2</v>
      </c>
      <c r="AJ161" t="n">
        <v>20.35</v>
      </c>
    </row>
    <row r="162">
      <c r="A162" t="inlineStr">
        <is>
          <t>Birzeit university</t>
        </is>
      </c>
      <c r="B162" t="inlineStr">
        <is>
          <t>Palestine</t>
        </is>
      </c>
      <c r="C162" t="inlineStr">
        <is>
          <t>1201-1400</t>
        </is>
      </c>
      <c r="D162" t="inlineStr"/>
      <c r="E162" t="n">
        <v>7.6</v>
      </c>
      <c r="F162" t="n">
        <v>7.1</v>
      </c>
      <c r="G162" t="n">
        <v>4.7</v>
      </c>
      <c r="H162" t="n">
        <v>2.8</v>
      </c>
      <c r="I162" t="n">
        <v>13.4</v>
      </c>
      <c r="J162" t="n">
        <v>4</v>
      </c>
      <c r="K162" t="n">
        <v>20.4</v>
      </c>
      <c r="L162" t="n">
        <v>23.2</v>
      </c>
      <c r="M162" t="n">
        <v>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1201</v>
      </c>
      <c r="Z162" t="inlineStr"/>
      <c r="AA162" t="inlineStr"/>
      <c r="AB162" t="inlineStr">
        <is>
          <t>U0161</t>
        </is>
      </c>
      <c r="AC162" t="inlineStr">
        <is>
          <t>PA</t>
        </is>
      </c>
      <c r="AD162" t="inlineStr"/>
      <c r="AE162" t="n">
        <v>2.8</v>
      </c>
      <c r="AF162" t="inlineStr"/>
      <c r="AG162" t="inlineStr"/>
      <c r="AH162" t="inlineStr"/>
      <c r="AI162" t="n">
        <v>7.6</v>
      </c>
      <c r="AJ162" t="n">
        <v>14.24</v>
      </c>
    </row>
    <row r="163">
      <c r="A163" t="inlineStr">
        <is>
          <t>Blida 1 University</t>
        </is>
      </c>
      <c r="B163" t="inlineStr">
        <is>
          <t>Algeria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1501+</t>
        </is>
      </c>
      <c r="O163" t="inlineStr">
        <is>
          <t>9.7–22.7</t>
        </is>
      </c>
      <c r="P163" t="n">
        <v>19.6</v>
      </c>
      <c r="Q163" t="n">
        <v>8.6</v>
      </c>
      <c r="R163" t="n">
        <v>14.9</v>
      </c>
      <c r="S163" t="n">
        <v>16.7</v>
      </c>
      <c r="T163" t="n">
        <v>36.8</v>
      </c>
      <c r="U163" t="inlineStr">
        <is>
          <t>29,433</t>
        </is>
      </c>
      <c r="V163" t="n">
        <v>20.4</v>
      </c>
      <c r="W163" t="inlineStr">
        <is>
          <t>1%</t>
        </is>
      </c>
      <c r="X163" t="inlineStr">
        <is>
          <t>64 : 36</t>
        </is>
      </c>
      <c r="Y163" t="inlineStr"/>
      <c r="Z163" t="n">
        <v>1501</v>
      </c>
      <c r="AA163" t="n">
        <v>16.2</v>
      </c>
      <c r="AB163" t="inlineStr">
        <is>
          <t>U0162</t>
        </is>
      </c>
      <c r="AC163" t="inlineStr">
        <is>
          <t>AL</t>
        </is>
      </c>
      <c r="AD163" t="n">
        <v>16.2</v>
      </c>
      <c r="AE163" t="n">
        <v>14.9</v>
      </c>
      <c r="AF163" t="n">
        <v>20.4</v>
      </c>
      <c r="AG163" t="inlineStr">
        <is>
          <t>1:20.4</t>
        </is>
      </c>
      <c r="AH163" t="inlineStr">
        <is>
          <t>1%</t>
        </is>
      </c>
      <c r="AI163" t="inlineStr"/>
      <c r="AJ163" t="n">
        <v>11.31</v>
      </c>
    </row>
    <row r="164">
      <c r="A164" t="inlineStr">
        <is>
          <t>Åbo Akademi University</t>
        </is>
      </c>
      <c r="B164" t="inlineStr">
        <is>
          <t>Finland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501–600</t>
        </is>
      </c>
      <c r="O164" t="inlineStr">
        <is>
          <t>41.9–45.3</t>
        </is>
      </c>
      <c r="P164" t="n">
        <v>29.5</v>
      </c>
      <c r="Q164" t="n">
        <v>31.6</v>
      </c>
      <c r="R164" t="n">
        <v>59.3</v>
      </c>
      <c r="S164" t="n">
        <v>67.09999999999999</v>
      </c>
      <c r="T164" t="n">
        <v>68.09999999999999</v>
      </c>
      <c r="U164" t="inlineStr">
        <is>
          <t>5,637</t>
        </is>
      </c>
      <c r="V164" t="n">
        <v>18.2</v>
      </c>
      <c r="W164" t="inlineStr">
        <is>
          <t>13%</t>
        </is>
      </c>
      <c r="X164" t="inlineStr">
        <is>
          <t>60 : 40</t>
        </is>
      </c>
      <c r="Y164" t="inlineStr"/>
      <c r="Z164" t="n">
        <v>501</v>
      </c>
      <c r="AA164" t="n">
        <v>43.59999999999999</v>
      </c>
      <c r="AB164" t="inlineStr">
        <is>
          <t>U0163</t>
        </is>
      </c>
      <c r="AC164" t="inlineStr">
        <is>
          <t>FI</t>
        </is>
      </c>
      <c r="AD164" t="n">
        <v>43.59999999999999</v>
      </c>
      <c r="AE164" t="n">
        <v>59.3</v>
      </c>
      <c r="AF164" t="n">
        <v>18.2</v>
      </c>
      <c r="AG164" t="inlineStr">
        <is>
          <t>1:18.2</t>
        </is>
      </c>
      <c r="AH164" t="inlineStr">
        <is>
          <t>13%</t>
        </is>
      </c>
      <c r="AI164" t="inlineStr"/>
      <c r="AJ164" t="n">
        <v>44.39</v>
      </c>
    </row>
    <row r="165">
      <c r="A165" t="inlineStr">
        <is>
          <t>Bo?aziçi University</t>
        </is>
      </c>
      <c r="B165" t="inlineStr">
        <is>
          <t>Turkey</t>
        </is>
      </c>
      <c r="C165" t="inlineStr">
        <is>
          <t>418</t>
        </is>
      </c>
      <c r="D165" t="n">
        <v>28.5</v>
      </c>
      <c r="E165" t="n">
        <v>24.9</v>
      </c>
      <c r="F165" t="n">
        <v>65.3</v>
      </c>
      <c r="G165" t="n">
        <v>4.1</v>
      </c>
      <c r="H165" t="n">
        <v>10.7</v>
      </c>
      <c r="I165" t="n">
        <v>10.7</v>
      </c>
      <c r="J165" t="n">
        <v>2.6</v>
      </c>
      <c r="K165" t="n">
        <v>46.8</v>
      </c>
      <c r="L165" t="n">
        <v>84.90000000000001</v>
      </c>
      <c r="M165" t="n">
        <v>46.2</v>
      </c>
      <c r="N165" t="inlineStr">
        <is>
          <t>601–800</t>
        </is>
      </c>
      <c r="O165" t="inlineStr">
        <is>
          <t>37.0–41.8</t>
        </is>
      </c>
      <c r="P165" t="n">
        <v>26.1</v>
      </c>
      <c r="Q165" t="n">
        <v>26.6</v>
      </c>
      <c r="R165" t="n">
        <v>57.4</v>
      </c>
      <c r="S165" t="n">
        <v>59.6</v>
      </c>
      <c r="T165" t="n">
        <v>50.6</v>
      </c>
      <c r="U165" t="inlineStr">
        <is>
          <t>12,877</t>
        </is>
      </c>
      <c r="V165" t="n">
        <v>23.5</v>
      </c>
      <c r="W165" t="inlineStr">
        <is>
          <t>2%</t>
        </is>
      </c>
      <c r="X165" t="inlineStr">
        <is>
          <t>45 : 55</t>
        </is>
      </c>
      <c r="Y165" t="n">
        <v>418</v>
      </c>
      <c r="Z165" t="n">
        <v>601</v>
      </c>
      <c r="AA165" t="n">
        <v>39.4</v>
      </c>
      <c r="AB165" t="inlineStr">
        <is>
          <t>U0164</t>
        </is>
      </c>
      <c r="AC165" t="inlineStr">
        <is>
          <t>TU</t>
        </is>
      </c>
      <c r="AD165" t="n">
        <v>28.5</v>
      </c>
      <c r="AE165" t="n">
        <v>10.7</v>
      </c>
      <c r="AF165" t="n">
        <v>23.5</v>
      </c>
      <c r="AG165" t="inlineStr">
        <is>
          <t>1:23.5</t>
        </is>
      </c>
      <c r="AH165" t="inlineStr">
        <is>
          <t>2%</t>
        </is>
      </c>
      <c r="AI165" t="n">
        <v>24.9</v>
      </c>
      <c r="AJ165" t="n">
        <v>22.81</v>
      </c>
    </row>
    <row r="166">
      <c r="A166" t="inlineStr">
        <is>
          <t>Bolu Abant Izzet Baysal University</t>
        </is>
      </c>
      <c r="B166" t="inlineStr">
        <is>
          <t>Turkey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1501+</t>
        </is>
      </c>
      <c r="O166" t="inlineStr">
        <is>
          <t>9.7–22.7</t>
        </is>
      </c>
      <c r="P166" t="n">
        <v>15.6</v>
      </c>
      <c r="Q166" t="n">
        <v>9.300000000000001</v>
      </c>
      <c r="R166" t="n">
        <v>29.2</v>
      </c>
      <c r="S166" t="n">
        <v>17.4</v>
      </c>
      <c r="T166" t="n">
        <v>32.4</v>
      </c>
      <c r="U166" t="inlineStr">
        <is>
          <t>23,820</t>
        </is>
      </c>
      <c r="V166" t="n">
        <v>22.1</v>
      </c>
      <c r="W166" t="inlineStr">
        <is>
          <t>9%</t>
        </is>
      </c>
      <c r="X166" t="inlineStr">
        <is>
          <t>55 : 45</t>
        </is>
      </c>
      <c r="Y166" t="inlineStr"/>
      <c r="Z166" t="n">
        <v>1501</v>
      </c>
      <c r="AA166" t="n">
        <v>16.2</v>
      </c>
      <c r="AB166" t="inlineStr">
        <is>
          <t>U0165</t>
        </is>
      </c>
      <c r="AC166" t="inlineStr">
        <is>
          <t>TU</t>
        </is>
      </c>
      <c r="AD166" t="n">
        <v>16.2</v>
      </c>
      <c r="AE166" t="n">
        <v>29.2</v>
      </c>
      <c r="AF166" t="n">
        <v>22.1</v>
      </c>
      <c r="AG166" t="inlineStr">
        <is>
          <t>1:22.1</t>
        </is>
      </c>
      <c r="AH166" t="inlineStr">
        <is>
          <t>9%</t>
        </is>
      </c>
      <c r="AI166" t="inlineStr"/>
      <c r="AJ166" t="n">
        <v>14.95</v>
      </c>
    </row>
    <row r="167">
      <c r="A167" t="inlineStr">
        <is>
          <t>Bond University</t>
        </is>
      </c>
      <c r="B167" t="inlineStr">
        <is>
          <t>Australia</t>
        </is>
      </c>
      <c r="C167" t="inlineStr">
        <is>
          <t>587</t>
        </is>
      </c>
      <c r="D167" t="n">
        <v>21.1</v>
      </c>
      <c r="E167" t="n">
        <v>4.3</v>
      </c>
      <c r="F167" t="n">
        <v>4.6</v>
      </c>
      <c r="G167" t="n">
        <v>47.8</v>
      </c>
      <c r="H167" t="n">
        <v>28.8</v>
      </c>
      <c r="I167" t="n">
        <v>70.40000000000001</v>
      </c>
      <c r="J167" t="n">
        <v>86.59999999999999</v>
      </c>
      <c r="K167" t="n">
        <v>26.5</v>
      </c>
      <c r="L167" t="n">
        <v>8.4</v>
      </c>
      <c r="M167" t="n">
        <v>1</v>
      </c>
      <c r="N167" t="inlineStr">
        <is>
          <t>401–500</t>
        </is>
      </c>
      <c r="O167" t="inlineStr">
        <is>
          <t>45.4–49.0</t>
        </is>
      </c>
      <c r="P167" t="n">
        <v>28.2</v>
      </c>
      <c r="Q167" t="n">
        <v>23.1</v>
      </c>
      <c r="R167" t="n">
        <v>82.5</v>
      </c>
      <c r="S167" t="n">
        <v>23.1</v>
      </c>
      <c r="T167" t="n">
        <v>82.3</v>
      </c>
      <c r="U167" t="inlineStr">
        <is>
          <t>3,170</t>
        </is>
      </c>
      <c r="V167" t="n">
        <v>11.2</v>
      </c>
      <c r="W167" t="inlineStr">
        <is>
          <t>34%</t>
        </is>
      </c>
      <c r="X167" t="inlineStr">
        <is>
          <t>54 : 46</t>
        </is>
      </c>
      <c r="Y167" t="n">
        <v>587</v>
      </c>
      <c r="Z167" t="n">
        <v>401</v>
      </c>
      <c r="AA167" t="n">
        <v>47.2</v>
      </c>
      <c r="AB167" t="inlineStr">
        <is>
          <t>U0166</t>
        </is>
      </c>
      <c r="AC167" t="inlineStr">
        <is>
          <t>AU</t>
        </is>
      </c>
      <c r="AD167" t="n">
        <v>21.1</v>
      </c>
      <c r="AE167" t="n">
        <v>28.8</v>
      </c>
      <c r="AF167" t="n">
        <v>11.2</v>
      </c>
      <c r="AG167" t="inlineStr">
        <is>
          <t>1:11.2</t>
        </is>
      </c>
      <c r="AH167" t="inlineStr">
        <is>
          <t>34%</t>
        </is>
      </c>
      <c r="AI167" t="n">
        <v>4.3</v>
      </c>
      <c r="AJ167" t="n">
        <v>34.13</v>
      </c>
    </row>
    <row r="168">
      <c r="A168" t="inlineStr">
        <is>
          <t>Boston College</t>
        </is>
      </c>
      <c r="B168" t="inlineStr">
        <is>
          <t>United States</t>
        </is>
      </c>
      <c r="C168" t="inlineStr">
        <is>
          <t>631-640</t>
        </is>
      </c>
      <c r="D168" t="inlineStr"/>
      <c r="E168" t="n">
        <v>21.3</v>
      </c>
      <c r="F168" t="n">
        <v>16.2</v>
      </c>
      <c r="G168" t="n">
        <v>21.2</v>
      </c>
      <c r="H168" t="n">
        <v>16.6</v>
      </c>
      <c r="I168" t="n">
        <v>12.5</v>
      </c>
      <c r="J168" t="n">
        <v>18.8</v>
      </c>
      <c r="K168" t="n">
        <v>50.8</v>
      </c>
      <c r="L168" t="n">
        <v>42.2</v>
      </c>
      <c r="M168" t="n">
        <v>7.1</v>
      </c>
      <c r="N168" t="inlineStr">
        <is>
          <t>251–300</t>
        </is>
      </c>
      <c r="O168" t="inlineStr">
        <is>
          <t>53.1–55.8</t>
        </is>
      </c>
      <c r="P168" t="n">
        <v>43.5</v>
      </c>
      <c r="Q168" t="n">
        <v>30.5</v>
      </c>
      <c r="R168" t="n">
        <v>84.59999999999999</v>
      </c>
      <c r="S168" t="n">
        <v>60.7</v>
      </c>
      <c r="T168" t="n">
        <v>57.8</v>
      </c>
      <c r="U168" t="inlineStr">
        <is>
          <t>13,156</t>
        </is>
      </c>
      <c r="V168" t="n">
        <v>14.9</v>
      </c>
      <c r="W168" t="inlineStr">
        <is>
          <t>10%</t>
        </is>
      </c>
      <c r="X168" t="inlineStr">
        <is>
          <t>55 : 45</t>
        </is>
      </c>
      <c r="Y168" t="n">
        <v>631</v>
      </c>
      <c r="Z168" t="n">
        <v>251</v>
      </c>
      <c r="AA168" t="n">
        <v>54.45</v>
      </c>
      <c r="AB168" t="inlineStr">
        <is>
          <t>U0167</t>
        </is>
      </c>
      <c r="AC168" t="inlineStr">
        <is>
          <t>UN</t>
        </is>
      </c>
      <c r="AD168" t="n">
        <v>54.45</v>
      </c>
      <c r="AE168" t="n">
        <v>16.6</v>
      </c>
      <c r="AF168" t="n">
        <v>14.9</v>
      </c>
      <c r="AG168" t="inlineStr">
        <is>
          <t>1:14.9</t>
        </is>
      </c>
      <c r="AH168" t="inlineStr">
        <is>
          <t>10%</t>
        </is>
      </c>
      <c r="AI168" t="n">
        <v>21.3</v>
      </c>
      <c r="AJ168" t="n">
        <v>28.39</v>
      </c>
    </row>
    <row r="169">
      <c r="A169" t="inlineStr">
        <is>
          <t>Boston University</t>
        </is>
      </c>
      <c r="B169" t="inlineStr">
        <is>
          <t>United States</t>
        </is>
      </c>
      <c r="C169" t="inlineStr">
        <is>
          <t>108</t>
        </is>
      </c>
      <c r="D169" t="n">
        <v>58.1</v>
      </c>
      <c r="E169" t="n">
        <v>61.9</v>
      </c>
      <c r="F169" t="n">
        <v>69.09999999999999</v>
      </c>
      <c r="G169" t="n">
        <v>38.3</v>
      </c>
      <c r="H169" t="n">
        <v>41.3</v>
      </c>
      <c r="I169" t="n">
        <v>34.3</v>
      </c>
      <c r="J169" t="n">
        <v>88.90000000000001</v>
      </c>
      <c r="K169" t="n">
        <v>86.90000000000001</v>
      </c>
      <c r="L169" t="n">
        <v>77.2</v>
      </c>
      <c r="M169" t="n">
        <v>65.90000000000001</v>
      </c>
      <c r="N169" t="inlineStr">
        <is>
          <t>78</t>
        </is>
      </c>
      <c r="O169" t="inlineStr">
        <is>
          <t>70.1</t>
        </is>
      </c>
      <c r="P169" t="n">
        <v>59.6</v>
      </c>
      <c r="Q169" t="n">
        <v>54.1</v>
      </c>
      <c r="R169" t="n">
        <v>94.3</v>
      </c>
      <c r="S169" t="n">
        <v>76.40000000000001</v>
      </c>
      <c r="T169" t="n">
        <v>74.09999999999999</v>
      </c>
      <c r="U169" t="inlineStr">
        <is>
          <t>26,677</t>
        </is>
      </c>
      <c r="V169" t="n">
        <v>10.8</v>
      </c>
      <c r="W169" t="inlineStr">
        <is>
          <t>29%</t>
        </is>
      </c>
      <c r="X169" t="inlineStr">
        <is>
          <t>58 : 42</t>
        </is>
      </c>
      <c r="Y169" t="n">
        <v>108</v>
      </c>
      <c r="Z169" t="n">
        <v>78</v>
      </c>
      <c r="AA169" t="n">
        <v>70.09999999999999</v>
      </c>
      <c r="AB169" t="inlineStr">
        <is>
          <t>U0168</t>
        </is>
      </c>
      <c r="AC169" t="inlineStr">
        <is>
          <t>UN</t>
        </is>
      </c>
      <c r="AD169" t="n">
        <v>58.1</v>
      </c>
      <c r="AE169" t="n">
        <v>41.3</v>
      </c>
      <c r="AF169" t="n">
        <v>10.8</v>
      </c>
      <c r="AG169" t="inlineStr">
        <is>
          <t>1:10.8</t>
        </is>
      </c>
      <c r="AH169" t="inlineStr">
        <is>
          <t>29%</t>
        </is>
      </c>
      <c r="AI169" t="n">
        <v>61.9</v>
      </c>
      <c r="AJ169" t="n">
        <v>52.18</v>
      </c>
    </row>
    <row r="170">
      <c r="A170" t="inlineStr">
        <is>
          <t>Botswana International University of Science and Technology (BIUST)</t>
        </is>
      </c>
      <c r="B170" t="inlineStr">
        <is>
          <t>Botswana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1201–1500</t>
        </is>
      </c>
      <c r="O170" t="inlineStr">
        <is>
          <t>22.8–28.2</t>
        </is>
      </c>
      <c r="P170" t="n">
        <v>25.5</v>
      </c>
      <c r="Q170" t="n">
        <v>11</v>
      </c>
      <c r="R170" t="n">
        <v>35.1</v>
      </c>
      <c r="S170" t="n">
        <v>16.6</v>
      </c>
      <c r="T170" t="n">
        <v>77</v>
      </c>
      <c r="U170" t="inlineStr">
        <is>
          <t>1,992</t>
        </is>
      </c>
      <c r="V170" t="n">
        <v>8.800000000000001</v>
      </c>
      <c r="W170" t="inlineStr">
        <is>
          <t>8%</t>
        </is>
      </c>
      <c r="X170" t="inlineStr">
        <is>
          <t>33 : 67</t>
        </is>
      </c>
      <c r="Y170" t="inlineStr"/>
      <c r="Z170" t="n">
        <v>1201</v>
      </c>
      <c r="AA170" t="n">
        <v>25.5</v>
      </c>
      <c r="AB170" t="inlineStr">
        <is>
          <t>U0169</t>
        </is>
      </c>
      <c r="AC170" t="inlineStr">
        <is>
          <t>BO</t>
        </is>
      </c>
      <c r="AD170" t="n">
        <v>25.5</v>
      </c>
      <c r="AE170" t="n">
        <v>35.1</v>
      </c>
      <c r="AF170" t="n">
        <v>8.800000000000001</v>
      </c>
      <c r="AG170" t="inlineStr">
        <is>
          <t>1:8.8</t>
        </is>
      </c>
      <c r="AH170" t="inlineStr">
        <is>
          <t>8%</t>
        </is>
      </c>
      <c r="AI170" t="inlineStr"/>
      <c r="AJ170" t="n">
        <v>28.42</v>
      </c>
    </row>
    <row r="171">
      <c r="A171" t="inlineStr">
        <is>
          <t>Bournemouth University</t>
        </is>
      </c>
      <c r="B171" t="inlineStr">
        <is>
          <t>United Kingdom</t>
        </is>
      </c>
      <c r="C171" t="inlineStr">
        <is>
          <t>771-780</t>
        </is>
      </c>
      <c r="D171" t="inlineStr"/>
      <c r="E171" t="n">
        <v>5.8</v>
      </c>
      <c r="F171" t="n">
        <v>6.4</v>
      </c>
      <c r="G171" t="n">
        <v>6.1</v>
      </c>
      <c r="H171" t="n">
        <v>16.4</v>
      </c>
      <c r="I171" t="n">
        <v>80.3</v>
      </c>
      <c r="J171" t="n">
        <v>47.1</v>
      </c>
      <c r="K171" t="n">
        <v>72.59999999999999</v>
      </c>
      <c r="L171" t="n">
        <v>4.8</v>
      </c>
      <c r="M171" t="n">
        <v>5.3</v>
      </c>
      <c r="N171" t="inlineStr">
        <is>
          <t>401–500</t>
        </is>
      </c>
      <c r="O171" t="inlineStr">
        <is>
          <t>45.4–49.0</t>
        </is>
      </c>
      <c r="P171" t="n">
        <v>23.2</v>
      </c>
      <c r="Q171" t="n">
        <v>21.1</v>
      </c>
      <c r="R171" t="n">
        <v>86.7</v>
      </c>
      <c r="S171" t="n">
        <v>38.4</v>
      </c>
      <c r="T171" t="n">
        <v>89</v>
      </c>
      <c r="U171" t="inlineStr">
        <is>
          <t>14,260</t>
        </is>
      </c>
      <c r="V171" t="n">
        <v>19.1</v>
      </c>
      <c r="W171" t="inlineStr">
        <is>
          <t>21%</t>
        </is>
      </c>
      <c r="X171" t="inlineStr">
        <is>
          <t>53 : 47</t>
        </is>
      </c>
      <c r="Y171" t="n">
        <v>771</v>
      </c>
      <c r="Z171" t="n">
        <v>401</v>
      </c>
      <c r="AA171" t="n">
        <v>47.2</v>
      </c>
      <c r="AB171" t="inlineStr">
        <is>
          <t>U0170</t>
        </is>
      </c>
      <c r="AC171" t="inlineStr">
        <is>
          <t>UN</t>
        </is>
      </c>
      <c r="AD171" t="n">
        <v>47.2</v>
      </c>
      <c r="AE171" t="n">
        <v>16.4</v>
      </c>
      <c r="AF171" t="n">
        <v>19.1</v>
      </c>
      <c r="AG171" t="inlineStr">
        <is>
          <t>1:19.1</t>
        </is>
      </c>
      <c r="AH171" t="inlineStr">
        <is>
          <t>21%</t>
        </is>
      </c>
      <c r="AI171" t="n">
        <v>5.8</v>
      </c>
      <c r="AJ171" t="n">
        <v>30.94</v>
      </c>
    </row>
    <row r="172">
      <c r="A172" t="inlineStr">
        <is>
          <t>Bowling Green State University</t>
        </is>
      </c>
      <c r="B172" t="inlineStr">
        <is>
          <t>United States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1001–1200</t>
        </is>
      </c>
      <c r="O172" t="inlineStr">
        <is>
          <t>28.3–32.6</t>
        </is>
      </c>
      <c r="P172" t="n">
        <v>22.4</v>
      </c>
      <c r="Q172" t="n">
        <v>13.9</v>
      </c>
      <c r="R172" t="n">
        <v>52.7</v>
      </c>
      <c r="S172" t="n">
        <v>40.5</v>
      </c>
      <c r="T172" t="n">
        <v>28.9</v>
      </c>
      <c r="U172" t="inlineStr">
        <is>
          <t>15,159</t>
        </is>
      </c>
      <c r="V172" t="n">
        <v>17.6</v>
      </c>
      <c r="W172" t="inlineStr">
        <is>
          <t>3%</t>
        </is>
      </c>
      <c r="X172" t="inlineStr">
        <is>
          <t>57 : 43</t>
        </is>
      </c>
      <c r="Y172" t="inlineStr"/>
      <c r="Z172" t="n">
        <v>1001</v>
      </c>
      <c r="AA172" t="n">
        <v>30.45</v>
      </c>
      <c r="AB172" t="inlineStr">
        <is>
          <t>U0171</t>
        </is>
      </c>
      <c r="AC172" t="inlineStr">
        <is>
          <t>UN</t>
        </is>
      </c>
      <c r="AD172" t="n">
        <v>30.45</v>
      </c>
      <c r="AE172" t="n">
        <v>52.7</v>
      </c>
      <c r="AF172" t="n">
        <v>17.6</v>
      </c>
      <c r="AG172" t="inlineStr">
        <is>
          <t>1:17.6</t>
        </is>
      </c>
      <c r="AH172" t="inlineStr">
        <is>
          <t>3%</t>
        </is>
      </c>
      <c r="AI172" t="inlineStr"/>
      <c r="AJ172" t="n">
        <v>23.64</v>
      </c>
    </row>
    <row r="173">
      <c r="A173" t="inlineStr">
        <is>
          <t>Bozok University</t>
        </is>
      </c>
      <c r="B173" t="inlineStr">
        <is>
          <t>Turkey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1501+</t>
        </is>
      </c>
      <c r="O173" t="inlineStr">
        <is>
          <t>9.7–22.7</t>
        </is>
      </c>
      <c r="P173" t="n">
        <v>16.1</v>
      </c>
      <c r="Q173" t="n">
        <v>9.4</v>
      </c>
      <c r="R173" t="n">
        <v>30.3</v>
      </c>
      <c r="S173" t="n">
        <v>16.9</v>
      </c>
      <c r="T173" t="n">
        <v>28.9</v>
      </c>
      <c r="U173" t="inlineStr">
        <is>
          <t>13,417</t>
        </is>
      </c>
      <c r="V173" t="n">
        <v>14.4</v>
      </c>
      <c r="W173" t="inlineStr">
        <is>
          <t>5%</t>
        </is>
      </c>
      <c r="X173" t="inlineStr">
        <is>
          <t>51 : 49</t>
        </is>
      </c>
      <c r="Y173" t="inlineStr"/>
      <c r="Z173" t="n">
        <v>1501</v>
      </c>
      <c r="AA173" t="n">
        <v>16.2</v>
      </c>
      <c r="AB173" t="inlineStr">
        <is>
          <t>U0172</t>
        </is>
      </c>
      <c r="AC173" t="inlineStr">
        <is>
          <t>TU</t>
        </is>
      </c>
      <c r="AD173" t="n">
        <v>16.2</v>
      </c>
      <c r="AE173" t="n">
        <v>30.3</v>
      </c>
      <c r="AF173" t="n">
        <v>14.4</v>
      </c>
      <c r="AG173" t="inlineStr">
        <is>
          <t>1:14.4</t>
        </is>
      </c>
      <c r="AH173" t="inlineStr">
        <is>
          <t>5%</t>
        </is>
      </c>
      <c r="AI173" t="inlineStr"/>
      <c r="AJ173" t="n">
        <v>14.49</v>
      </c>
    </row>
    <row r="174">
      <c r="A174" t="inlineStr">
        <is>
          <t>BRAC University</t>
        </is>
      </c>
      <c r="B174" t="inlineStr">
        <is>
          <t>Bangladesh</t>
        </is>
      </c>
      <c r="C174" t="inlineStr">
        <is>
          <t>1001-1200</t>
        </is>
      </c>
      <c r="D174" t="inlineStr"/>
      <c r="E174" t="n">
        <v>11.6</v>
      </c>
      <c r="F174" t="n">
        <v>27.9</v>
      </c>
      <c r="G174" t="n">
        <v>10</v>
      </c>
      <c r="H174" t="n">
        <v>2</v>
      </c>
      <c r="I174" t="n">
        <v>2</v>
      </c>
      <c r="J174" t="n">
        <v>1.4</v>
      </c>
      <c r="K174" t="n">
        <v>21.4</v>
      </c>
      <c r="L174" t="n">
        <v>3.8</v>
      </c>
      <c r="M174" t="n">
        <v>1.1</v>
      </c>
      <c r="N174" t="inlineStr">
        <is>
          <t>801–1000</t>
        </is>
      </c>
      <c r="O174" t="inlineStr">
        <is>
          <t>32.7–36.9</t>
        </is>
      </c>
      <c r="P174" t="n">
        <v>14.8</v>
      </c>
      <c r="Q174" t="n">
        <v>12.3</v>
      </c>
      <c r="R174" t="n">
        <v>71.09999999999999</v>
      </c>
      <c r="S174" t="n">
        <v>15.7</v>
      </c>
      <c r="T174" t="n">
        <v>42.2</v>
      </c>
      <c r="U174" t="inlineStr">
        <is>
          <t>13,027</t>
        </is>
      </c>
      <c r="V174" t="n">
        <v>16.9</v>
      </c>
      <c r="W174" t="inlineStr">
        <is>
          <t>1%</t>
        </is>
      </c>
      <c r="X174" t="inlineStr">
        <is>
          <t>43 : 57</t>
        </is>
      </c>
      <c r="Y174" t="n">
        <v>1001</v>
      </c>
      <c r="Z174" t="n">
        <v>801</v>
      </c>
      <c r="AA174" t="n">
        <v>34.8</v>
      </c>
      <c r="AB174" t="inlineStr">
        <is>
          <t>U0173</t>
        </is>
      </c>
      <c r="AC174" t="inlineStr">
        <is>
          <t>BA</t>
        </is>
      </c>
      <c r="AD174" t="n">
        <v>34.8</v>
      </c>
      <c r="AE174" t="n">
        <v>2</v>
      </c>
      <c r="AF174" t="n">
        <v>16.9</v>
      </c>
      <c r="AG174" t="inlineStr">
        <is>
          <t>1:16.9</t>
        </is>
      </c>
      <c r="AH174" t="inlineStr">
        <is>
          <t>1%</t>
        </is>
      </c>
      <c r="AI174" t="n">
        <v>11.6</v>
      </c>
      <c r="AJ174" t="n">
        <v>10.65</v>
      </c>
    </row>
    <row r="175">
      <c r="A175" t="inlineStr">
        <is>
          <t>Brandeis University</t>
        </is>
      </c>
      <c r="B175" t="inlineStr">
        <is>
          <t>United States</t>
        </is>
      </c>
      <c r="C175" t="inlineStr">
        <is>
          <t>721-730</t>
        </is>
      </c>
      <c r="D175" t="inlineStr"/>
      <c r="E175" t="n">
        <v>9.4</v>
      </c>
      <c r="F175" t="n">
        <v>4.8</v>
      </c>
      <c r="G175" t="n">
        <v>53.1</v>
      </c>
      <c r="H175" t="n">
        <v>11.6</v>
      </c>
      <c r="I175" t="n">
        <v>18</v>
      </c>
      <c r="J175" t="n">
        <v>75.09999999999999</v>
      </c>
      <c r="K175" t="n">
        <v>32.3</v>
      </c>
      <c r="L175" t="n">
        <v>16.5</v>
      </c>
      <c r="M175" t="n">
        <v>1.1</v>
      </c>
      <c r="N175" t="inlineStr">
        <is>
          <t>251–300</t>
        </is>
      </c>
      <c r="O175" t="inlineStr">
        <is>
          <t>53.1–55.8</t>
        </is>
      </c>
      <c r="P175" t="n">
        <v>36.7</v>
      </c>
      <c r="Q175" t="n">
        <v>28.3</v>
      </c>
      <c r="R175" t="n">
        <v>84.59999999999999</v>
      </c>
      <c r="S175" t="n">
        <v>64.2</v>
      </c>
      <c r="T175" t="n">
        <v>81.40000000000001</v>
      </c>
      <c r="U175" t="inlineStr">
        <is>
          <t>4,791</t>
        </is>
      </c>
      <c r="V175" t="n">
        <v>11.6</v>
      </c>
      <c r="W175" t="inlineStr">
        <is>
          <t>33%</t>
        </is>
      </c>
      <c r="X175" t="inlineStr">
        <is>
          <t>59 : 41</t>
        </is>
      </c>
      <c r="Y175" t="n">
        <v>721</v>
      </c>
      <c r="Z175" t="n">
        <v>251</v>
      </c>
      <c r="AA175" t="n">
        <v>54.45</v>
      </c>
      <c r="AB175" t="inlineStr">
        <is>
          <t>U0174</t>
        </is>
      </c>
      <c r="AC175" t="inlineStr">
        <is>
          <t>UN</t>
        </is>
      </c>
      <c r="AD175" t="n">
        <v>54.45</v>
      </c>
      <c r="AE175" t="n">
        <v>11.6</v>
      </c>
      <c r="AF175" t="n">
        <v>11.6</v>
      </c>
      <c r="AG175" t="inlineStr">
        <is>
          <t>1:11.6</t>
        </is>
      </c>
      <c r="AH175" t="inlineStr">
        <is>
          <t>33%</t>
        </is>
      </c>
      <c r="AI175" t="n">
        <v>9.4</v>
      </c>
      <c r="AJ175" t="n">
        <v>31.43</v>
      </c>
    </row>
    <row r="176">
      <c r="A176" t="inlineStr">
        <is>
          <t>Brigham Young University</t>
        </is>
      </c>
      <c r="B176" t="inlineStr">
        <is>
          <t>United States</t>
        </is>
      </c>
      <c r="C176" t="inlineStr">
        <is>
          <t>1001-1200</t>
        </is>
      </c>
      <c r="D176" t="inlineStr"/>
      <c r="E176" t="n">
        <v>7.5</v>
      </c>
      <c r="F176" t="n">
        <v>7</v>
      </c>
      <c r="G176" t="n">
        <v>4.8</v>
      </c>
      <c r="H176" t="n">
        <v>10.4</v>
      </c>
      <c r="I176" t="n">
        <v>1.3</v>
      </c>
      <c r="J176" t="n">
        <v>3</v>
      </c>
      <c r="K176" t="n">
        <v>52.4</v>
      </c>
      <c r="L176" t="n">
        <v>22.2</v>
      </c>
      <c r="M176" t="n">
        <v>3.8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1001</v>
      </c>
      <c r="Z176" t="inlineStr"/>
      <c r="AA176" t="inlineStr"/>
      <c r="AB176" t="inlineStr">
        <is>
          <t>U0175</t>
        </is>
      </c>
      <c r="AC176" t="inlineStr">
        <is>
          <t>UN</t>
        </is>
      </c>
      <c r="AD176" t="inlineStr"/>
      <c r="AE176" t="n">
        <v>10.4</v>
      </c>
      <c r="AF176" t="inlineStr"/>
      <c r="AG176" t="inlineStr"/>
      <c r="AH176" t="inlineStr"/>
      <c r="AI176" t="n">
        <v>7.5</v>
      </c>
      <c r="AJ176" t="n">
        <v>16.54</v>
      </c>
    </row>
    <row r="177">
      <c r="A177" t="inlineStr">
        <is>
          <t>Brighton and Sussex Medical School</t>
        </is>
      </c>
      <c r="B177" t="inlineStr">
        <is>
          <t>United Kingdom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501–600</t>
        </is>
      </c>
      <c r="O177" t="inlineStr">
        <is>
          <t>41.9–45.3</t>
        </is>
      </c>
      <c r="P177" t="n">
        <v>26.6</v>
      </c>
      <c r="Q177" t="n">
        <v>22</v>
      </c>
      <c r="R177" t="n">
        <v>74.40000000000001</v>
      </c>
      <c r="S177" t="n">
        <v>37.8</v>
      </c>
      <c r="T177" t="n">
        <v>93.09999999999999</v>
      </c>
      <c r="U177" t="inlineStr">
        <is>
          <t>25</t>
        </is>
      </c>
      <c r="V177" t="n">
        <v>0.3</v>
      </c>
      <c r="W177" t="inlineStr">
        <is>
          <t>26%</t>
        </is>
      </c>
      <c r="X177" t="inlineStr">
        <is>
          <t>60 : 40</t>
        </is>
      </c>
      <c r="Y177" t="inlineStr"/>
      <c r="Z177" t="n">
        <v>501</v>
      </c>
      <c r="AA177" t="n">
        <v>43.59999999999999</v>
      </c>
      <c r="AB177" t="inlineStr">
        <is>
          <t>U0176</t>
        </is>
      </c>
      <c r="AC177" t="inlineStr">
        <is>
          <t>UN</t>
        </is>
      </c>
      <c r="AD177" t="n">
        <v>43.59999999999999</v>
      </c>
      <c r="AE177" t="n">
        <v>74.40000000000001</v>
      </c>
      <c r="AF177" t="n">
        <v>0.3</v>
      </c>
      <c r="AG177" t="inlineStr">
        <is>
          <t>1:0.3</t>
        </is>
      </c>
      <c r="AH177" t="inlineStr">
        <is>
          <t>26%</t>
        </is>
      </c>
      <c r="AI177" t="inlineStr"/>
      <c r="AJ177" t="n">
        <v>49.98</v>
      </c>
    </row>
    <row r="178">
      <c r="A178" t="inlineStr">
        <is>
          <t>British University in Egypt</t>
        </is>
      </c>
      <c r="B178" t="inlineStr">
        <is>
          <t>Egypt</t>
        </is>
      </c>
      <c r="C178" t="inlineStr">
        <is>
          <t>1201-1400</t>
        </is>
      </c>
      <c r="D178" t="inlineStr"/>
      <c r="E178" t="n">
        <v>6</v>
      </c>
      <c r="F178" t="n">
        <v>5.5</v>
      </c>
      <c r="G178" t="n">
        <v>25.7</v>
      </c>
      <c r="H178" t="n">
        <v>2.3</v>
      </c>
      <c r="I178" t="n">
        <v>2.6</v>
      </c>
      <c r="J178" t="n">
        <v>2.6</v>
      </c>
      <c r="K178" t="n">
        <v>12</v>
      </c>
      <c r="L178" t="n">
        <v>2.6</v>
      </c>
      <c r="M178" t="n">
        <v>1</v>
      </c>
      <c r="N178" t="inlineStr">
        <is>
          <t>1201–1500</t>
        </is>
      </c>
      <c r="O178" t="inlineStr">
        <is>
          <t>22.8–28.2</t>
        </is>
      </c>
      <c r="P178" t="n">
        <v>17.5</v>
      </c>
      <c r="Q178" t="n">
        <v>9.5</v>
      </c>
      <c r="R178" t="n">
        <v>47.7</v>
      </c>
      <c r="S178" t="n">
        <v>16.3</v>
      </c>
      <c r="T178" t="n">
        <v>36.9</v>
      </c>
      <c r="U178" t="inlineStr">
        <is>
          <t>10,648</t>
        </is>
      </c>
      <c r="V178" t="n">
        <v>14.8</v>
      </c>
      <c r="W178" t="inlineStr">
        <is>
          <t>3%</t>
        </is>
      </c>
      <c r="X178" t="inlineStr">
        <is>
          <t>47 : 53</t>
        </is>
      </c>
      <c r="Y178" t="n">
        <v>1201</v>
      </c>
      <c r="Z178" t="n">
        <v>1201</v>
      </c>
      <c r="AA178" t="n">
        <v>25.5</v>
      </c>
      <c r="AB178" t="inlineStr">
        <is>
          <t>U0177</t>
        </is>
      </c>
      <c r="AC178" t="inlineStr">
        <is>
          <t>EG</t>
        </is>
      </c>
      <c r="AD178" t="n">
        <v>25.5</v>
      </c>
      <c r="AE178" t="n">
        <v>2.3</v>
      </c>
      <c r="AF178" t="n">
        <v>14.8</v>
      </c>
      <c r="AG178" t="inlineStr">
        <is>
          <t>1:14.8</t>
        </is>
      </c>
      <c r="AH178" t="inlineStr">
        <is>
          <t>3%</t>
        </is>
      </c>
      <c r="AI178" t="n">
        <v>6</v>
      </c>
      <c r="AJ178" t="n">
        <v>7.99</v>
      </c>
    </row>
    <row r="179">
      <c r="A179" t="inlineStr">
        <is>
          <t>Brno University of Technology</t>
        </is>
      </c>
      <c r="B179" t="inlineStr">
        <is>
          <t>Czech Republic</t>
        </is>
      </c>
      <c r="C179" t="inlineStr">
        <is>
          <t>611-620</t>
        </is>
      </c>
      <c r="D179" t="inlineStr"/>
      <c r="E179" t="n">
        <v>13</v>
      </c>
      <c r="F179" t="n">
        <v>29.3</v>
      </c>
      <c r="G179" t="n">
        <v>25.7</v>
      </c>
      <c r="H179" t="n">
        <v>7.3</v>
      </c>
      <c r="I179" t="n">
        <v>14.8</v>
      </c>
      <c r="J179" t="n">
        <v>67.3</v>
      </c>
      <c r="K179" t="n">
        <v>78.8</v>
      </c>
      <c r="L179" t="n">
        <v>12.7</v>
      </c>
      <c r="M179" t="n">
        <v>3.3</v>
      </c>
      <c r="N179" t="inlineStr">
        <is>
          <t>1001–1200</t>
        </is>
      </c>
      <c r="O179" t="inlineStr">
        <is>
          <t>28.3–32.6</t>
        </is>
      </c>
      <c r="P179" t="n">
        <v>22.2</v>
      </c>
      <c r="Q179" t="n">
        <v>19.3</v>
      </c>
      <c r="R179" t="n">
        <v>39</v>
      </c>
      <c r="S179" t="n">
        <v>70.3</v>
      </c>
      <c r="T179" t="n">
        <v>58.3</v>
      </c>
      <c r="U179" t="inlineStr">
        <is>
          <t>18,137</t>
        </is>
      </c>
      <c r="V179" t="n">
        <v>15.5</v>
      </c>
      <c r="W179" t="inlineStr">
        <is>
          <t>25%</t>
        </is>
      </c>
      <c r="X179" t="inlineStr">
        <is>
          <t>28 : 72</t>
        </is>
      </c>
      <c r="Y179" t="n">
        <v>611</v>
      </c>
      <c r="Z179" t="n">
        <v>1001</v>
      </c>
      <c r="AA179" t="n">
        <v>30.45</v>
      </c>
      <c r="AB179" t="inlineStr">
        <is>
          <t>U0178</t>
        </is>
      </c>
      <c r="AC179" t="inlineStr">
        <is>
          <t>CZ</t>
        </is>
      </c>
      <c r="AD179" t="n">
        <v>30.45</v>
      </c>
      <c r="AE179" t="n">
        <v>7.3</v>
      </c>
      <c r="AF179" t="n">
        <v>15.5</v>
      </c>
      <c r="AG179" t="inlineStr">
        <is>
          <t>1:15.5</t>
        </is>
      </c>
      <c r="AH179" t="inlineStr">
        <is>
          <t>25%</t>
        </is>
      </c>
      <c r="AI179" t="n">
        <v>13</v>
      </c>
      <c r="AJ179" t="n">
        <v>19.82</v>
      </c>
    </row>
    <row r="180">
      <c r="A180" t="inlineStr">
        <is>
          <t>Brock University</t>
        </is>
      </c>
      <c r="B180" t="inlineStr">
        <is>
          <t>Canada</t>
        </is>
      </c>
      <c r="C180" t="inlineStr">
        <is>
          <t>1201-1400</t>
        </is>
      </c>
      <c r="D180" t="inlineStr"/>
      <c r="E180" t="n">
        <v>4</v>
      </c>
      <c r="F180" t="n">
        <v>6.3</v>
      </c>
      <c r="G180" t="n">
        <v>3</v>
      </c>
      <c r="H180" t="n">
        <v>13.7</v>
      </c>
      <c r="I180" t="n">
        <v>2.1</v>
      </c>
      <c r="J180" t="n">
        <v>23.8</v>
      </c>
      <c r="K180" t="n">
        <v>30.9</v>
      </c>
      <c r="L180" t="n">
        <v>5.2</v>
      </c>
      <c r="M180" t="n">
        <v>2.7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1201</v>
      </c>
      <c r="Z180" t="inlineStr"/>
      <c r="AA180" t="inlineStr"/>
      <c r="AB180" t="inlineStr">
        <is>
          <t>U0179</t>
        </is>
      </c>
      <c r="AC180" t="inlineStr">
        <is>
          <t>CA</t>
        </is>
      </c>
      <c r="AD180" t="inlineStr"/>
      <c r="AE180" t="n">
        <v>13.7</v>
      </c>
      <c r="AF180" t="inlineStr"/>
      <c r="AG180" t="inlineStr"/>
      <c r="AH180" t="inlineStr"/>
      <c r="AI180" t="n">
        <v>4</v>
      </c>
      <c r="AJ180" t="n">
        <v>17.54</v>
      </c>
    </row>
    <row r="181">
      <c r="A181" t="inlineStr">
        <is>
          <t>Brown University</t>
        </is>
      </c>
      <c r="B181" t="inlineStr">
        <is>
          <t>United States</t>
        </is>
      </c>
      <c r="C181" t="inlineStr">
        <is>
          <t>79</t>
        </is>
      </c>
      <c r="D181" t="n">
        <v>64.7</v>
      </c>
      <c r="E181" t="n">
        <v>59.9</v>
      </c>
      <c r="F181" t="n">
        <v>49.6</v>
      </c>
      <c r="G181" t="n">
        <v>77.7</v>
      </c>
      <c r="H181" t="n">
        <v>76.40000000000001</v>
      </c>
      <c r="I181" t="n">
        <v>79.90000000000001</v>
      </c>
      <c r="J181" t="n">
        <v>50.9</v>
      </c>
      <c r="K181" t="n">
        <v>83.2</v>
      </c>
      <c r="L181" t="n">
        <v>63.6</v>
      </c>
      <c r="M181" t="n">
        <v>46.6</v>
      </c>
      <c r="N181">
        <f>64</f>
        <v/>
      </c>
      <c r="O181" t="inlineStr">
        <is>
          <t>73.0</t>
        </is>
      </c>
      <c r="P181" t="n">
        <v>69.8</v>
      </c>
      <c r="Q181" t="n">
        <v>59.6</v>
      </c>
      <c r="R181" t="n">
        <v>89.7</v>
      </c>
      <c r="S181" t="n">
        <v>69.3</v>
      </c>
      <c r="T181" t="n">
        <v>72.09999999999999</v>
      </c>
      <c r="U181" t="inlineStr">
        <is>
          <t>9,781</t>
        </is>
      </c>
      <c r="V181" t="n">
        <v>10.3</v>
      </c>
      <c r="W181" t="inlineStr">
        <is>
          <t>19%</t>
        </is>
      </c>
      <c r="X181" t="inlineStr"/>
      <c r="Y181" t="n">
        <v>79</v>
      </c>
      <c r="Z181" t="n">
        <v>64</v>
      </c>
      <c r="AA181" t="n">
        <v>73</v>
      </c>
      <c r="AB181" t="inlineStr">
        <is>
          <t>U0180</t>
        </is>
      </c>
      <c r="AC181" t="inlineStr">
        <is>
          <t>UN</t>
        </is>
      </c>
      <c r="AD181" t="n">
        <v>64.7</v>
      </c>
      <c r="AE181" t="n">
        <v>76.40000000000001</v>
      </c>
      <c r="AF181" t="n">
        <v>10.3</v>
      </c>
      <c r="AG181" t="inlineStr">
        <is>
          <t>1:10.3</t>
        </is>
      </c>
      <c r="AH181" t="inlineStr">
        <is>
          <t>19%</t>
        </is>
      </c>
      <c r="AI181" t="n">
        <v>59.9</v>
      </c>
      <c r="AJ181" t="n">
        <v>65.22</v>
      </c>
    </row>
    <row r="182">
      <c r="A182" t="inlineStr">
        <is>
          <t>Brunel University London</t>
        </is>
      </c>
      <c r="B182" t="inlineStr">
        <is>
          <t>United Kingdom</t>
        </is>
      </c>
      <c r="C182" t="inlineStr">
        <is>
          <t>342</t>
        </is>
      </c>
      <c r="D182" t="n">
        <v>33</v>
      </c>
      <c r="E182" t="n">
        <v>11.1</v>
      </c>
      <c r="F182" t="n">
        <v>13.3</v>
      </c>
      <c r="G182" t="n">
        <v>7.1</v>
      </c>
      <c r="H182" t="n">
        <v>46.5</v>
      </c>
      <c r="I182" t="n">
        <v>99.09999999999999</v>
      </c>
      <c r="J182" t="n">
        <v>99.8</v>
      </c>
      <c r="K182" t="n">
        <v>77.90000000000001</v>
      </c>
      <c r="L182" t="n">
        <v>19.9</v>
      </c>
      <c r="M182" t="n">
        <v>71.2</v>
      </c>
      <c r="N182" t="inlineStr">
        <is>
          <t>351–400</t>
        </is>
      </c>
      <c r="O182" t="inlineStr">
        <is>
          <t>49.1–51.0</t>
        </is>
      </c>
      <c r="P182" t="n">
        <v>25.2</v>
      </c>
      <c r="Q182" t="n">
        <v>26.5</v>
      </c>
      <c r="R182" t="n">
        <v>80.7</v>
      </c>
      <c r="S182" t="n">
        <v>60.1</v>
      </c>
      <c r="T182" t="n">
        <v>98.40000000000001</v>
      </c>
      <c r="U182" t="inlineStr">
        <is>
          <t>14,130</t>
        </is>
      </c>
      <c r="V182" t="n">
        <v>17.9</v>
      </c>
      <c r="W182" t="inlineStr">
        <is>
          <t>40%</t>
        </is>
      </c>
      <c r="X182" t="inlineStr">
        <is>
          <t>47 : 53</t>
        </is>
      </c>
      <c r="Y182" t="n">
        <v>342</v>
      </c>
      <c r="Z182" t="n">
        <v>351</v>
      </c>
      <c r="AA182" t="n">
        <v>50.05</v>
      </c>
      <c r="AB182" t="inlineStr">
        <is>
          <t>U0181</t>
        </is>
      </c>
      <c r="AC182" t="inlineStr">
        <is>
          <t>UN</t>
        </is>
      </c>
      <c r="AD182" t="n">
        <v>33</v>
      </c>
      <c r="AE182" t="n">
        <v>46.5</v>
      </c>
      <c r="AF182" t="n">
        <v>17.9</v>
      </c>
      <c r="AG182" t="inlineStr">
        <is>
          <t>1:17.9</t>
        </is>
      </c>
      <c r="AH182" t="inlineStr">
        <is>
          <t>40%</t>
        </is>
      </c>
      <c r="AI182" t="n">
        <v>11.1</v>
      </c>
      <c r="AJ182" t="n">
        <v>45.17</v>
      </c>
    </row>
    <row r="183">
      <c r="A183" t="inlineStr">
        <is>
          <t>Bu-Ali Sina University</t>
        </is>
      </c>
      <c r="B183" t="inlineStr">
        <is>
          <t>Iran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1201–1500</t>
        </is>
      </c>
      <c r="O183" t="inlineStr">
        <is>
          <t>22.8–28.2</t>
        </is>
      </c>
      <c r="P183" t="n">
        <v>22.3</v>
      </c>
      <c r="Q183" t="n">
        <v>16.5</v>
      </c>
      <c r="R183" t="n">
        <v>42.8</v>
      </c>
      <c r="S183" t="n">
        <v>21.1</v>
      </c>
      <c r="T183" t="n">
        <v>25.3</v>
      </c>
      <c r="U183" t="inlineStr">
        <is>
          <t>11,153</t>
        </is>
      </c>
      <c r="V183" t="n">
        <v>24.1</v>
      </c>
      <c r="W183" t="inlineStr">
        <is>
          <t>1%</t>
        </is>
      </c>
      <c r="X183" t="inlineStr">
        <is>
          <t>59 : 41</t>
        </is>
      </c>
      <c r="Y183" t="inlineStr"/>
      <c r="Z183" t="n">
        <v>1201</v>
      </c>
      <c r="AA183" t="n">
        <v>25.5</v>
      </c>
      <c r="AB183" t="inlineStr">
        <is>
          <t>U0182</t>
        </is>
      </c>
      <c r="AC183" t="inlineStr">
        <is>
          <t>IR</t>
        </is>
      </c>
      <c r="AD183" t="n">
        <v>25.5</v>
      </c>
      <c r="AE183" t="n">
        <v>42.8</v>
      </c>
      <c r="AF183" t="n">
        <v>24.1</v>
      </c>
      <c r="AG183" t="inlineStr">
        <is>
          <t>1:24.1</t>
        </is>
      </c>
      <c r="AH183" t="inlineStr">
        <is>
          <t>1%</t>
        </is>
      </c>
      <c r="AI183" t="inlineStr"/>
      <c r="AJ183" t="n">
        <v>21.13</v>
      </c>
    </row>
    <row r="184">
      <c r="A184" t="inlineStr">
        <is>
          <t>Bucharest University of Economic Studies</t>
        </is>
      </c>
      <c r="B184" t="inlineStr">
        <is>
          <t>Romania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801–1000</t>
        </is>
      </c>
      <c r="O184" t="inlineStr">
        <is>
          <t>32.7–36.9</t>
        </is>
      </c>
      <c r="P184" t="n">
        <v>19.7</v>
      </c>
      <c r="Q184" t="n">
        <v>11.6</v>
      </c>
      <c r="R184" t="n">
        <v>75.90000000000001</v>
      </c>
      <c r="S184" t="n">
        <v>20.8</v>
      </c>
      <c r="T184" t="n">
        <v>27.8</v>
      </c>
      <c r="U184" t="inlineStr">
        <is>
          <t>23,419</t>
        </is>
      </c>
      <c r="V184" t="n">
        <v>16.3</v>
      </c>
      <c r="W184" t="inlineStr">
        <is>
          <t>4%</t>
        </is>
      </c>
      <c r="X184" t="inlineStr">
        <is>
          <t>62 : 38</t>
        </is>
      </c>
      <c r="Y184" t="inlineStr"/>
      <c r="Z184" t="n">
        <v>801</v>
      </c>
      <c r="AA184" t="n">
        <v>34.8</v>
      </c>
      <c r="AB184" t="inlineStr">
        <is>
          <t>U0183</t>
        </is>
      </c>
      <c r="AC184" t="inlineStr">
        <is>
          <t>RO</t>
        </is>
      </c>
      <c r="AD184" t="n">
        <v>34.8</v>
      </c>
      <c r="AE184" t="n">
        <v>75.90000000000001</v>
      </c>
      <c r="AF184" t="n">
        <v>16.3</v>
      </c>
      <c r="AG184" t="inlineStr">
        <is>
          <t>1:16.3</t>
        </is>
      </c>
      <c r="AH184" t="inlineStr">
        <is>
          <t>4%</t>
        </is>
      </c>
      <c r="AI184" t="inlineStr"/>
      <c r="AJ184" t="n">
        <v>29.2</v>
      </c>
    </row>
    <row r="185">
      <c r="A185" t="inlineStr">
        <is>
          <t>Óbuda University</t>
        </is>
      </c>
      <c r="B185" t="inlineStr">
        <is>
          <t>Hungary</t>
        </is>
      </c>
      <c r="C185" t="inlineStr">
        <is>
          <t>1201-1400</t>
        </is>
      </c>
      <c r="D185" t="inlineStr"/>
      <c r="E185" t="n">
        <v>5.5</v>
      </c>
      <c r="F185" t="n">
        <v>4.9</v>
      </c>
      <c r="G185" t="n">
        <v>2.5</v>
      </c>
      <c r="H185" t="n">
        <v>7.8</v>
      </c>
      <c r="I185" t="n">
        <v>17.9</v>
      </c>
      <c r="J185" t="n">
        <v>7.6</v>
      </c>
      <c r="K185" t="n">
        <v>29.1</v>
      </c>
      <c r="L185" t="n">
        <v>3.8</v>
      </c>
      <c r="M185" t="n">
        <v>1</v>
      </c>
      <c r="N185" t="inlineStr">
        <is>
          <t>1001–1200</t>
        </is>
      </c>
      <c r="O185" t="inlineStr">
        <is>
          <t>28.3–32.6</t>
        </is>
      </c>
      <c r="P185" t="n">
        <v>14.4</v>
      </c>
      <c r="Q185" t="n">
        <v>16.4</v>
      </c>
      <c r="R185" t="n">
        <v>55.7</v>
      </c>
      <c r="S185" t="n">
        <v>20.7</v>
      </c>
      <c r="T185" t="n">
        <v>42.6</v>
      </c>
      <c r="U185" t="inlineStr">
        <is>
          <t>10,997</t>
        </is>
      </c>
      <c r="V185" t="n">
        <v>34.4</v>
      </c>
      <c r="W185" t="inlineStr">
        <is>
          <t>7%</t>
        </is>
      </c>
      <c r="X185" t="inlineStr">
        <is>
          <t>22 : 78</t>
        </is>
      </c>
      <c r="Y185" t="n">
        <v>1201</v>
      </c>
      <c r="Z185" t="n">
        <v>1001</v>
      </c>
      <c r="AA185" t="n">
        <v>30.45</v>
      </c>
      <c r="AB185" t="inlineStr">
        <is>
          <t>U0184</t>
        </is>
      </c>
      <c r="AC185" t="inlineStr">
        <is>
          <t>HU</t>
        </is>
      </c>
      <c r="AD185" t="n">
        <v>30.45</v>
      </c>
      <c r="AE185" t="n">
        <v>7.8</v>
      </c>
      <c r="AF185" t="n">
        <v>34.4</v>
      </c>
      <c r="AG185" t="inlineStr">
        <is>
          <t>1:34.4</t>
        </is>
      </c>
      <c r="AH185" t="inlineStr">
        <is>
          <t>7%</t>
        </is>
      </c>
      <c r="AI185" t="n">
        <v>5.5</v>
      </c>
      <c r="AJ185" t="n">
        <v>14.65</v>
      </c>
    </row>
    <row r="186">
      <c r="A186" t="inlineStr">
        <is>
          <t>Budapest University of Technology and Economics</t>
        </is>
      </c>
      <c r="B186" t="inlineStr">
        <is>
          <t>Hungary</t>
        </is>
      </c>
      <c r="C186" t="inlineStr">
        <is>
          <t>721-730</t>
        </is>
      </c>
      <c r="D186" t="inlineStr"/>
      <c r="E186" t="n">
        <v>15.6</v>
      </c>
      <c r="F186" t="n">
        <v>25.7</v>
      </c>
      <c r="G186" t="n">
        <v>13.7</v>
      </c>
      <c r="H186" t="n">
        <v>8.5</v>
      </c>
      <c r="I186" t="n">
        <v>2.8</v>
      </c>
      <c r="J186" t="n">
        <v>14.8</v>
      </c>
      <c r="K186" t="n">
        <v>56.6</v>
      </c>
      <c r="L186" t="n">
        <v>33.2</v>
      </c>
      <c r="M186" t="n">
        <v>26</v>
      </c>
      <c r="N186" t="inlineStr">
        <is>
          <t>1201–1500</t>
        </is>
      </c>
      <c r="O186" t="inlineStr">
        <is>
          <t>22.8–28.2</t>
        </is>
      </c>
      <c r="P186" t="n">
        <v>22.2</v>
      </c>
      <c r="Q186" t="n">
        <v>18.3</v>
      </c>
      <c r="R186" t="n">
        <v>35.8</v>
      </c>
      <c r="S186" t="n">
        <v>59.3</v>
      </c>
      <c r="T186" t="n">
        <v>37.6</v>
      </c>
      <c r="U186" t="inlineStr">
        <is>
          <t>18,621</t>
        </is>
      </c>
      <c r="V186" t="n">
        <v>16.9</v>
      </c>
      <c r="W186" t="inlineStr">
        <is>
          <t>13%</t>
        </is>
      </c>
      <c r="X186" t="inlineStr">
        <is>
          <t>31 : 69</t>
        </is>
      </c>
      <c r="Y186" t="n">
        <v>721</v>
      </c>
      <c r="Z186" t="n">
        <v>1201</v>
      </c>
      <c r="AA186" t="n">
        <v>25.5</v>
      </c>
      <c r="AB186" t="inlineStr">
        <is>
          <t>U0185</t>
        </is>
      </c>
      <c r="AC186" t="inlineStr">
        <is>
          <t>HU</t>
        </is>
      </c>
      <c r="AD186" t="n">
        <v>25.5</v>
      </c>
      <c r="AE186" t="n">
        <v>8.5</v>
      </c>
      <c r="AF186" t="n">
        <v>16.9</v>
      </c>
      <c r="AG186" t="inlineStr">
        <is>
          <t>1:16.9</t>
        </is>
      </c>
      <c r="AH186" t="inlineStr">
        <is>
          <t>13%</t>
        </is>
      </c>
      <c r="AI186" t="n">
        <v>15.6</v>
      </c>
      <c r="AJ186" t="n">
        <v>14.65</v>
      </c>
    </row>
    <row r="187">
      <c r="A187" t="inlineStr">
        <is>
          <t>Burapha University</t>
        </is>
      </c>
      <c r="B187" t="inlineStr">
        <is>
          <t>Thailand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1501+</t>
        </is>
      </c>
      <c r="O187" t="inlineStr">
        <is>
          <t>9.7–22.7</t>
        </is>
      </c>
      <c r="P187" t="n">
        <v>16</v>
      </c>
      <c r="Q187" t="n">
        <v>9.800000000000001</v>
      </c>
      <c r="R187" t="n">
        <v>10.3</v>
      </c>
      <c r="S187" t="n">
        <v>20.9</v>
      </c>
      <c r="T187" t="n">
        <v>27.6</v>
      </c>
      <c r="U187" t="inlineStr">
        <is>
          <t>24,431</t>
        </is>
      </c>
      <c r="V187" t="n">
        <v>17.4</v>
      </c>
      <c r="W187" t="inlineStr">
        <is>
          <t>2%</t>
        </is>
      </c>
      <c r="X187" t="inlineStr">
        <is>
          <t>66 : 34</t>
        </is>
      </c>
      <c r="Y187" t="inlineStr"/>
      <c r="Z187" t="n">
        <v>1501</v>
      </c>
      <c r="AA187" t="n">
        <v>16.2</v>
      </c>
      <c r="AB187" t="inlineStr">
        <is>
          <t>U0186</t>
        </is>
      </c>
      <c r="AC187" t="inlineStr">
        <is>
          <t>TH</t>
        </is>
      </c>
      <c r="AD187" t="n">
        <v>16.2</v>
      </c>
      <c r="AE187" t="n">
        <v>10.3</v>
      </c>
      <c r="AF187" t="n">
        <v>17.4</v>
      </c>
      <c r="AG187" t="inlineStr">
        <is>
          <t>1:17.4</t>
        </is>
      </c>
      <c r="AH187" t="inlineStr">
        <is>
          <t>2%</t>
        </is>
      </c>
      <c r="AI187" t="inlineStr"/>
      <c r="AJ187" t="n">
        <v>8.32</v>
      </c>
    </row>
    <row r="188">
      <c r="A188" t="inlineStr">
        <is>
          <t>Bursa Technical University</t>
        </is>
      </c>
      <c r="B188" t="inlineStr">
        <is>
          <t>Turkey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>
        <is>
          <t>1501+</t>
        </is>
      </c>
      <c r="O188" t="inlineStr">
        <is>
          <t>9.7–22.7</t>
        </is>
      </c>
      <c r="P188" t="n">
        <v>13.7</v>
      </c>
      <c r="Q188" t="n">
        <v>9.4</v>
      </c>
      <c r="R188" t="n">
        <v>30.4</v>
      </c>
      <c r="S188" t="n">
        <v>18.5</v>
      </c>
      <c r="T188" t="n">
        <v>29.7</v>
      </c>
      <c r="U188" t="inlineStr">
        <is>
          <t>8,696</t>
        </is>
      </c>
      <c r="V188" t="n">
        <v>18.5</v>
      </c>
      <c r="W188" t="inlineStr">
        <is>
          <t>8%</t>
        </is>
      </c>
      <c r="X188" t="inlineStr">
        <is>
          <t>48 : 52</t>
        </is>
      </c>
      <c r="Y188" t="inlineStr"/>
      <c r="Z188" t="n">
        <v>1501</v>
      </c>
      <c r="AA188" t="n">
        <v>16.2</v>
      </c>
      <c r="AB188" t="inlineStr">
        <is>
          <t>U0187</t>
        </is>
      </c>
      <c r="AC188" t="inlineStr">
        <is>
          <t>TU</t>
        </is>
      </c>
      <c r="AD188" t="n">
        <v>16.2</v>
      </c>
      <c r="AE188" t="n">
        <v>30.4</v>
      </c>
      <c r="AF188" t="n">
        <v>18.5</v>
      </c>
      <c r="AG188" t="inlineStr">
        <is>
          <t>1:18.5</t>
        </is>
      </c>
      <c r="AH188" t="inlineStr">
        <is>
          <t>8%</t>
        </is>
      </c>
      <c r="AI188" t="inlineStr"/>
      <c r="AJ188" t="n">
        <v>14.71</v>
      </c>
    </row>
    <row r="189">
      <c r="A189" t="inlineStr">
        <is>
          <t>Bursa Uludağ University</t>
        </is>
      </c>
      <c r="B189" t="inlineStr">
        <is>
          <t>Turkey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1501+</t>
        </is>
      </c>
      <c r="O189" t="inlineStr">
        <is>
          <t>9.7–22.7</t>
        </is>
      </c>
      <c r="P189" t="n">
        <v>18.8</v>
      </c>
      <c r="Q189" t="n">
        <v>10.4</v>
      </c>
      <c r="R189" t="n">
        <v>20</v>
      </c>
      <c r="S189" t="n">
        <v>31</v>
      </c>
      <c r="T189" t="n">
        <v>32.3</v>
      </c>
      <c r="U189" t="inlineStr">
        <is>
          <t>41,901</t>
        </is>
      </c>
      <c r="V189" t="n">
        <v>24.2</v>
      </c>
      <c r="W189" t="inlineStr">
        <is>
          <t>10%</t>
        </is>
      </c>
      <c r="X189" t="inlineStr">
        <is>
          <t>50 : 50</t>
        </is>
      </c>
      <c r="Y189" t="inlineStr"/>
      <c r="Z189" t="n">
        <v>1501</v>
      </c>
      <c r="AA189" t="n">
        <v>16.2</v>
      </c>
      <c r="AB189" t="inlineStr">
        <is>
          <t>U0188</t>
        </is>
      </c>
      <c r="AC189" t="inlineStr">
        <is>
          <t>TU</t>
        </is>
      </c>
      <c r="AD189" t="n">
        <v>16.2</v>
      </c>
      <c r="AE189" t="n">
        <v>20</v>
      </c>
      <c r="AF189" t="n">
        <v>24.2</v>
      </c>
      <c r="AG189" t="inlineStr">
        <is>
          <t>1:24.2</t>
        </is>
      </c>
      <c r="AH189" t="inlineStr">
        <is>
          <t>10%</t>
        </is>
      </c>
      <c r="AI189" t="inlineStr"/>
      <c r="AJ189" t="n">
        <v>12.72</v>
      </c>
    </row>
    <row r="190">
      <c r="A190" t="inlineStr">
        <is>
          <t xml:space="preserve">Ca' Foscari University of Venice </t>
        </is>
      </c>
      <c r="B190" t="inlineStr">
        <is>
          <t>Italy</t>
        </is>
      </c>
      <c r="C190" t="inlineStr">
        <is>
          <t>601-610</t>
        </is>
      </c>
      <c r="D190" t="inlineStr"/>
      <c r="E190" t="n">
        <v>19.6</v>
      </c>
      <c r="F190" t="n">
        <v>15.8</v>
      </c>
      <c r="G190" t="n">
        <v>5.7</v>
      </c>
      <c r="H190" t="n">
        <v>12.7</v>
      </c>
      <c r="I190" t="n">
        <v>42</v>
      </c>
      <c r="J190" t="n">
        <v>8.9</v>
      </c>
      <c r="K190" t="n">
        <v>64.59999999999999</v>
      </c>
      <c r="L190" t="n">
        <v>12.3</v>
      </c>
      <c r="M190" t="n">
        <v>74.5</v>
      </c>
      <c r="N190" t="inlineStr">
        <is>
          <t>501–600</t>
        </is>
      </c>
      <c r="O190" t="inlineStr">
        <is>
          <t>41.9–45.3</t>
        </is>
      </c>
      <c r="P190" t="n">
        <v>34.2</v>
      </c>
      <c r="Q190" t="n">
        <v>36.3</v>
      </c>
      <c r="R190" t="n">
        <v>52.8</v>
      </c>
      <c r="S190" t="n">
        <v>64.7</v>
      </c>
      <c r="T190" t="n">
        <v>63</v>
      </c>
      <c r="U190" t="inlineStr">
        <is>
          <t>15,053</t>
        </is>
      </c>
      <c r="V190" t="n">
        <v>29.5</v>
      </c>
      <c r="W190" t="inlineStr">
        <is>
          <t>7%</t>
        </is>
      </c>
      <c r="X190" t="inlineStr">
        <is>
          <t>66 : 34</t>
        </is>
      </c>
      <c r="Y190" t="n">
        <v>601</v>
      </c>
      <c r="Z190" t="n">
        <v>501</v>
      </c>
      <c r="AA190" t="n">
        <v>43.59999999999999</v>
      </c>
      <c r="AB190" t="inlineStr">
        <is>
          <t>U0189</t>
        </is>
      </c>
      <c r="AC190" t="inlineStr">
        <is>
          <t>IT</t>
        </is>
      </c>
      <c r="AD190" t="n">
        <v>43.59999999999999</v>
      </c>
      <c r="AE190" t="n">
        <v>12.7</v>
      </c>
      <c r="AF190" t="n">
        <v>29.5</v>
      </c>
      <c r="AG190" t="inlineStr">
        <is>
          <t>1:29.5</t>
        </is>
      </c>
      <c r="AH190" t="inlineStr">
        <is>
          <t>7%</t>
        </is>
      </c>
      <c r="AI190" t="n">
        <v>19.6</v>
      </c>
      <c r="AJ190" t="n">
        <v>31.5</v>
      </c>
    </row>
    <row r="191">
      <c r="A191" t="inlineStr">
        <is>
          <t>Cairo University</t>
        </is>
      </c>
      <c r="B191" t="inlineStr">
        <is>
          <t>Egypt</t>
        </is>
      </c>
      <c r="C191" t="inlineStr">
        <is>
          <t>350</t>
        </is>
      </c>
      <c r="D191" t="n">
        <v>32.5</v>
      </c>
      <c r="E191" t="n">
        <v>45.8</v>
      </c>
      <c r="F191" t="n">
        <v>41</v>
      </c>
      <c r="G191" t="n">
        <v>8.800000000000001</v>
      </c>
      <c r="H191" t="n">
        <v>3</v>
      </c>
      <c r="I191" t="n">
        <v>2.9</v>
      </c>
      <c r="J191" t="n">
        <v>7.2</v>
      </c>
      <c r="K191" t="n">
        <v>86.40000000000001</v>
      </c>
      <c r="L191" t="n">
        <v>95.5</v>
      </c>
      <c r="M191" t="n">
        <v>47.2</v>
      </c>
      <c r="N191" t="inlineStr">
        <is>
          <t>801–1000</t>
        </is>
      </c>
      <c r="O191" t="inlineStr">
        <is>
          <t>32.7–36.9</t>
        </is>
      </c>
      <c r="P191" t="n">
        <v>25</v>
      </c>
      <c r="Q191" t="n">
        <v>18.5</v>
      </c>
      <c r="R191" t="n">
        <v>59.9</v>
      </c>
      <c r="S191" t="n">
        <v>39.2</v>
      </c>
      <c r="T191" t="n">
        <v>45.4</v>
      </c>
      <c r="U191" t="inlineStr">
        <is>
          <t>202,915</t>
        </is>
      </c>
      <c r="V191" t="n">
        <v>30.9</v>
      </c>
      <c r="W191" t="inlineStr">
        <is>
          <t>5%</t>
        </is>
      </c>
      <c r="X191" t="inlineStr">
        <is>
          <t>60 : 40</t>
        </is>
      </c>
      <c r="Y191" t="n">
        <v>350</v>
      </c>
      <c r="Z191" t="n">
        <v>801</v>
      </c>
      <c r="AA191" t="n">
        <v>34.8</v>
      </c>
      <c r="AB191" t="inlineStr">
        <is>
          <t>U0190</t>
        </is>
      </c>
      <c r="AC191" t="inlineStr">
        <is>
          <t>EG</t>
        </is>
      </c>
      <c r="AD191" t="n">
        <v>32.5</v>
      </c>
      <c r="AE191" t="n">
        <v>3</v>
      </c>
      <c r="AF191" t="n">
        <v>30.9</v>
      </c>
      <c r="AG191" t="inlineStr">
        <is>
          <t>1:30.9</t>
        </is>
      </c>
      <c r="AH191" t="inlineStr">
        <is>
          <t>5%</t>
        </is>
      </c>
      <c r="AI191" t="n">
        <v>45.8</v>
      </c>
      <c r="AJ191" t="n">
        <v>14.98</v>
      </c>
    </row>
    <row r="192">
      <c r="A192" t="inlineStr">
        <is>
          <t>California Institute of Technology (Caltech)</t>
        </is>
      </c>
      <c r="B192" t="inlineStr">
        <is>
          <t>United States</t>
        </is>
      </c>
      <c r="C192" t="inlineStr">
        <is>
          <t>10</t>
        </is>
      </c>
      <c r="D192" t="n">
        <v>90.90000000000001</v>
      </c>
      <c r="E192" t="n">
        <v>96.5</v>
      </c>
      <c r="F192" t="n">
        <v>95.3</v>
      </c>
      <c r="G192" t="n">
        <v>100</v>
      </c>
      <c r="H192" t="n">
        <v>100</v>
      </c>
      <c r="I192" t="n">
        <v>100</v>
      </c>
      <c r="J192" t="n">
        <v>79.8</v>
      </c>
      <c r="K192" t="n">
        <v>65.5</v>
      </c>
      <c r="L192" t="n">
        <v>31</v>
      </c>
      <c r="M192" t="n">
        <v>62.5</v>
      </c>
      <c r="N192" t="inlineStr">
        <is>
          <t>7</t>
        </is>
      </c>
      <c r="O192" t="inlineStr">
        <is>
          <t>96.5</t>
        </is>
      </c>
      <c r="P192" t="n">
        <v>96.59999999999999</v>
      </c>
      <c r="Q192" t="n">
        <v>98</v>
      </c>
      <c r="R192" t="n">
        <v>95.90000000000001</v>
      </c>
      <c r="S192" t="n">
        <v>100</v>
      </c>
      <c r="T192" t="n">
        <v>90.59999999999999</v>
      </c>
      <c r="U192" t="inlineStr">
        <is>
          <t>2,240</t>
        </is>
      </c>
      <c r="V192" t="n">
        <v>6.1</v>
      </c>
      <c r="W192" t="inlineStr">
        <is>
          <t>33%</t>
        </is>
      </c>
      <c r="X192" t="inlineStr">
        <is>
          <t>37 : 63</t>
        </is>
      </c>
      <c r="Y192" t="n">
        <v>10</v>
      </c>
      <c r="Z192" t="n">
        <v>7</v>
      </c>
      <c r="AA192" t="n">
        <v>96.5</v>
      </c>
      <c r="AB192" t="inlineStr">
        <is>
          <t>U0191</t>
        </is>
      </c>
      <c r="AC192" t="inlineStr">
        <is>
          <t>UN</t>
        </is>
      </c>
      <c r="AD192" t="n">
        <v>90.90000000000001</v>
      </c>
      <c r="AE192" t="n">
        <v>100</v>
      </c>
      <c r="AF192" t="n">
        <v>6.1</v>
      </c>
      <c r="AG192" t="inlineStr">
        <is>
          <t>1:6.1</t>
        </is>
      </c>
      <c r="AH192" t="inlineStr">
        <is>
          <t>33%</t>
        </is>
      </c>
      <c r="AI192" t="n">
        <v>96.5</v>
      </c>
      <c r="AJ192" t="n">
        <v>96.97</v>
      </c>
    </row>
    <row r="193">
      <c r="A193" t="inlineStr">
        <is>
          <t>California Polytechnic State University</t>
        </is>
      </c>
      <c r="B193" t="inlineStr">
        <is>
          <t>United States</t>
        </is>
      </c>
      <c r="C193" t="inlineStr">
        <is>
          <t>1401+</t>
        </is>
      </c>
      <c r="D193" t="inlineStr"/>
      <c r="E193" t="n">
        <v>3.6</v>
      </c>
      <c r="F193" t="n">
        <v>9.1</v>
      </c>
      <c r="G193" t="n">
        <v>6.7</v>
      </c>
      <c r="H193" t="n">
        <v>3</v>
      </c>
      <c r="I193" t="inlineStr"/>
      <c r="J193" t="inlineStr"/>
      <c r="K193" t="n">
        <v>25.5</v>
      </c>
      <c r="L193" t="n">
        <v>8.699999999999999</v>
      </c>
      <c r="M193" t="n">
        <v>1.3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1401</v>
      </c>
      <c r="Z193" t="inlineStr"/>
      <c r="AA193" t="inlineStr"/>
      <c r="AB193" t="inlineStr">
        <is>
          <t>U0192</t>
        </is>
      </c>
      <c r="AC193" t="inlineStr">
        <is>
          <t>UN</t>
        </is>
      </c>
      <c r="AD193" t="inlineStr"/>
      <c r="AE193" t="n">
        <v>3</v>
      </c>
      <c r="AF193" t="inlineStr"/>
      <c r="AG193" t="inlineStr"/>
      <c r="AH193" t="inlineStr"/>
      <c r="AI193" t="n">
        <v>3.6</v>
      </c>
      <c r="AJ193" t="n">
        <v>14.3</v>
      </c>
    </row>
    <row r="194">
      <c r="A194" t="inlineStr">
        <is>
          <t>California State University, Long Beach</t>
        </is>
      </c>
      <c r="B194" t="inlineStr">
        <is>
          <t>United States</t>
        </is>
      </c>
      <c r="C194" t="inlineStr">
        <is>
          <t>1401+</t>
        </is>
      </c>
      <c r="D194" t="inlineStr"/>
      <c r="E194" t="n">
        <v>3.7</v>
      </c>
      <c r="F194" t="n">
        <v>4.1</v>
      </c>
      <c r="G194" t="n">
        <v>4.8</v>
      </c>
      <c r="H194" t="n">
        <v>2.9</v>
      </c>
      <c r="I194" t="n">
        <v>2.6</v>
      </c>
      <c r="J194" t="n">
        <v>3.4</v>
      </c>
      <c r="K194" t="n">
        <v>16.4</v>
      </c>
      <c r="L194" t="n">
        <v>1.7</v>
      </c>
      <c r="M194" t="n">
        <v>1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1401</v>
      </c>
      <c r="Z194" t="inlineStr"/>
      <c r="AA194" t="inlineStr"/>
      <c r="AB194" t="inlineStr">
        <is>
          <t>U0193</t>
        </is>
      </c>
      <c r="AC194" t="inlineStr">
        <is>
          <t>UN</t>
        </is>
      </c>
      <c r="AD194" t="inlineStr"/>
      <c r="AE194" t="n">
        <v>2.9</v>
      </c>
      <c r="AF194" t="inlineStr"/>
      <c r="AG194" t="inlineStr"/>
      <c r="AH194" t="inlineStr"/>
      <c r="AI194" t="n">
        <v>3.7</v>
      </c>
      <c r="AJ194" t="n">
        <v>14.27</v>
      </c>
    </row>
    <row r="195">
      <c r="A195" t="inlineStr">
        <is>
          <t>California State University - Los Angeles</t>
        </is>
      </c>
      <c r="B195" t="inlineStr">
        <is>
          <t>United States</t>
        </is>
      </c>
      <c r="C195" t="inlineStr">
        <is>
          <t>1401+</t>
        </is>
      </c>
      <c r="D195" t="inlineStr"/>
      <c r="E195" t="n">
        <v>5.2</v>
      </c>
      <c r="F195" t="n">
        <v>3.3</v>
      </c>
      <c r="G195" t="n">
        <v>3.8</v>
      </c>
      <c r="H195" t="n">
        <v>2.9</v>
      </c>
      <c r="I195" t="n">
        <v>3.6</v>
      </c>
      <c r="J195" t="n">
        <v>2.3</v>
      </c>
      <c r="K195" t="n">
        <v>14.9</v>
      </c>
      <c r="L195" t="n">
        <v>5.5</v>
      </c>
      <c r="M195" t="n">
        <v>1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1401</v>
      </c>
      <c r="Z195" t="inlineStr"/>
      <c r="AA195" t="inlineStr"/>
      <c r="AB195" t="inlineStr">
        <is>
          <t>U0194</t>
        </is>
      </c>
      <c r="AC195" t="inlineStr">
        <is>
          <t>UN</t>
        </is>
      </c>
      <c r="AD195" t="inlineStr"/>
      <c r="AE195" t="n">
        <v>2.9</v>
      </c>
      <c r="AF195" t="inlineStr"/>
      <c r="AG195" t="inlineStr"/>
      <c r="AH195" t="inlineStr"/>
      <c r="AI195" t="n">
        <v>5.2</v>
      </c>
      <c r="AJ195" t="n">
        <v>14.27</v>
      </c>
    </row>
    <row r="196">
      <c r="A196" t="inlineStr">
        <is>
          <t>Campus Bio-Medico University of Rome</t>
        </is>
      </c>
      <c r="B196" t="inlineStr">
        <is>
          <t>Italy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401–500</t>
        </is>
      </c>
      <c r="O196" t="inlineStr">
        <is>
          <t>45.4–49.0</t>
        </is>
      </c>
      <c r="P196" t="n">
        <v>32.6</v>
      </c>
      <c r="Q196" t="n">
        <v>29</v>
      </c>
      <c r="R196" t="n">
        <v>76.90000000000001</v>
      </c>
      <c r="S196" t="n">
        <v>48.8</v>
      </c>
      <c r="T196" t="n">
        <v>31</v>
      </c>
      <c r="U196" t="inlineStr">
        <is>
          <t>2,210</t>
        </is>
      </c>
      <c r="V196" t="n">
        <v>18.4</v>
      </c>
      <c r="W196" t="inlineStr">
        <is>
          <t>1%</t>
        </is>
      </c>
      <c r="X196" t="inlineStr">
        <is>
          <t>62 : 38</t>
        </is>
      </c>
      <c r="Y196" t="inlineStr"/>
      <c r="Z196" t="n">
        <v>401</v>
      </c>
      <c r="AA196" t="n">
        <v>47.2</v>
      </c>
      <c r="AB196" t="inlineStr">
        <is>
          <t>U0195</t>
        </is>
      </c>
      <c r="AC196" t="inlineStr">
        <is>
          <t>IT</t>
        </is>
      </c>
      <c r="AD196" t="n">
        <v>47.2</v>
      </c>
      <c r="AE196" t="n">
        <v>76.90000000000001</v>
      </c>
      <c r="AF196" t="n">
        <v>18.4</v>
      </c>
      <c r="AG196" t="inlineStr">
        <is>
          <t>1:18.4</t>
        </is>
      </c>
      <c r="AH196" t="inlineStr">
        <is>
          <t>1%</t>
        </is>
      </c>
      <c r="AI196" t="inlineStr"/>
      <c r="AJ196" t="n">
        <v>39.39</v>
      </c>
    </row>
    <row r="197">
      <c r="A197" t="inlineStr">
        <is>
          <t>Canadian University Dubai</t>
        </is>
      </c>
      <c r="B197" t="inlineStr">
        <is>
          <t>United Arab Emirates</t>
        </is>
      </c>
      <c r="C197" t="inlineStr">
        <is>
          <t>523</t>
        </is>
      </c>
      <c r="D197" t="n">
        <v>23.5</v>
      </c>
      <c r="E197" t="n">
        <v>20.1</v>
      </c>
      <c r="F197" t="n">
        <v>19.9</v>
      </c>
      <c r="G197" t="n">
        <v>33.5</v>
      </c>
      <c r="H197" t="n">
        <v>2.7</v>
      </c>
      <c r="I197" t="n">
        <v>100</v>
      </c>
      <c r="J197" t="n">
        <v>100</v>
      </c>
      <c r="K197" t="n">
        <v>14</v>
      </c>
      <c r="L197" t="n">
        <v>17.4</v>
      </c>
      <c r="M197" t="n">
        <v>1.6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523</v>
      </c>
      <c r="Z197" t="inlineStr"/>
      <c r="AA197" t="inlineStr"/>
      <c r="AB197" t="inlineStr">
        <is>
          <t>U0196</t>
        </is>
      </c>
      <c r="AC197" t="inlineStr">
        <is>
          <t>UN</t>
        </is>
      </c>
      <c r="AD197" t="n">
        <v>23.5</v>
      </c>
      <c r="AE197" t="n">
        <v>2.7</v>
      </c>
      <c r="AF197" t="inlineStr"/>
      <c r="AG197" t="inlineStr"/>
      <c r="AH197" t="inlineStr"/>
      <c r="AI197" t="n">
        <v>20.1</v>
      </c>
      <c r="AJ197" t="n">
        <v>14.21</v>
      </c>
    </row>
    <row r="198">
      <c r="A198" t="inlineStr">
        <is>
          <t>Cankaya University</t>
        </is>
      </c>
      <c r="B198" t="inlineStr">
        <is>
          <t>Turkey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601–800</t>
        </is>
      </c>
      <c r="O198" t="inlineStr">
        <is>
          <t>37.0–41.8</t>
        </is>
      </c>
      <c r="P198" t="n">
        <v>14</v>
      </c>
      <c r="Q198" t="n">
        <v>15.4</v>
      </c>
      <c r="R198" t="n">
        <v>83.40000000000001</v>
      </c>
      <c r="S198" t="n">
        <v>17</v>
      </c>
      <c r="T198" t="n">
        <v>51</v>
      </c>
      <c r="U198" t="inlineStr">
        <is>
          <t>6,685</t>
        </is>
      </c>
      <c r="V198" t="n">
        <v>24</v>
      </c>
      <c r="W198" t="inlineStr">
        <is>
          <t>1%</t>
        </is>
      </c>
      <c r="X198" t="inlineStr">
        <is>
          <t>44 : 56</t>
        </is>
      </c>
      <c r="Y198" t="inlineStr"/>
      <c r="Z198" t="n">
        <v>601</v>
      </c>
      <c r="AA198" t="n">
        <v>39.4</v>
      </c>
      <c r="AB198" t="inlineStr">
        <is>
          <t>U0197</t>
        </is>
      </c>
      <c r="AC198" t="inlineStr">
        <is>
          <t>TU</t>
        </is>
      </c>
      <c r="AD198" t="n">
        <v>39.4</v>
      </c>
      <c r="AE198" t="n">
        <v>83.40000000000001</v>
      </c>
      <c r="AF198" t="n">
        <v>24</v>
      </c>
      <c r="AG198" t="inlineStr">
        <is>
          <t>1:24.0</t>
        </is>
      </c>
      <c r="AH198" t="inlineStr">
        <is>
          <t>1%</t>
        </is>
      </c>
      <c r="AI198" t="inlineStr"/>
      <c r="AJ198" t="n">
        <v>39.07</v>
      </c>
    </row>
    <row r="199">
      <c r="A199" t="inlineStr">
        <is>
          <t>Canterbury Christ Church University</t>
        </is>
      </c>
      <c r="B199" t="inlineStr">
        <is>
          <t>United Kingdom</t>
        </is>
      </c>
      <c r="C199" t="inlineStr">
        <is>
          <t>1001-1200</t>
        </is>
      </c>
      <c r="D199" t="inlineStr"/>
      <c r="E199" t="n">
        <v>5.1</v>
      </c>
      <c r="F199" t="n">
        <v>2.2</v>
      </c>
      <c r="G199" t="n">
        <v>4.7</v>
      </c>
      <c r="H199" t="n">
        <v>3.7</v>
      </c>
      <c r="I199" t="n">
        <v>34.5</v>
      </c>
      <c r="J199" t="n">
        <v>87.59999999999999</v>
      </c>
      <c r="K199" t="n">
        <v>17.7</v>
      </c>
      <c r="L199" t="n">
        <v>1.3</v>
      </c>
      <c r="M199" t="n">
        <v>1</v>
      </c>
      <c r="N199" t="inlineStr">
        <is>
          <t>1001–1200</t>
        </is>
      </c>
      <c r="O199" t="inlineStr">
        <is>
          <t>28.3–32.6</t>
        </is>
      </c>
      <c r="P199" t="n">
        <v>20.7</v>
      </c>
      <c r="Q199" t="n">
        <v>13.8</v>
      </c>
      <c r="R199" t="n">
        <v>44.6</v>
      </c>
      <c r="S199" t="n">
        <v>18</v>
      </c>
      <c r="T199" t="n">
        <v>59.6</v>
      </c>
      <c r="U199" t="inlineStr">
        <is>
          <t>11,155</t>
        </is>
      </c>
      <c r="V199" t="n">
        <v>20.1</v>
      </c>
      <c r="W199" t="inlineStr">
        <is>
          <t>15%</t>
        </is>
      </c>
      <c r="X199" t="inlineStr">
        <is>
          <t>68 : 32</t>
        </is>
      </c>
      <c r="Y199" t="n">
        <v>1001</v>
      </c>
      <c r="Z199" t="n">
        <v>1001</v>
      </c>
      <c r="AA199" t="n">
        <v>30.45</v>
      </c>
      <c r="AB199" t="inlineStr">
        <is>
          <t>U0198</t>
        </is>
      </c>
      <c r="AC199" t="inlineStr">
        <is>
          <t>UN</t>
        </is>
      </c>
      <c r="AD199" t="n">
        <v>30.45</v>
      </c>
      <c r="AE199" t="n">
        <v>3.7</v>
      </c>
      <c r="AF199" t="n">
        <v>20.1</v>
      </c>
      <c r="AG199" t="inlineStr">
        <is>
          <t>1:20.1</t>
        </is>
      </c>
      <c r="AH199" t="inlineStr">
        <is>
          <t>15%</t>
        </is>
      </c>
      <c r="AI199" t="n">
        <v>5.1</v>
      </c>
      <c r="AJ199" t="n">
        <v>16.16</v>
      </c>
    </row>
    <row r="200">
      <c r="A200" t="inlineStr">
        <is>
          <t>Capital Medical University</t>
        </is>
      </c>
      <c r="B200" t="inlineStr">
        <is>
          <t>China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601–800</t>
        </is>
      </c>
      <c r="O200" t="inlineStr">
        <is>
          <t>37.0–41.8</t>
        </is>
      </c>
      <c r="P200" t="n">
        <v>35.9</v>
      </c>
      <c r="Q200" t="n">
        <v>20.9</v>
      </c>
      <c r="R200" t="n">
        <v>65.8</v>
      </c>
      <c r="S200" t="n">
        <v>46</v>
      </c>
      <c r="T200" t="n">
        <v>26.4</v>
      </c>
      <c r="U200" t="inlineStr">
        <is>
          <t>15,347</t>
        </is>
      </c>
      <c r="V200" t="n">
        <v>4.9</v>
      </c>
      <c r="W200" t="inlineStr">
        <is>
          <t>5%</t>
        </is>
      </c>
      <c r="X200" t="inlineStr">
        <is>
          <t>64 : 36</t>
        </is>
      </c>
      <c r="Y200" t="inlineStr"/>
      <c r="Z200" t="n">
        <v>601</v>
      </c>
      <c r="AA200" t="n">
        <v>39.4</v>
      </c>
      <c r="AB200" t="inlineStr">
        <is>
          <t>U0199</t>
        </is>
      </c>
      <c r="AC200" t="inlineStr">
        <is>
          <t>CH</t>
        </is>
      </c>
      <c r="AD200" t="n">
        <v>39.4</v>
      </c>
      <c r="AE200" t="n">
        <v>65.8</v>
      </c>
      <c r="AF200" t="n">
        <v>4.9</v>
      </c>
      <c r="AG200" t="inlineStr">
        <is>
          <t>1:4.9</t>
        </is>
      </c>
      <c r="AH200" t="inlineStr">
        <is>
          <t>5%</t>
        </is>
      </c>
      <c r="AI200" t="inlineStr"/>
      <c r="AJ200" t="n">
        <v>30.67</v>
      </c>
    </row>
    <row r="201">
      <c r="A201" t="inlineStr">
        <is>
          <t>Capital University of Science and Technology</t>
        </is>
      </c>
      <c r="B201" t="inlineStr">
        <is>
          <t>Pakistan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601–800</t>
        </is>
      </c>
      <c r="O201" t="inlineStr">
        <is>
          <t>37.0–41.8</t>
        </is>
      </c>
      <c r="P201" t="n">
        <v>13.4</v>
      </c>
      <c r="Q201" t="n">
        <v>16.1</v>
      </c>
      <c r="R201" t="n">
        <v>82</v>
      </c>
      <c r="S201" t="n">
        <v>22.2</v>
      </c>
      <c r="T201" t="n">
        <v>46.6</v>
      </c>
      <c r="U201" t="inlineStr">
        <is>
          <t>6,237</t>
        </is>
      </c>
      <c r="V201" t="n">
        <v>28</v>
      </c>
      <c r="W201" t="inlineStr">
        <is>
          <t>0%</t>
        </is>
      </c>
      <c r="X201" t="inlineStr">
        <is>
          <t>36 : 64</t>
        </is>
      </c>
      <c r="Y201" t="inlineStr"/>
      <c r="Z201" t="n">
        <v>601</v>
      </c>
      <c r="AA201" t="n">
        <v>39.4</v>
      </c>
      <c r="AB201" t="inlineStr">
        <is>
          <t>U0200</t>
        </is>
      </c>
      <c r="AC201" t="inlineStr">
        <is>
          <t>PA</t>
        </is>
      </c>
      <c r="AD201" t="n">
        <v>39.4</v>
      </c>
      <c r="AE201" t="n">
        <v>82</v>
      </c>
      <c r="AF201" t="n">
        <v>28</v>
      </c>
      <c r="AG201" t="inlineStr">
        <is>
          <t>1:28.0</t>
        </is>
      </c>
      <c r="AH201" t="inlineStr">
        <is>
          <t>0%</t>
        </is>
      </c>
      <c r="AI201" t="inlineStr"/>
      <c r="AJ201" t="n">
        <v>37.95</v>
      </c>
    </row>
    <row r="202">
      <c r="A202" t="inlineStr">
        <is>
          <t>Cardiff Metropolitan University</t>
        </is>
      </c>
      <c r="B202" t="inlineStr">
        <is>
          <t>United Kingdom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1201–1500</t>
        </is>
      </c>
      <c r="O202" t="inlineStr">
        <is>
          <t>22.8–28.2</t>
        </is>
      </c>
      <c r="P202" t="n">
        <v>20.3</v>
      </c>
      <c r="Q202" t="n">
        <v>12.8</v>
      </c>
      <c r="R202" t="n">
        <v>34.8</v>
      </c>
      <c r="S202" t="n">
        <v>41.3</v>
      </c>
      <c r="T202" t="n">
        <v>78.7</v>
      </c>
      <c r="U202" t="inlineStr">
        <is>
          <t>9,665</t>
        </is>
      </c>
      <c r="V202" t="n">
        <v>18.1</v>
      </c>
      <c r="W202" t="inlineStr">
        <is>
          <t>20%</t>
        </is>
      </c>
      <c r="X202" t="inlineStr">
        <is>
          <t>54 : 46</t>
        </is>
      </c>
      <c r="Y202" t="inlineStr"/>
      <c r="Z202" t="n">
        <v>1201</v>
      </c>
      <c r="AA202" t="n">
        <v>25.5</v>
      </c>
      <c r="AB202" t="inlineStr">
        <is>
          <t>U0201</t>
        </is>
      </c>
      <c r="AC202" t="inlineStr">
        <is>
          <t>UN</t>
        </is>
      </c>
      <c r="AD202" t="n">
        <v>25.5</v>
      </c>
      <c r="AE202" t="n">
        <v>34.8</v>
      </c>
      <c r="AF202" t="n">
        <v>18.1</v>
      </c>
      <c r="AG202" t="inlineStr">
        <is>
          <t>1:18.1</t>
        </is>
      </c>
      <c r="AH202" t="inlineStr">
        <is>
          <t>20%</t>
        </is>
      </c>
      <c r="AI202" t="inlineStr"/>
      <c r="AJ202" t="n">
        <v>29.68</v>
      </c>
    </row>
    <row r="203">
      <c r="A203" t="inlineStr">
        <is>
          <t>Cardiff University</t>
        </is>
      </c>
      <c r="B203" t="inlineStr">
        <is>
          <t>United Kingdom</t>
        </is>
      </c>
      <c r="C203" t="inlineStr">
        <is>
          <t>186</t>
        </is>
      </c>
      <c r="D203" t="n">
        <v>47.6</v>
      </c>
      <c r="E203" t="n">
        <v>46.8</v>
      </c>
      <c r="F203" t="n">
        <v>43.2</v>
      </c>
      <c r="G203" t="n">
        <v>36.1</v>
      </c>
      <c r="H203" t="n">
        <v>30</v>
      </c>
      <c r="I203" t="n">
        <v>82.8</v>
      </c>
      <c r="J203" t="n">
        <v>67.7</v>
      </c>
      <c r="K203" t="n">
        <v>92.3</v>
      </c>
      <c r="L203" t="n">
        <v>18.9</v>
      </c>
      <c r="M203" t="n">
        <v>96</v>
      </c>
      <c r="N203" t="inlineStr">
        <is>
          <t>190</t>
        </is>
      </c>
      <c r="O203" t="inlineStr">
        <is>
          <t>59.3</t>
        </is>
      </c>
      <c r="P203" t="n">
        <v>35.5</v>
      </c>
      <c r="Q203" t="n">
        <v>39.6</v>
      </c>
      <c r="R203" t="n">
        <v>91.90000000000001</v>
      </c>
      <c r="S203" t="n">
        <v>70.40000000000001</v>
      </c>
      <c r="T203" t="n">
        <v>92.5</v>
      </c>
      <c r="U203" t="inlineStr">
        <is>
          <t>28,815</t>
        </is>
      </c>
      <c r="V203" t="n">
        <v>15</v>
      </c>
      <c r="W203" t="inlineStr">
        <is>
          <t>27%</t>
        </is>
      </c>
      <c r="X203" t="inlineStr">
        <is>
          <t>58 : 42</t>
        </is>
      </c>
      <c r="Y203" t="n">
        <v>186</v>
      </c>
      <c r="Z203" t="n">
        <v>190</v>
      </c>
      <c r="AA203" t="n">
        <v>59.3</v>
      </c>
      <c r="AB203" t="inlineStr">
        <is>
          <t>U0202</t>
        </is>
      </c>
      <c r="AC203" t="inlineStr">
        <is>
          <t>UN</t>
        </is>
      </c>
      <c r="AD203" t="n">
        <v>47.6</v>
      </c>
      <c r="AE203" t="n">
        <v>30</v>
      </c>
      <c r="AF203" t="n">
        <v>15</v>
      </c>
      <c r="AG203" t="inlineStr">
        <is>
          <t>1:15.0</t>
        </is>
      </c>
      <c r="AH203" t="inlineStr">
        <is>
          <t>27%</t>
        </is>
      </c>
      <c r="AI203" t="n">
        <v>46.8</v>
      </c>
      <c r="AJ203" t="n">
        <v>45.61</v>
      </c>
    </row>
    <row r="204">
      <c r="A204" t="inlineStr">
        <is>
          <t>Carleton University</t>
        </is>
      </c>
      <c r="B204" t="inlineStr">
        <is>
          <t>Canada</t>
        </is>
      </c>
      <c r="C204" t="inlineStr">
        <is>
          <t>741-750</t>
        </is>
      </c>
      <c r="D204" t="inlineStr"/>
      <c r="E204" t="n">
        <v>11.1</v>
      </c>
      <c r="F204" t="n">
        <v>13.5</v>
      </c>
      <c r="G204" t="n">
        <v>3.8</v>
      </c>
      <c r="H204" t="n">
        <v>15.6</v>
      </c>
      <c r="I204" t="n">
        <v>13.2</v>
      </c>
      <c r="J204" t="n">
        <v>43.7</v>
      </c>
      <c r="K204" t="n">
        <v>67.3</v>
      </c>
      <c r="L204" t="n">
        <v>34.3</v>
      </c>
      <c r="M204" t="n">
        <v>26.3</v>
      </c>
      <c r="N204" t="inlineStr">
        <is>
          <t>501–600</t>
        </is>
      </c>
      <c r="O204" t="inlineStr">
        <is>
          <t>41.9–45.3</t>
        </is>
      </c>
      <c r="P204" t="n">
        <v>22.6</v>
      </c>
      <c r="Q204" t="n">
        <v>31.2</v>
      </c>
      <c r="R204" t="n">
        <v>67</v>
      </c>
      <c r="S204" t="n">
        <v>75.5</v>
      </c>
      <c r="T204" t="n">
        <v>77.2</v>
      </c>
      <c r="U204" t="inlineStr">
        <is>
          <t>29,656</t>
        </is>
      </c>
      <c r="V204" t="n">
        <v>29.4</v>
      </c>
      <c r="W204" t="inlineStr">
        <is>
          <t>21%</t>
        </is>
      </c>
      <c r="X204" t="inlineStr">
        <is>
          <t>50 : 50</t>
        </is>
      </c>
      <c r="Y204" t="n">
        <v>741</v>
      </c>
      <c r="Z204" t="n">
        <v>501</v>
      </c>
      <c r="AA204" t="n">
        <v>43.59999999999999</v>
      </c>
      <c r="AB204" t="inlineStr">
        <is>
          <t>U0203</t>
        </is>
      </c>
      <c r="AC204" t="inlineStr">
        <is>
          <t>CA</t>
        </is>
      </c>
      <c r="AD204" t="n">
        <v>43.59999999999999</v>
      </c>
      <c r="AE204" t="n">
        <v>15.6</v>
      </c>
      <c r="AF204" t="n">
        <v>29.4</v>
      </c>
      <c r="AG204" t="inlineStr">
        <is>
          <t>1:29.4</t>
        </is>
      </c>
      <c r="AH204" t="inlineStr">
        <is>
          <t>21%</t>
        </is>
      </c>
      <c r="AI204" t="n">
        <v>11.1</v>
      </c>
      <c r="AJ204" t="n">
        <v>33.14</v>
      </c>
    </row>
    <row r="205">
      <c r="A205" t="inlineStr">
        <is>
          <t>Carlos III University of Madrid</t>
        </is>
      </c>
      <c r="B205" t="inlineStr">
        <is>
          <t>Spain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801–1000</t>
        </is>
      </c>
      <c r="O205" t="inlineStr">
        <is>
          <t>32.7–36.9</t>
        </is>
      </c>
      <c r="P205" t="n">
        <v>29.5</v>
      </c>
      <c r="Q205" t="n">
        <v>20.8</v>
      </c>
      <c r="R205" t="n">
        <v>42.9</v>
      </c>
      <c r="S205" t="n">
        <v>66.90000000000001</v>
      </c>
      <c r="T205" t="n">
        <v>60</v>
      </c>
      <c r="U205" t="inlineStr">
        <is>
          <t>18,722</t>
        </is>
      </c>
      <c r="V205" t="n">
        <v>11.2</v>
      </c>
      <c r="W205" t="inlineStr">
        <is>
          <t>12%</t>
        </is>
      </c>
      <c r="X205" t="inlineStr">
        <is>
          <t>47 : 53</t>
        </is>
      </c>
      <c r="Y205" t="inlineStr"/>
      <c r="Z205" t="n">
        <v>801</v>
      </c>
      <c r="AA205" t="n">
        <v>34.8</v>
      </c>
      <c r="AB205" t="inlineStr">
        <is>
          <t>U0204</t>
        </is>
      </c>
      <c r="AC205" t="inlineStr">
        <is>
          <t>SP</t>
        </is>
      </c>
      <c r="AD205" t="n">
        <v>34.8</v>
      </c>
      <c r="AE205" t="n">
        <v>42.9</v>
      </c>
      <c r="AF205" t="n">
        <v>11.2</v>
      </c>
      <c r="AG205" t="inlineStr">
        <is>
          <t>1:11.2</t>
        </is>
      </c>
      <c r="AH205" t="inlineStr">
        <is>
          <t>12%</t>
        </is>
      </c>
      <c r="AI205" t="inlineStr"/>
      <c r="AJ205" t="n">
        <v>31.8</v>
      </c>
    </row>
    <row r="206">
      <c r="A206" t="inlineStr">
        <is>
          <t>Carnegie Mellon University</t>
        </is>
      </c>
      <c r="B206" t="inlineStr">
        <is>
          <t>United States</t>
        </is>
      </c>
      <c r="C206" t="inlineStr">
        <is>
          <t>58</t>
        </is>
      </c>
      <c r="D206" t="n">
        <v>72</v>
      </c>
      <c r="E206" t="n">
        <v>69.8</v>
      </c>
      <c r="F206" t="n">
        <v>80.09999999999999</v>
      </c>
      <c r="G206" t="n">
        <v>40.9</v>
      </c>
      <c r="H206" t="n">
        <v>98.90000000000001</v>
      </c>
      <c r="I206" t="n">
        <v>33.7</v>
      </c>
      <c r="J206" t="n">
        <v>99.09999999999999</v>
      </c>
      <c r="K206" t="n">
        <v>79.90000000000001</v>
      </c>
      <c r="L206" t="n">
        <v>61.5</v>
      </c>
      <c r="M206" t="n">
        <v>24.5</v>
      </c>
      <c r="N206" t="inlineStr">
        <is>
          <t>24</t>
        </is>
      </c>
      <c r="O206" t="inlineStr">
        <is>
          <t>86.3</t>
        </is>
      </c>
      <c r="P206" t="n">
        <v>75</v>
      </c>
      <c r="Q206" t="n">
        <v>84.59999999999999</v>
      </c>
      <c r="R206" t="n">
        <v>98.90000000000001</v>
      </c>
      <c r="S206" t="n">
        <v>87.3</v>
      </c>
      <c r="T206" t="n">
        <v>85.5</v>
      </c>
      <c r="U206" t="inlineStr">
        <is>
          <t>13,562</t>
        </is>
      </c>
      <c r="V206" t="n">
        <v>11.9</v>
      </c>
      <c r="W206" t="inlineStr">
        <is>
          <t>44%</t>
        </is>
      </c>
      <c r="X206" t="inlineStr">
        <is>
          <t>44 : 56</t>
        </is>
      </c>
      <c r="Y206" t="n">
        <v>58</v>
      </c>
      <c r="Z206" t="n">
        <v>24</v>
      </c>
      <c r="AA206" t="n">
        <v>86.3</v>
      </c>
      <c r="AB206" t="inlineStr">
        <is>
          <t>U0205</t>
        </is>
      </c>
      <c r="AC206" t="inlineStr">
        <is>
          <t>UN</t>
        </is>
      </c>
      <c r="AD206" t="n">
        <v>72</v>
      </c>
      <c r="AE206" t="n">
        <v>98.90000000000001</v>
      </c>
      <c r="AF206" t="n">
        <v>11.9</v>
      </c>
      <c r="AG206" t="inlineStr">
        <is>
          <t>1:11.9</t>
        </is>
      </c>
      <c r="AH206" t="inlineStr">
        <is>
          <t>44%</t>
        </is>
      </c>
      <c r="AI206" t="n">
        <v>69.8</v>
      </c>
      <c r="AJ206" t="n">
        <v>88.38</v>
      </c>
    </row>
    <row r="207">
      <c r="A207" t="inlineStr">
        <is>
          <t>Case Western Reserve University</t>
        </is>
      </c>
      <c r="B207" t="inlineStr">
        <is>
          <t>United States</t>
        </is>
      </c>
      <c r="C207" t="inlineStr">
        <is>
          <t>259</t>
        </is>
      </c>
      <c r="D207" t="n">
        <v>39.7</v>
      </c>
      <c r="E207" t="n">
        <v>17.2</v>
      </c>
      <c r="F207" t="n">
        <v>15.4</v>
      </c>
      <c r="G207" t="n">
        <v>82.3</v>
      </c>
      <c r="H207" t="n">
        <v>61.6</v>
      </c>
      <c r="I207" t="n">
        <v>35.7</v>
      </c>
      <c r="J207" t="n">
        <v>71.7</v>
      </c>
      <c r="K207" t="n">
        <v>55.6</v>
      </c>
      <c r="L207" t="n">
        <v>29.3</v>
      </c>
      <c r="M207" t="n">
        <v>53.1</v>
      </c>
      <c r="N207">
        <f>164</f>
        <v/>
      </c>
      <c r="O207" t="inlineStr">
        <is>
          <t>61.3</t>
        </is>
      </c>
      <c r="P207" t="n">
        <v>51.7</v>
      </c>
      <c r="Q207" t="n">
        <v>40.2</v>
      </c>
      <c r="R207" t="n">
        <v>88.7</v>
      </c>
      <c r="S207" t="n">
        <v>71.40000000000001</v>
      </c>
      <c r="T207" t="n">
        <v>65</v>
      </c>
      <c r="U207" t="inlineStr">
        <is>
          <t>10,294</t>
        </is>
      </c>
      <c r="V207" t="n">
        <v>8.800000000000001</v>
      </c>
      <c r="W207" t="inlineStr">
        <is>
          <t>25%</t>
        </is>
      </c>
      <c r="X207" t="inlineStr">
        <is>
          <t>51 : 49</t>
        </is>
      </c>
      <c r="Y207" t="n">
        <v>259</v>
      </c>
      <c r="Z207" t="n">
        <v>164</v>
      </c>
      <c r="AA207" t="n">
        <v>61.3</v>
      </c>
      <c r="AB207" t="inlineStr">
        <is>
          <t>U0206</t>
        </is>
      </c>
      <c r="AC207" t="inlineStr">
        <is>
          <t>UN</t>
        </is>
      </c>
      <c r="AD207" t="n">
        <v>39.7</v>
      </c>
      <c r="AE207" t="n">
        <v>61.6</v>
      </c>
      <c r="AF207" t="n">
        <v>8.800000000000001</v>
      </c>
      <c r="AG207" t="inlineStr">
        <is>
          <t>1:8.8</t>
        </is>
      </c>
      <c r="AH207" t="inlineStr">
        <is>
          <t>25%</t>
        </is>
      </c>
      <c r="AI207" t="n">
        <v>17.2</v>
      </c>
      <c r="AJ207" t="n">
        <v>48.85</v>
      </c>
    </row>
    <row r="208">
      <c r="A208" t="inlineStr">
        <is>
          <t>Católica de Córdoba</t>
        </is>
      </c>
      <c r="B208" t="inlineStr">
        <is>
          <t>Argentina</t>
        </is>
      </c>
      <c r="C208" t="inlineStr">
        <is>
          <t>1401+</t>
        </is>
      </c>
      <c r="D208" t="inlineStr"/>
      <c r="E208" t="n">
        <v>5.3</v>
      </c>
      <c r="F208" t="n">
        <v>2.6</v>
      </c>
      <c r="G208" t="n">
        <v>17.1</v>
      </c>
      <c r="H208" t="n">
        <v>1.1</v>
      </c>
      <c r="I208" t="n">
        <v>3.6</v>
      </c>
      <c r="J208" t="n">
        <v>3.6</v>
      </c>
      <c r="K208" t="n">
        <v>2.3</v>
      </c>
      <c r="L208" t="n">
        <v>4.6</v>
      </c>
      <c r="M208" t="n">
        <v>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1401</v>
      </c>
      <c r="Z208" t="inlineStr"/>
      <c r="AA208" t="inlineStr"/>
      <c r="AB208" t="inlineStr">
        <is>
          <t>U0207</t>
        </is>
      </c>
      <c r="AC208" t="inlineStr">
        <is>
          <t>AR</t>
        </is>
      </c>
      <c r="AD208" t="inlineStr"/>
      <c r="AE208" t="n">
        <v>1.1</v>
      </c>
      <c r="AF208" t="inlineStr"/>
      <c r="AG208" t="inlineStr"/>
      <c r="AH208" t="inlineStr"/>
      <c r="AI208" t="n">
        <v>5.3</v>
      </c>
      <c r="AJ208" t="n">
        <v>13.72</v>
      </c>
    </row>
    <row r="209">
      <c r="A209" t="inlineStr">
        <is>
          <t>Catania University</t>
        </is>
      </c>
      <c r="B209" t="inlineStr">
        <is>
          <t>Italy</t>
        </is>
      </c>
      <c r="C209" t="inlineStr">
        <is>
          <t>901-950</t>
        </is>
      </c>
      <c r="D209" t="inlineStr"/>
      <c r="E209" t="n">
        <v>11.6</v>
      </c>
      <c r="F209" t="n">
        <v>3</v>
      </c>
      <c r="G209" t="n">
        <v>5.4</v>
      </c>
      <c r="H209" t="n">
        <v>23.4</v>
      </c>
      <c r="I209" t="n">
        <v>3.5</v>
      </c>
      <c r="J209" t="n">
        <v>4.5</v>
      </c>
      <c r="K209" t="n">
        <v>71.3</v>
      </c>
      <c r="L209" t="n">
        <v>5.7</v>
      </c>
      <c r="M209" t="n">
        <v>3.6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901</v>
      </c>
      <c r="Z209" t="inlineStr"/>
      <c r="AA209" t="inlineStr"/>
      <c r="AB209" t="inlineStr">
        <is>
          <t>U0208</t>
        </is>
      </c>
      <c r="AC209" t="inlineStr">
        <is>
          <t>IT</t>
        </is>
      </c>
      <c r="AD209" t="inlineStr"/>
      <c r="AE209" t="n">
        <v>23.4</v>
      </c>
      <c r="AF209" t="inlineStr"/>
      <c r="AG209" t="inlineStr"/>
      <c r="AH209" t="inlineStr"/>
      <c r="AI209" t="n">
        <v>11.6</v>
      </c>
      <c r="AJ209" t="n">
        <v>20.48</v>
      </c>
    </row>
    <row r="210">
      <c r="A210" t="inlineStr">
        <is>
          <t>The Catholic University of America</t>
        </is>
      </c>
      <c r="B210" t="inlineStr">
        <is>
          <t>United States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601–800</t>
        </is>
      </c>
      <c r="O210" t="inlineStr">
        <is>
          <t>37.0–41.8</t>
        </is>
      </c>
      <c r="P210" t="n">
        <v>44.4</v>
      </c>
      <c r="Q210" t="n">
        <v>20</v>
      </c>
      <c r="R210" t="n">
        <v>45.6</v>
      </c>
      <c r="S210" t="n">
        <v>68.7</v>
      </c>
      <c r="T210" t="n">
        <v>51.7</v>
      </c>
      <c r="U210" t="inlineStr">
        <is>
          <t>3,930</t>
        </is>
      </c>
      <c r="V210" t="n">
        <v>11.2</v>
      </c>
      <c r="W210" t="inlineStr">
        <is>
          <t>6%</t>
        </is>
      </c>
      <c r="X210" t="inlineStr">
        <is>
          <t>55 : 45</t>
        </is>
      </c>
      <c r="Y210" t="inlineStr"/>
      <c r="Z210" t="n">
        <v>601</v>
      </c>
      <c r="AA210" t="n">
        <v>39.4</v>
      </c>
      <c r="AB210" t="inlineStr">
        <is>
          <t>U0209</t>
        </is>
      </c>
      <c r="AC210" t="inlineStr">
        <is>
          <t>UN</t>
        </is>
      </c>
      <c r="AD210" t="n">
        <v>39.4</v>
      </c>
      <c r="AE210" t="n">
        <v>45.6</v>
      </c>
      <c r="AF210" t="n">
        <v>11.2</v>
      </c>
      <c r="AG210" t="inlineStr">
        <is>
          <t>1:11.2</t>
        </is>
      </c>
      <c r="AH210" t="inlineStr">
        <is>
          <t>6%</t>
        </is>
      </c>
      <c r="AI210" t="inlineStr"/>
      <c r="AJ210" t="n">
        <v>30.2</v>
      </c>
    </row>
    <row r="211">
      <c r="A211" t="inlineStr">
        <is>
          <t>Catholic University of Brasília</t>
        </is>
      </c>
      <c r="B211" t="inlineStr">
        <is>
          <t>Brazil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1501+</t>
        </is>
      </c>
      <c r="O211" t="inlineStr">
        <is>
          <t>9.7–22.7</t>
        </is>
      </c>
      <c r="P211" t="n">
        <v>15.4</v>
      </c>
      <c r="Q211" t="n">
        <v>10.5</v>
      </c>
      <c r="R211" t="n">
        <v>11.7</v>
      </c>
      <c r="S211" t="n">
        <v>19</v>
      </c>
      <c r="T211" t="n">
        <v>35.7</v>
      </c>
      <c r="U211" t="inlineStr">
        <is>
          <t>10,064</t>
        </is>
      </c>
      <c r="V211" t="n">
        <v>22.6</v>
      </c>
      <c r="W211" t="inlineStr">
        <is>
          <t>0%</t>
        </is>
      </c>
      <c r="X211" t="inlineStr">
        <is>
          <t>53 : 47</t>
        </is>
      </c>
      <c r="Y211" t="inlineStr"/>
      <c r="Z211" t="n">
        <v>1501</v>
      </c>
      <c r="AA211" t="n">
        <v>16.2</v>
      </c>
      <c r="AB211" t="inlineStr">
        <is>
          <t>U0210</t>
        </is>
      </c>
      <c r="AC211" t="inlineStr">
        <is>
          <t>BR</t>
        </is>
      </c>
      <c r="AD211" t="n">
        <v>16.2</v>
      </c>
      <c r="AE211" t="n">
        <v>11.7</v>
      </c>
      <c r="AF211" t="n">
        <v>22.6</v>
      </c>
      <c r="AG211" t="inlineStr">
        <is>
          <t>1:22.6</t>
        </is>
      </c>
      <c r="AH211" t="inlineStr">
        <is>
          <t>0%</t>
        </is>
      </c>
      <c r="AI211" t="inlineStr"/>
      <c r="AJ211" t="n">
        <v>11.07</v>
      </c>
    </row>
    <row r="212">
      <c r="A212" t="inlineStr">
        <is>
          <t xml:space="preserve">The Catholic University of Korea </t>
        </is>
      </c>
      <c r="B212" t="inlineStr">
        <is>
          <t>South Korea</t>
        </is>
      </c>
      <c r="C212" t="inlineStr">
        <is>
          <t>801-850</t>
        </is>
      </c>
      <c r="D212" t="inlineStr"/>
      <c r="E212" t="n">
        <v>4.5</v>
      </c>
      <c r="F212" t="n">
        <v>2.9</v>
      </c>
      <c r="G212" t="n">
        <v>98.59999999999999</v>
      </c>
      <c r="H212" t="n">
        <v>14.1</v>
      </c>
      <c r="I212" t="n">
        <v>3.8</v>
      </c>
      <c r="J212" t="n">
        <v>22.5</v>
      </c>
      <c r="K212" t="n">
        <v>10.5</v>
      </c>
      <c r="L212" t="n">
        <v>1.9</v>
      </c>
      <c r="M212" t="n">
        <v>6.5</v>
      </c>
      <c r="N212" t="inlineStr">
        <is>
          <t>601–800</t>
        </is>
      </c>
      <c r="O212" t="inlineStr">
        <is>
          <t>37.0–41.8</t>
        </is>
      </c>
      <c r="P212" t="n">
        <v>30.7</v>
      </c>
      <c r="Q212" t="n">
        <v>38.7</v>
      </c>
      <c r="R212" t="n">
        <v>42.9</v>
      </c>
      <c r="S212" t="n">
        <v>89.90000000000001</v>
      </c>
      <c r="T212" t="n">
        <v>36.2</v>
      </c>
      <c r="U212" t="inlineStr">
        <is>
          <t>7,389</t>
        </is>
      </c>
      <c r="V212" t="n">
        <v>17.9</v>
      </c>
      <c r="W212" t="inlineStr">
        <is>
          <t>7%</t>
        </is>
      </c>
      <c r="X212" t="inlineStr">
        <is>
          <t>57 : 43</t>
        </is>
      </c>
      <c r="Y212" t="n">
        <v>801</v>
      </c>
      <c r="Z212" t="n">
        <v>601</v>
      </c>
      <c r="AA212" t="n">
        <v>39.4</v>
      </c>
      <c r="AB212" t="inlineStr">
        <is>
          <t>U0211</t>
        </is>
      </c>
      <c r="AC212" t="inlineStr">
        <is>
          <t>SO</t>
        </is>
      </c>
      <c r="AD212" t="n">
        <v>39.4</v>
      </c>
      <c r="AE212" t="n">
        <v>14.1</v>
      </c>
      <c r="AF212" t="n">
        <v>17.9</v>
      </c>
      <c r="AG212" t="inlineStr">
        <is>
          <t>1:17.9</t>
        </is>
      </c>
      <c r="AH212" t="inlineStr">
        <is>
          <t>7%</t>
        </is>
      </c>
      <c r="AI212" t="n">
        <v>4.5</v>
      </c>
      <c r="AJ212" t="n">
        <v>26.7</v>
      </c>
    </row>
    <row r="213">
      <c r="A213" t="inlineStr">
        <is>
          <t>Catholic University of Portugal</t>
        </is>
      </c>
      <c r="B213" t="inlineStr">
        <is>
          <t>Portugal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801–1000</t>
        </is>
      </c>
      <c r="O213" t="inlineStr">
        <is>
          <t>32.7–36.9</t>
        </is>
      </c>
      <c r="P213" t="n">
        <v>19.6</v>
      </c>
      <c r="Q213" t="n">
        <v>18.7</v>
      </c>
      <c r="R213" t="n">
        <v>64.40000000000001</v>
      </c>
      <c r="S213" t="n">
        <v>25.6</v>
      </c>
      <c r="T213" t="n">
        <v>55.7</v>
      </c>
      <c r="U213" t="inlineStr">
        <is>
          <t>11,543</t>
        </is>
      </c>
      <c r="V213" t="n">
        <v>22.2</v>
      </c>
      <c r="W213" t="inlineStr">
        <is>
          <t>17%</t>
        </is>
      </c>
      <c r="X213" t="inlineStr">
        <is>
          <t>62 : 38</t>
        </is>
      </c>
      <c r="Y213" t="inlineStr"/>
      <c r="Z213" t="n">
        <v>801</v>
      </c>
      <c r="AA213" t="n">
        <v>34.8</v>
      </c>
      <c r="AB213" t="inlineStr">
        <is>
          <t>U0212</t>
        </is>
      </c>
      <c r="AC213" t="inlineStr">
        <is>
          <t>PO</t>
        </is>
      </c>
      <c r="AD213" t="n">
        <v>34.8</v>
      </c>
      <c r="AE213" t="n">
        <v>64.40000000000001</v>
      </c>
      <c r="AF213" t="n">
        <v>22.2</v>
      </c>
      <c r="AG213" t="inlineStr">
        <is>
          <t>1:22.2</t>
        </is>
      </c>
      <c r="AH213" t="inlineStr">
        <is>
          <t>17%</t>
        </is>
      </c>
      <c r="AI213" t="inlineStr"/>
      <c r="AJ213" t="n">
        <v>36.18</v>
      </c>
    </row>
    <row r="214">
      <c r="A214" t="inlineStr">
        <is>
          <t>Catholic University of the North</t>
        </is>
      </c>
      <c r="B214" t="inlineStr">
        <is>
          <t>Chile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1501+</t>
        </is>
      </c>
      <c r="O214" t="inlineStr">
        <is>
          <t>9.7–22.7</t>
        </is>
      </c>
      <c r="P214" t="n">
        <v>14.2</v>
      </c>
      <c r="Q214" t="n">
        <v>15.2</v>
      </c>
      <c r="R214" t="n">
        <v>29</v>
      </c>
      <c r="S214" t="n">
        <v>18.2</v>
      </c>
      <c r="T214" t="n">
        <v>58</v>
      </c>
      <c r="U214" t="inlineStr">
        <is>
          <t>11,528</t>
        </is>
      </c>
      <c r="V214" t="n">
        <v>20.3</v>
      </c>
      <c r="W214" t="inlineStr">
        <is>
          <t>3%</t>
        </is>
      </c>
      <c r="X214" t="inlineStr">
        <is>
          <t>46 : 54</t>
        </is>
      </c>
      <c r="Y214" t="inlineStr"/>
      <c r="Z214" t="n">
        <v>1501</v>
      </c>
      <c r="AA214" t="n">
        <v>16.2</v>
      </c>
      <c r="AB214" t="inlineStr">
        <is>
          <t>U0213</t>
        </is>
      </c>
      <c r="AC214" t="inlineStr">
        <is>
          <t>CH</t>
        </is>
      </c>
      <c r="AD214" t="n">
        <v>16.2</v>
      </c>
      <c r="AE214" t="n">
        <v>29</v>
      </c>
      <c r="AF214" t="n">
        <v>20.3</v>
      </c>
      <c r="AG214" t="inlineStr">
        <is>
          <t>1:20.3</t>
        </is>
      </c>
      <c r="AH214" t="inlineStr">
        <is>
          <t>3%</t>
        </is>
      </c>
      <c r="AI214" t="inlineStr"/>
      <c r="AJ214" t="n">
        <v>24.17</v>
      </c>
    </row>
    <row r="215">
      <c r="A215" t="inlineStr">
        <is>
          <t>Catholic University of the Sacred Heart</t>
        </is>
      </c>
      <c r="B215" t="inlineStr">
        <is>
          <t>Italy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301–350</t>
        </is>
      </c>
      <c r="O215" t="inlineStr">
        <is>
          <t>51.1–53.0</t>
        </is>
      </c>
      <c r="P215" t="n">
        <v>35.2</v>
      </c>
      <c r="Q215" t="n">
        <v>30</v>
      </c>
      <c r="R215" t="n">
        <v>89.40000000000001</v>
      </c>
      <c r="S215" t="n">
        <v>74.5</v>
      </c>
      <c r="T215" t="n">
        <v>52.3</v>
      </c>
      <c r="U215" t="inlineStr">
        <is>
          <t>28,830</t>
        </is>
      </c>
      <c r="V215" t="n">
        <v>39.1</v>
      </c>
      <c r="W215" t="inlineStr">
        <is>
          <t>7%</t>
        </is>
      </c>
      <c r="X215" t="inlineStr">
        <is>
          <t>71 : 29</t>
        </is>
      </c>
      <c r="Y215" t="inlineStr"/>
      <c r="Z215" t="n">
        <v>301</v>
      </c>
      <c r="AA215" t="n">
        <v>52.05</v>
      </c>
      <c r="AB215" t="inlineStr">
        <is>
          <t>U0214</t>
        </is>
      </c>
      <c r="AC215" t="inlineStr">
        <is>
          <t>IT</t>
        </is>
      </c>
      <c r="AD215" t="n">
        <v>52.05</v>
      </c>
      <c r="AE215" t="n">
        <v>89.40000000000001</v>
      </c>
      <c r="AF215" t="n">
        <v>39.1</v>
      </c>
      <c r="AG215" t="inlineStr">
        <is>
          <t>1:39.1</t>
        </is>
      </c>
      <c r="AH215" t="inlineStr">
        <is>
          <t>7%</t>
        </is>
      </c>
      <c r="AI215" t="inlineStr"/>
      <c r="AJ215" t="n">
        <v>48.85</v>
      </c>
    </row>
    <row r="216">
      <c r="A216" t="inlineStr">
        <is>
          <t>Ceará State University</t>
        </is>
      </c>
      <c r="B216" t="inlineStr">
        <is>
          <t>Brazil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1501+</t>
        </is>
      </c>
      <c r="O216" t="inlineStr">
        <is>
          <t>9.7–22.7</t>
        </is>
      </c>
      <c r="P216" t="n">
        <v>21.1</v>
      </c>
      <c r="Q216" t="n">
        <v>11.4</v>
      </c>
      <c r="R216" t="n">
        <v>8.9</v>
      </c>
      <c r="S216" t="n">
        <v>17.9</v>
      </c>
      <c r="T216" t="n">
        <v>20.2</v>
      </c>
      <c r="U216" t="inlineStr">
        <is>
          <t>16,305</t>
        </is>
      </c>
      <c r="V216" t="n">
        <v>14.7</v>
      </c>
      <c r="W216" t="inlineStr">
        <is>
          <t>0%</t>
        </is>
      </c>
      <c r="X216" t="inlineStr">
        <is>
          <t>54 : 46</t>
        </is>
      </c>
      <c r="Y216" t="inlineStr"/>
      <c r="Z216" t="n">
        <v>1501</v>
      </c>
      <c r="AA216" t="n">
        <v>16.2</v>
      </c>
      <c r="AB216" t="inlineStr">
        <is>
          <t>U0215</t>
        </is>
      </c>
      <c r="AC216" t="inlineStr">
        <is>
          <t>BR</t>
        </is>
      </c>
      <c r="AD216" t="n">
        <v>16.2</v>
      </c>
      <c r="AE216" t="n">
        <v>8.9</v>
      </c>
      <c r="AF216" t="n">
        <v>14.7</v>
      </c>
      <c r="AG216" t="inlineStr">
        <is>
          <t>1:14.7</t>
        </is>
      </c>
      <c r="AH216" t="inlineStr">
        <is>
          <t>0%</t>
        </is>
      </c>
      <c r="AI216" t="inlineStr"/>
      <c r="AJ216" t="n">
        <v>6.95</v>
      </c>
    </row>
    <row r="217">
      <c r="A217" t="inlineStr">
        <is>
          <t>Central Michigan University</t>
        </is>
      </c>
      <c r="B217" t="inlineStr">
        <is>
          <t>United States</t>
        </is>
      </c>
      <c r="C217" t="inlineStr">
        <is>
          <t>1201-1400</t>
        </is>
      </c>
      <c r="D217" t="inlineStr"/>
      <c r="E217" t="n">
        <v>3.6</v>
      </c>
      <c r="F217" t="n">
        <v>3.4</v>
      </c>
      <c r="G217" t="n">
        <v>8.199999999999999</v>
      </c>
      <c r="H217" t="n">
        <v>6.5</v>
      </c>
      <c r="I217" t="n">
        <v>2.4</v>
      </c>
      <c r="J217" t="n">
        <v>6.9</v>
      </c>
      <c r="K217" t="n">
        <v>23.4</v>
      </c>
      <c r="L217" t="n">
        <v>7.7</v>
      </c>
      <c r="M217" t="n">
        <v>1.2</v>
      </c>
      <c r="N217" t="inlineStr">
        <is>
          <t>1001–1200</t>
        </is>
      </c>
      <c r="O217" t="inlineStr">
        <is>
          <t>28.3–32.6</t>
        </is>
      </c>
      <c r="P217" t="n">
        <v>28.8</v>
      </c>
      <c r="Q217" t="n">
        <v>15.3</v>
      </c>
      <c r="R217" t="n">
        <v>46.8</v>
      </c>
      <c r="S217" t="n">
        <v>44.9</v>
      </c>
      <c r="T217" t="n">
        <v>33.4</v>
      </c>
      <c r="U217" t="inlineStr">
        <is>
          <t>13,780</t>
        </is>
      </c>
      <c r="V217" t="n">
        <v>18.3</v>
      </c>
      <c r="W217" t="inlineStr">
        <is>
          <t>3%</t>
        </is>
      </c>
      <c r="X217" t="inlineStr">
        <is>
          <t>60 : 40</t>
        </is>
      </c>
      <c r="Y217" t="n">
        <v>1201</v>
      </c>
      <c r="Z217" t="n">
        <v>1001</v>
      </c>
      <c r="AA217" t="n">
        <v>30.45</v>
      </c>
      <c r="AB217" t="inlineStr">
        <is>
          <t>U0216</t>
        </is>
      </c>
      <c r="AC217" t="inlineStr">
        <is>
          <t>UN</t>
        </is>
      </c>
      <c r="AD217" t="n">
        <v>30.45</v>
      </c>
      <c r="AE217" t="n">
        <v>6.5</v>
      </c>
      <c r="AF217" t="n">
        <v>18.3</v>
      </c>
      <c r="AG217" t="inlineStr">
        <is>
          <t>1:18.3</t>
        </is>
      </c>
      <c r="AH217" t="inlineStr">
        <is>
          <t>3%</t>
        </is>
      </c>
      <c r="AI217" t="n">
        <v>3.6</v>
      </c>
      <c r="AJ217" t="n">
        <v>11.46</v>
      </c>
    </row>
    <row r="218">
      <c r="A218" t="inlineStr">
        <is>
          <t>Central Queensland University (CQUniversity Australia)</t>
        </is>
      </c>
      <c r="B218" t="inlineStr">
        <is>
          <t>Australia</t>
        </is>
      </c>
      <c r="C218" t="inlineStr">
        <is>
          <t>495</t>
        </is>
      </c>
      <c r="D218" t="n">
        <v>24.4</v>
      </c>
      <c r="E218" t="n">
        <v>9</v>
      </c>
      <c r="F218" t="n">
        <v>6.7</v>
      </c>
      <c r="G218" t="n">
        <v>29.4</v>
      </c>
      <c r="H218" t="n">
        <v>20.9</v>
      </c>
      <c r="I218" t="n">
        <v>97.09999999999999</v>
      </c>
      <c r="J218" t="n">
        <v>97.8</v>
      </c>
      <c r="K218" t="n">
        <v>44</v>
      </c>
      <c r="L218" t="n">
        <v>3.1</v>
      </c>
      <c r="M218" t="n">
        <v>49.8</v>
      </c>
      <c r="N218" t="inlineStr">
        <is>
          <t>501–600</t>
        </is>
      </c>
      <c r="O218" t="inlineStr">
        <is>
          <t>41.9–45.3</t>
        </is>
      </c>
      <c r="P218" t="n">
        <v>19.7</v>
      </c>
      <c r="Q218" t="n">
        <v>26.7</v>
      </c>
      <c r="R218" t="n">
        <v>76</v>
      </c>
      <c r="S218" t="n">
        <v>39.5</v>
      </c>
      <c r="T218" t="n">
        <v>65.3</v>
      </c>
      <c r="U218" t="inlineStr">
        <is>
          <t>12,874</t>
        </is>
      </c>
      <c r="V218" t="n">
        <v>25.6</v>
      </c>
      <c r="W218" t="inlineStr">
        <is>
          <t>11%</t>
        </is>
      </c>
      <c r="X218" t="inlineStr">
        <is>
          <t>65 : 35</t>
        </is>
      </c>
      <c r="Y218" t="n">
        <v>495</v>
      </c>
      <c r="Z218" t="n">
        <v>501</v>
      </c>
      <c r="AA218" t="n">
        <v>43.59999999999999</v>
      </c>
      <c r="AB218" t="inlineStr">
        <is>
          <t>U0217</t>
        </is>
      </c>
      <c r="AC218" t="inlineStr">
        <is>
          <t>AU</t>
        </is>
      </c>
      <c r="AD218" t="n">
        <v>24.4</v>
      </c>
      <c r="AE218" t="n">
        <v>20.9</v>
      </c>
      <c r="AF218" t="n">
        <v>25.6</v>
      </c>
      <c r="AG218" t="inlineStr">
        <is>
          <t>1:25.6</t>
        </is>
      </c>
      <c r="AH218" t="inlineStr">
        <is>
          <t>11%</t>
        </is>
      </c>
      <c r="AI218" t="n">
        <v>9</v>
      </c>
      <c r="AJ218" t="n">
        <v>29.51</v>
      </c>
    </row>
    <row r="219">
      <c r="A219" t="inlineStr">
        <is>
          <t>Central South University</t>
        </is>
      </c>
      <c r="B219" t="inlineStr">
        <is>
          <t>China</t>
        </is>
      </c>
      <c r="C219" t="inlineStr">
        <is>
          <t>431</t>
        </is>
      </c>
      <c r="D219" t="n">
        <v>27.6</v>
      </c>
      <c r="E219" t="n">
        <v>8.6</v>
      </c>
      <c r="F219" t="n">
        <v>4.1</v>
      </c>
      <c r="G219" t="n">
        <v>5.5</v>
      </c>
      <c r="H219" t="n">
        <v>99.7</v>
      </c>
      <c r="I219" t="n">
        <v>6.4</v>
      </c>
      <c r="J219" t="n">
        <v>4</v>
      </c>
      <c r="K219" t="n">
        <v>67.5</v>
      </c>
      <c r="L219" t="n">
        <v>14.1</v>
      </c>
      <c r="M219" t="n">
        <v>3.9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431</v>
      </c>
      <c r="Z219" t="inlineStr"/>
      <c r="AA219" t="inlineStr"/>
      <c r="AB219" t="inlineStr">
        <is>
          <t>U0218</t>
        </is>
      </c>
      <c r="AC219" t="inlineStr">
        <is>
          <t>CH</t>
        </is>
      </c>
      <c r="AD219" t="n">
        <v>27.6</v>
      </c>
      <c r="AE219" t="n">
        <v>99.7</v>
      </c>
      <c r="AF219" t="inlineStr"/>
      <c r="AG219" t="inlineStr"/>
      <c r="AH219" t="inlineStr"/>
      <c r="AI219" t="n">
        <v>8.6</v>
      </c>
      <c r="AJ219" t="n">
        <v>43.6</v>
      </c>
    </row>
    <row r="220">
      <c r="A220" t="inlineStr">
        <is>
          <t>Centrale Nantes</t>
        </is>
      </c>
      <c r="B220" t="inlineStr">
        <is>
          <t>France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401–500</t>
        </is>
      </c>
      <c r="O220" t="inlineStr">
        <is>
          <t>45.4–49.0</t>
        </is>
      </c>
      <c r="P220" t="n">
        <v>40.7</v>
      </c>
      <c r="Q220" t="n">
        <v>33.4</v>
      </c>
      <c r="R220" t="n">
        <v>50.6</v>
      </c>
      <c r="S220" t="n">
        <v>81.09999999999999</v>
      </c>
      <c r="T220" t="n">
        <v>87.8</v>
      </c>
      <c r="U220" t="inlineStr">
        <is>
          <t>1,678</t>
        </is>
      </c>
      <c r="V220" t="n">
        <v>14.8</v>
      </c>
      <c r="W220" t="inlineStr">
        <is>
          <t>39%</t>
        </is>
      </c>
      <c r="X220" t="inlineStr">
        <is>
          <t>25 : 75</t>
        </is>
      </c>
      <c r="Y220" t="inlineStr"/>
      <c r="Z220" t="n">
        <v>401</v>
      </c>
      <c r="AA220" t="n">
        <v>47.2</v>
      </c>
      <c r="AB220" t="inlineStr">
        <is>
          <t>U0219</t>
        </is>
      </c>
      <c r="AC220" t="inlineStr">
        <is>
          <t>FR</t>
        </is>
      </c>
      <c r="AD220" t="n">
        <v>47.2</v>
      </c>
      <c r="AE220" t="n">
        <v>50.6</v>
      </c>
      <c r="AF220" t="n">
        <v>14.8</v>
      </c>
      <c r="AG220" t="inlineStr">
        <is>
          <t>1:14.8</t>
        </is>
      </c>
      <c r="AH220" t="inlineStr">
        <is>
          <t>39%</t>
        </is>
      </c>
      <c r="AI220" t="inlineStr"/>
      <c r="AJ220" t="n">
        <v>47.46</v>
      </c>
    </row>
    <row r="221">
      <c r="A221" t="inlineStr">
        <is>
          <t>Centro Federal de Educação Tecnológica Celso Suckow da Fonseca (CEFET-RJ)</t>
        </is>
      </c>
      <c r="B221" t="inlineStr">
        <is>
          <t>Brazil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1501+</t>
        </is>
      </c>
      <c r="O221" t="inlineStr">
        <is>
          <t>9.7–22.7</t>
        </is>
      </c>
      <c r="P221" t="n">
        <v>12.4</v>
      </c>
      <c r="Q221" t="n">
        <v>9.699999999999999</v>
      </c>
      <c r="R221" t="n">
        <v>18.2</v>
      </c>
      <c r="S221" t="n">
        <v>16.7</v>
      </c>
      <c r="T221" t="n">
        <v>30.6</v>
      </c>
      <c r="U221" t="inlineStr">
        <is>
          <t>18,816</t>
        </is>
      </c>
      <c r="V221" t="n">
        <v>21</v>
      </c>
      <c r="W221" t="inlineStr">
        <is>
          <t>0%</t>
        </is>
      </c>
      <c r="X221" t="inlineStr">
        <is>
          <t>38 : 62</t>
        </is>
      </c>
      <c r="Y221" t="inlineStr"/>
      <c r="Z221" t="n">
        <v>1501</v>
      </c>
      <c r="AA221" t="n">
        <v>16.2</v>
      </c>
      <c r="AB221" t="inlineStr">
        <is>
          <t>U0220</t>
        </is>
      </c>
      <c r="AC221" t="inlineStr">
        <is>
          <t>BR</t>
        </is>
      </c>
      <c r="AD221" t="n">
        <v>16.2</v>
      </c>
      <c r="AE221" t="n">
        <v>18.2</v>
      </c>
      <c r="AF221" t="n">
        <v>21</v>
      </c>
      <c r="AG221" t="inlineStr">
        <is>
          <t>1:21.0</t>
        </is>
      </c>
      <c r="AH221" t="inlineStr">
        <is>
          <t>0%</t>
        </is>
      </c>
      <c r="AI221" t="inlineStr"/>
      <c r="AJ221" t="n">
        <v>11.39</v>
      </c>
    </row>
    <row r="222">
      <c r="A222" t="inlineStr">
        <is>
          <t>CES University</t>
        </is>
      </c>
      <c r="B222" t="inlineStr">
        <is>
          <t>Colombia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1501+</t>
        </is>
      </c>
      <c r="O222" t="inlineStr">
        <is>
          <t>9.7–22.7</t>
        </is>
      </c>
      <c r="P222" t="n">
        <v>19.2</v>
      </c>
      <c r="Q222" t="n">
        <v>9.1</v>
      </c>
      <c r="R222" t="n">
        <v>5.8</v>
      </c>
      <c r="S222" t="n">
        <v>16.4</v>
      </c>
      <c r="T222" t="n">
        <v>37.1</v>
      </c>
      <c r="U222" t="inlineStr">
        <is>
          <t>6,612</t>
        </is>
      </c>
      <c r="V222" t="n">
        <v>13.6</v>
      </c>
      <c r="W222" t="inlineStr">
        <is>
          <t>3%</t>
        </is>
      </c>
      <c r="X222" t="inlineStr">
        <is>
          <t>69 : 31</t>
        </is>
      </c>
      <c r="Y222" t="inlineStr"/>
      <c r="Z222" t="n">
        <v>1501</v>
      </c>
      <c r="AA222" t="n">
        <v>16.2</v>
      </c>
      <c r="AB222" t="inlineStr">
        <is>
          <t>U0221</t>
        </is>
      </c>
      <c r="AC222" t="inlineStr">
        <is>
          <t>CO</t>
        </is>
      </c>
      <c r="AD222" t="n">
        <v>16.2</v>
      </c>
      <c r="AE222" t="n">
        <v>5.8</v>
      </c>
      <c r="AF222" t="n">
        <v>13.6</v>
      </c>
      <c r="AG222" t="inlineStr">
        <is>
          <t>1:13.6</t>
        </is>
      </c>
      <c r="AH222" t="inlineStr">
        <is>
          <t>3%</t>
        </is>
      </c>
      <c r="AI222" t="inlineStr"/>
      <c r="AJ222" t="n">
        <v>8.890000000000001</v>
      </c>
    </row>
    <row r="223">
      <c r="A223" t="inlineStr">
        <is>
          <t>Chalmers University of Technology</t>
        </is>
      </c>
      <c r="B223" t="inlineStr">
        <is>
          <t>Sweden</t>
        </is>
      </c>
      <c r="C223" t="inlineStr">
        <is>
          <t>139</t>
        </is>
      </c>
      <c r="D223" t="n">
        <v>53.7</v>
      </c>
      <c r="E223" t="n">
        <v>26.3</v>
      </c>
      <c r="F223" t="n">
        <v>50.4</v>
      </c>
      <c r="G223" t="n">
        <v>50.5</v>
      </c>
      <c r="H223" t="n">
        <v>77.40000000000001</v>
      </c>
      <c r="I223" t="n">
        <v>100</v>
      </c>
      <c r="J223" t="n">
        <v>63.1</v>
      </c>
      <c r="K223" t="n">
        <v>77</v>
      </c>
      <c r="L223" t="n">
        <v>31.7</v>
      </c>
      <c r="M223" t="n">
        <v>87</v>
      </c>
      <c r="N223" t="inlineStr">
        <is>
          <t>189</t>
        </is>
      </c>
      <c r="O223" t="inlineStr">
        <is>
          <t>59.4</t>
        </is>
      </c>
      <c r="P223" t="n">
        <v>42.7</v>
      </c>
      <c r="Q223" t="n">
        <v>46.6</v>
      </c>
      <c r="R223" t="n">
        <v>79.40000000000001</v>
      </c>
      <c r="S223" t="n">
        <v>97.09999999999999</v>
      </c>
      <c r="T223" t="n">
        <v>74.09999999999999</v>
      </c>
      <c r="U223" t="inlineStr">
        <is>
          <t>10,103</t>
        </is>
      </c>
      <c r="V223" t="n">
        <v>15.4</v>
      </c>
      <c r="W223" t="inlineStr">
        <is>
          <t>17%</t>
        </is>
      </c>
      <c r="X223" t="inlineStr">
        <is>
          <t>32 : 68</t>
        </is>
      </c>
      <c r="Y223" t="n">
        <v>139</v>
      </c>
      <c r="Z223" t="n">
        <v>189</v>
      </c>
      <c r="AA223" t="n">
        <v>59.4</v>
      </c>
      <c r="AB223" t="inlineStr">
        <is>
          <t>U0222</t>
        </is>
      </c>
      <c r="AC223" t="inlineStr">
        <is>
          <t>SW</t>
        </is>
      </c>
      <c r="AD223" t="n">
        <v>53.7</v>
      </c>
      <c r="AE223" t="n">
        <v>77.40000000000001</v>
      </c>
      <c r="AF223" t="n">
        <v>15.4</v>
      </c>
      <c r="AG223" t="inlineStr">
        <is>
          <t>1:15.4</t>
        </is>
      </c>
      <c r="AH223" t="inlineStr">
        <is>
          <t>17%</t>
        </is>
      </c>
      <c r="AI223" t="n">
        <v>26.3</v>
      </c>
      <c r="AJ223" t="n">
        <v>59.19</v>
      </c>
    </row>
    <row r="224">
      <c r="A224" t="inlineStr">
        <is>
          <t>Chandigarh University</t>
        </is>
      </c>
      <c r="B224" t="inlineStr">
        <is>
          <t>India</t>
        </is>
      </c>
      <c r="C224" t="inlineStr">
        <is>
          <t>691-700</t>
        </is>
      </c>
      <c r="D224" t="inlineStr"/>
      <c r="E224" t="n">
        <v>14.1</v>
      </c>
      <c r="F224" t="n">
        <v>51.3</v>
      </c>
      <c r="G224" t="n">
        <v>24</v>
      </c>
      <c r="H224" t="n">
        <v>1.4</v>
      </c>
      <c r="I224" t="n">
        <v>37.6</v>
      </c>
      <c r="J224" t="n">
        <v>15.3</v>
      </c>
      <c r="K224" t="n">
        <v>37.4</v>
      </c>
      <c r="L224" t="n">
        <v>1.9</v>
      </c>
      <c r="M224" t="n">
        <v>1.6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691</v>
      </c>
      <c r="Z224" t="inlineStr"/>
      <c r="AA224" t="inlineStr"/>
      <c r="AB224" t="inlineStr">
        <is>
          <t>U0223</t>
        </is>
      </c>
      <c r="AC224" t="inlineStr">
        <is>
          <t>IN</t>
        </is>
      </c>
      <c r="AD224" t="inlineStr"/>
      <c r="AE224" t="n">
        <v>1.4</v>
      </c>
      <c r="AF224" t="inlineStr"/>
      <c r="AG224" t="inlineStr"/>
      <c r="AH224" t="inlineStr"/>
      <c r="AI224" t="n">
        <v>14.1</v>
      </c>
      <c r="AJ224" t="n">
        <v>13.81</v>
      </c>
    </row>
    <row r="225">
      <c r="A225" t="inlineStr">
        <is>
          <t>Chang Gung University</t>
        </is>
      </c>
      <c r="B225" t="inlineStr">
        <is>
          <t>Taiwan</t>
        </is>
      </c>
      <c r="C225" t="inlineStr">
        <is>
          <t>631-640</t>
        </is>
      </c>
      <c r="D225" t="inlineStr"/>
      <c r="E225" t="n">
        <v>6.3</v>
      </c>
      <c r="F225" t="n">
        <v>4.3</v>
      </c>
      <c r="G225" t="n">
        <v>71.59999999999999</v>
      </c>
      <c r="H225" t="n">
        <v>41.9</v>
      </c>
      <c r="I225" t="n">
        <v>5.1</v>
      </c>
      <c r="J225" t="n">
        <v>4.5</v>
      </c>
      <c r="K225" t="n">
        <v>27.7</v>
      </c>
      <c r="L225" t="n">
        <v>2</v>
      </c>
      <c r="M225" t="n">
        <v>13.2</v>
      </c>
      <c r="N225" t="inlineStr">
        <is>
          <t>601–800</t>
        </is>
      </c>
      <c r="O225" t="inlineStr">
        <is>
          <t>37.0–41.8</t>
        </is>
      </c>
      <c r="P225" t="n">
        <v>26.5</v>
      </c>
      <c r="Q225" t="n">
        <v>34.6</v>
      </c>
      <c r="R225" t="n">
        <v>47.2</v>
      </c>
      <c r="S225" t="n">
        <v>95.5</v>
      </c>
      <c r="T225" t="n">
        <v>28.5</v>
      </c>
      <c r="U225" t="inlineStr">
        <is>
          <t>7,017</t>
        </is>
      </c>
      <c r="V225" t="n">
        <v>12.3</v>
      </c>
      <c r="W225" t="inlineStr">
        <is>
          <t>5%</t>
        </is>
      </c>
      <c r="X225" t="inlineStr">
        <is>
          <t>49 : 51</t>
        </is>
      </c>
      <c r="Y225" t="n">
        <v>631</v>
      </c>
      <c r="Z225" t="n">
        <v>601</v>
      </c>
      <c r="AA225" t="n">
        <v>39.4</v>
      </c>
      <c r="AB225" t="inlineStr">
        <is>
          <t>U0224</t>
        </is>
      </c>
      <c r="AC225" t="inlineStr">
        <is>
          <t>TA</t>
        </is>
      </c>
      <c r="AD225" t="n">
        <v>39.4</v>
      </c>
      <c r="AE225" t="n">
        <v>41.9</v>
      </c>
      <c r="AF225" t="n">
        <v>12.3</v>
      </c>
      <c r="AG225" t="inlineStr">
        <is>
          <t>1:12.3</t>
        </is>
      </c>
      <c r="AH225" t="inlineStr">
        <is>
          <t>5%</t>
        </is>
      </c>
      <c r="AI225" t="n">
        <v>6.3</v>
      </c>
      <c r="AJ225" t="n">
        <v>31.12</v>
      </c>
    </row>
    <row r="226">
      <c r="A226" t="inlineStr">
        <is>
          <t>Chang Gung University of Science and Technology</t>
        </is>
      </c>
      <c r="B226" t="inlineStr">
        <is>
          <t>Taiwan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1201–1500</t>
        </is>
      </c>
      <c r="O226" t="inlineStr">
        <is>
          <t>22.8–28.2</t>
        </is>
      </c>
      <c r="P226" t="n">
        <v>15.1</v>
      </c>
      <c r="Q226" t="n">
        <v>17</v>
      </c>
      <c r="R226" t="n">
        <v>37.2</v>
      </c>
      <c r="S226" t="n">
        <v>34.9</v>
      </c>
      <c r="T226" t="n">
        <v>20.3</v>
      </c>
      <c r="U226" t="inlineStr">
        <is>
          <t>6,397</t>
        </is>
      </c>
      <c r="V226" t="n">
        <v>25.6</v>
      </c>
      <c r="W226" t="inlineStr">
        <is>
          <t>1%</t>
        </is>
      </c>
      <c r="X226" t="inlineStr">
        <is>
          <t>89 : 11</t>
        </is>
      </c>
      <c r="Y226" t="inlineStr"/>
      <c r="Z226" t="n">
        <v>1201</v>
      </c>
      <c r="AA226" t="n">
        <v>25.5</v>
      </c>
      <c r="AB226" t="inlineStr">
        <is>
          <t>U0225</t>
        </is>
      </c>
      <c r="AC226" t="inlineStr">
        <is>
          <t>TA</t>
        </is>
      </c>
      <c r="AD226" t="n">
        <v>25.5</v>
      </c>
      <c r="AE226" t="n">
        <v>37.2</v>
      </c>
      <c r="AF226" t="n">
        <v>25.6</v>
      </c>
      <c r="AG226" t="inlineStr">
        <is>
          <t>1:25.6</t>
        </is>
      </c>
      <c r="AH226" t="inlineStr">
        <is>
          <t>1%</t>
        </is>
      </c>
      <c r="AI226" t="inlineStr"/>
      <c r="AJ226" t="n">
        <v>18.48</v>
      </c>
    </row>
    <row r="227">
      <c r="A227" t="inlineStr">
        <is>
          <t>Chang Jung Christian University</t>
        </is>
      </c>
      <c r="B227" t="inlineStr">
        <is>
          <t>Taiwan</t>
        </is>
      </c>
      <c r="C227" t="inlineStr">
        <is>
          <t>1001-1200</t>
        </is>
      </c>
      <c r="D227" t="inlineStr"/>
      <c r="E227" t="n">
        <v>8.5</v>
      </c>
      <c r="F227" t="n">
        <v>4.6</v>
      </c>
      <c r="G227" t="n">
        <v>48.4</v>
      </c>
      <c r="H227" t="n">
        <v>1.6</v>
      </c>
      <c r="I227" t="n">
        <v>6.1</v>
      </c>
      <c r="J227" t="n">
        <v>4.4</v>
      </c>
      <c r="K227" t="n">
        <v>4.8</v>
      </c>
      <c r="L227" t="n">
        <v>2</v>
      </c>
      <c r="M227" t="n">
        <v>1.1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1001</v>
      </c>
      <c r="Z227" t="inlineStr"/>
      <c r="AA227" t="inlineStr"/>
      <c r="AB227" t="inlineStr">
        <is>
          <t>U0226</t>
        </is>
      </c>
      <c r="AC227" t="inlineStr">
        <is>
          <t>TA</t>
        </is>
      </c>
      <c r="AD227" t="inlineStr"/>
      <c r="AE227" t="n">
        <v>1.6</v>
      </c>
      <c r="AF227" t="inlineStr"/>
      <c r="AG227" t="inlineStr"/>
      <c r="AH227" t="inlineStr"/>
      <c r="AI227" t="n">
        <v>8.5</v>
      </c>
      <c r="AJ227" t="n">
        <v>13.87</v>
      </c>
    </row>
    <row r="228">
      <c r="A228" t="inlineStr">
        <is>
          <t>Changsha University of Science and Technology</t>
        </is>
      </c>
      <c r="B228" t="inlineStr">
        <is>
          <t>China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801–1000</t>
        </is>
      </c>
      <c r="O228" t="inlineStr">
        <is>
          <t>32.7–36.9</t>
        </is>
      </c>
      <c r="P228" t="n">
        <v>16.8</v>
      </c>
      <c r="Q228" t="n">
        <v>13.5</v>
      </c>
      <c r="R228" t="n">
        <v>76.5</v>
      </c>
      <c r="S228" t="n">
        <v>41.6</v>
      </c>
      <c r="T228" t="n">
        <v>27.9</v>
      </c>
      <c r="U228" t="inlineStr">
        <is>
          <t>35,014</t>
        </is>
      </c>
      <c r="V228" t="n">
        <v>16</v>
      </c>
      <c r="W228" t="inlineStr">
        <is>
          <t>1%</t>
        </is>
      </c>
      <c r="X228" t="inlineStr">
        <is>
          <t>36 : 64</t>
        </is>
      </c>
      <c r="Y228" t="inlineStr"/>
      <c r="Z228" t="n">
        <v>801</v>
      </c>
      <c r="AA228" t="n">
        <v>34.8</v>
      </c>
      <c r="AB228" t="inlineStr">
        <is>
          <t>U0227</t>
        </is>
      </c>
      <c r="AC228" t="inlineStr">
        <is>
          <t>CH</t>
        </is>
      </c>
      <c r="AD228" t="n">
        <v>34.8</v>
      </c>
      <c r="AE228" t="n">
        <v>76.5</v>
      </c>
      <c r="AF228" t="n">
        <v>16</v>
      </c>
      <c r="AG228" t="inlineStr">
        <is>
          <t>1:16.0</t>
        </is>
      </c>
      <c r="AH228" t="inlineStr">
        <is>
          <t>1%</t>
        </is>
      </c>
      <c r="AI228" t="inlineStr"/>
      <c r="AJ228" t="n">
        <v>30.4</v>
      </c>
    </row>
    <row r="229">
      <c r="A229" t="inlineStr">
        <is>
          <t>Chaoyang University of Technology</t>
        </is>
      </c>
      <c r="B229" t="inlineStr">
        <is>
          <t>Taiwan</t>
        </is>
      </c>
      <c r="C229" t="inlineStr">
        <is>
          <t>1201-1400</t>
        </is>
      </c>
      <c r="D229" t="inlineStr"/>
      <c r="E229" t="n">
        <v>5.5</v>
      </c>
      <c r="F229" t="n">
        <v>5.8</v>
      </c>
      <c r="G229" t="n">
        <v>4.3</v>
      </c>
      <c r="H229" t="n">
        <v>3.9</v>
      </c>
      <c r="I229" t="n">
        <v>5.6</v>
      </c>
      <c r="J229" t="n">
        <v>5.9</v>
      </c>
      <c r="K229" t="n">
        <v>26.5</v>
      </c>
      <c r="L229" t="n">
        <v>2</v>
      </c>
      <c r="M229" t="n">
        <v>4.3</v>
      </c>
      <c r="N229" t="inlineStr">
        <is>
          <t>1501+</t>
        </is>
      </c>
      <c r="O229" t="inlineStr">
        <is>
          <t>9.7–22.7</t>
        </is>
      </c>
      <c r="P229" t="n">
        <v>14.1</v>
      </c>
      <c r="Q229" t="n">
        <v>18.2</v>
      </c>
      <c r="R229" t="n">
        <v>28.2</v>
      </c>
      <c r="S229" t="n">
        <v>47</v>
      </c>
      <c r="T229" t="n">
        <v>38.9</v>
      </c>
      <c r="U229" t="inlineStr">
        <is>
          <t>14,432</t>
        </is>
      </c>
      <c r="V229" t="n">
        <v>37.5</v>
      </c>
      <c r="W229" t="inlineStr">
        <is>
          <t>5%</t>
        </is>
      </c>
      <c r="X229" t="inlineStr">
        <is>
          <t>55 : 45</t>
        </is>
      </c>
      <c r="Y229" t="n">
        <v>1201</v>
      </c>
      <c r="Z229" t="n">
        <v>1501</v>
      </c>
      <c r="AA229" t="n">
        <v>16.2</v>
      </c>
      <c r="AB229" t="inlineStr">
        <is>
          <t>U0228</t>
        </is>
      </c>
      <c r="AC229" t="inlineStr">
        <is>
          <t>TA</t>
        </is>
      </c>
      <c r="AD229" t="n">
        <v>16.2</v>
      </c>
      <c r="AE229" t="n">
        <v>3.9</v>
      </c>
      <c r="AF229" t="n">
        <v>37.5</v>
      </c>
      <c r="AG229" t="inlineStr">
        <is>
          <t>1:37.5</t>
        </is>
      </c>
      <c r="AH229" t="inlineStr">
        <is>
          <t>5%</t>
        </is>
      </c>
      <c r="AI229" t="n">
        <v>5.5</v>
      </c>
      <c r="AJ229" t="n">
        <v>13.52</v>
      </c>
    </row>
    <row r="230">
      <c r="A230" t="inlineStr">
        <is>
          <t>Chapman University</t>
        </is>
      </c>
      <c r="B230" t="inlineStr">
        <is>
          <t>United States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801–1000</t>
        </is>
      </c>
      <c r="O230" t="inlineStr">
        <is>
          <t>32.7–36.9</t>
        </is>
      </c>
      <c r="P230" t="n">
        <v>36.9</v>
      </c>
      <c r="Q230" t="n">
        <v>14.7</v>
      </c>
      <c r="R230" t="n">
        <v>48.1</v>
      </c>
      <c r="S230" t="n">
        <v>59.2</v>
      </c>
      <c r="T230" t="n">
        <v>46.8</v>
      </c>
      <c r="U230" t="inlineStr">
        <is>
          <t>9,231</t>
        </is>
      </c>
      <c r="V230" t="n">
        <v>12</v>
      </c>
      <c r="W230" t="inlineStr">
        <is>
          <t>7%</t>
        </is>
      </c>
      <c r="X230" t="inlineStr">
        <is>
          <t>61 : 39</t>
        </is>
      </c>
      <c r="Y230" t="inlineStr"/>
      <c r="Z230" t="n">
        <v>801</v>
      </c>
      <c r="AA230" t="n">
        <v>34.8</v>
      </c>
      <c r="AB230" t="inlineStr">
        <is>
          <t>U0229</t>
        </is>
      </c>
      <c r="AC230" t="inlineStr">
        <is>
          <t>UN</t>
        </is>
      </c>
      <c r="AD230" t="n">
        <v>34.8</v>
      </c>
      <c r="AE230" t="n">
        <v>48.1</v>
      </c>
      <c r="AF230" t="n">
        <v>12</v>
      </c>
      <c r="AG230" t="inlineStr">
        <is>
          <t>1:12.0</t>
        </is>
      </c>
      <c r="AH230" t="inlineStr">
        <is>
          <t>7%</t>
        </is>
      </c>
      <c r="AI230" t="inlineStr"/>
      <c r="AJ230" t="n">
        <v>26.99</v>
      </c>
    </row>
    <row r="231">
      <c r="A231" t="inlineStr">
        <is>
          <t>Charité - Universitätsmedizin Berlin</t>
        </is>
      </c>
      <c r="B231" t="inlineStr">
        <is>
          <t>Germany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94</t>
        </is>
      </c>
      <c r="O231" t="inlineStr">
        <is>
          <t>67.2</t>
        </is>
      </c>
      <c r="P231" t="n">
        <v>47.5</v>
      </c>
      <c r="Q231" t="n">
        <v>49.1</v>
      </c>
      <c r="R231" t="n">
        <v>97.7</v>
      </c>
      <c r="S231" t="n">
        <v>100</v>
      </c>
      <c r="T231" t="n">
        <v>75.2</v>
      </c>
      <c r="U231" t="inlineStr">
        <is>
          <t>8,868</t>
        </is>
      </c>
      <c r="V231" t="n">
        <v>17.5</v>
      </c>
      <c r="W231" t="inlineStr">
        <is>
          <t>21%</t>
        </is>
      </c>
      <c r="X231" t="inlineStr">
        <is>
          <t>65 : 35</t>
        </is>
      </c>
      <c r="Y231" t="inlineStr"/>
      <c r="Z231" t="n">
        <v>94</v>
      </c>
      <c r="AA231" t="n">
        <v>67.2</v>
      </c>
      <c r="AB231" t="inlineStr">
        <is>
          <t>U0230</t>
        </is>
      </c>
      <c r="AC231" t="inlineStr">
        <is>
          <t>GE</t>
        </is>
      </c>
      <c r="AD231" t="n">
        <v>67.2</v>
      </c>
      <c r="AE231" t="n">
        <v>97.7</v>
      </c>
      <c r="AF231" t="n">
        <v>17.5</v>
      </c>
      <c r="AG231" t="inlineStr">
        <is>
          <t>1:17.5</t>
        </is>
      </c>
      <c r="AH231" t="inlineStr">
        <is>
          <t>21%</t>
        </is>
      </c>
      <c r="AI231" t="inlineStr"/>
      <c r="AJ231" t="n">
        <v>66.92</v>
      </c>
    </row>
    <row r="232">
      <c r="A232" t="inlineStr">
        <is>
          <t xml:space="preserve">Charles Darwin University </t>
        </is>
      </c>
      <c r="B232" t="inlineStr">
        <is>
          <t>Australia</t>
        </is>
      </c>
      <c r="C232" t="inlineStr">
        <is>
          <t>621-630</t>
        </is>
      </c>
      <c r="D232" t="inlineStr"/>
      <c r="E232" t="n">
        <v>5.7</v>
      </c>
      <c r="F232" t="n">
        <v>4.2</v>
      </c>
      <c r="G232" t="n">
        <v>4.5</v>
      </c>
      <c r="H232" t="n">
        <v>44.2</v>
      </c>
      <c r="I232" t="n">
        <v>25.4</v>
      </c>
      <c r="J232" t="n">
        <v>55.2</v>
      </c>
      <c r="K232" t="n">
        <v>41.3</v>
      </c>
      <c r="L232" t="n">
        <v>3.9</v>
      </c>
      <c r="M232" t="n">
        <v>63.7</v>
      </c>
      <c r="N232" t="inlineStr">
        <is>
          <t>401–500</t>
        </is>
      </c>
      <c r="O232" t="inlineStr">
        <is>
          <t>45.4–49.0</t>
        </is>
      </c>
      <c r="P232" t="n">
        <v>24.8</v>
      </c>
      <c r="Q232" t="n">
        <v>32.5</v>
      </c>
      <c r="R232" t="n">
        <v>73.90000000000001</v>
      </c>
      <c r="S232" t="n">
        <v>36.3</v>
      </c>
      <c r="T232" t="n">
        <v>81.59999999999999</v>
      </c>
      <c r="U232" t="inlineStr">
        <is>
          <t>7,313</t>
        </is>
      </c>
      <c r="V232" t="n">
        <v>33.6</v>
      </c>
      <c r="W232" t="inlineStr">
        <is>
          <t>27%</t>
        </is>
      </c>
      <c r="X232" t="inlineStr">
        <is>
          <t>71 : 29</t>
        </is>
      </c>
      <c r="Y232" t="n">
        <v>621</v>
      </c>
      <c r="Z232" t="n">
        <v>401</v>
      </c>
      <c r="AA232" t="n">
        <v>47.2</v>
      </c>
      <c r="AB232" t="inlineStr">
        <is>
          <t>U0231</t>
        </is>
      </c>
      <c r="AC232" t="inlineStr">
        <is>
          <t>AU</t>
        </is>
      </c>
      <c r="AD232" t="n">
        <v>47.2</v>
      </c>
      <c r="AE232" t="n">
        <v>44.2</v>
      </c>
      <c r="AF232" t="n">
        <v>33.6</v>
      </c>
      <c r="AG232" t="inlineStr">
        <is>
          <t>1:33.6</t>
        </is>
      </c>
      <c r="AH232" t="inlineStr">
        <is>
          <t>27%</t>
        </is>
      </c>
      <c r="AI232" t="n">
        <v>5.7</v>
      </c>
      <c r="AJ232" t="n">
        <v>43.55</v>
      </c>
    </row>
    <row r="233">
      <c r="A233" t="inlineStr">
        <is>
          <t xml:space="preserve">Charles Sturt University </t>
        </is>
      </c>
      <c r="B233" t="inlineStr">
        <is>
          <t>Australia</t>
        </is>
      </c>
      <c r="C233" t="inlineStr">
        <is>
          <t>851-900</t>
        </is>
      </c>
      <c r="D233" t="inlineStr"/>
      <c r="E233" t="n">
        <v>5.1</v>
      </c>
      <c r="F233" t="n">
        <v>5.4</v>
      </c>
      <c r="G233" t="n">
        <v>8.199999999999999</v>
      </c>
      <c r="H233" t="n">
        <v>8.1</v>
      </c>
      <c r="I233" t="n">
        <v>45.4</v>
      </c>
      <c r="J233" t="n">
        <v>47.9</v>
      </c>
      <c r="K233" t="n">
        <v>53.4</v>
      </c>
      <c r="L233" t="n">
        <v>7.4</v>
      </c>
      <c r="M233" t="n">
        <v>41.7</v>
      </c>
      <c r="N233" t="inlineStr">
        <is>
          <t>801–1000</t>
        </is>
      </c>
      <c r="O233" t="inlineStr">
        <is>
          <t>32.7–36.9</t>
        </is>
      </c>
      <c r="P233" t="n">
        <v>18.5</v>
      </c>
      <c r="Q233" t="n">
        <v>17.9</v>
      </c>
      <c r="R233" t="n">
        <v>55.1</v>
      </c>
      <c r="S233" t="n">
        <v>58</v>
      </c>
      <c r="T233" t="n">
        <v>66.3</v>
      </c>
      <c r="U233" t="inlineStr">
        <is>
          <t>21,133</t>
        </is>
      </c>
      <c r="V233" t="n">
        <v>24.6</v>
      </c>
      <c r="W233" t="inlineStr">
        <is>
          <t>13%</t>
        </is>
      </c>
      <c r="X233" t="inlineStr">
        <is>
          <t>63 : 37</t>
        </is>
      </c>
      <c r="Y233" t="n">
        <v>851</v>
      </c>
      <c r="Z233" t="n">
        <v>801</v>
      </c>
      <c r="AA233" t="n">
        <v>34.8</v>
      </c>
      <c r="AB233" t="inlineStr">
        <is>
          <t>U0232</t>
        </is>
      </c>
      <c r="AC233" t="inlineStr">
        <is>
          <t>AU</t>
        </is>
      </c>
      <c r="AD233" t="n">
        <v>34.8</v>
      </c>
      <c r="AE233" t="n">
        <v>8.1</v>
      </c>
      <c r="AF233" t="n">
        <v>24.6</v>
      </c>
      <c r="AG233" t="inlineStr">
        <is>
          <t>1:24.6</t>
        </is>
      </c>
      <c r="AH233" t="inlineStr">
        <is>
          <t>13%</t>
        </is>
      </c>
      <c r="AI233" t="n">
        <v>5.1</v>
      </c>
      <c r="AJ233" t="n">
        <v>21.26</v>
      </c>
    </row>
    <row r="234">
      <c r="A234" t="inlineStr">
        <is>
          <t>Charles University</t>
        </is>
      </c>
      <c r="B234" t="inlineStr">
        <is>
          <t>Czech Republic</t>
        </is>
      </c>
      <c r="C234" t="inlineStr">
        <is>
          <t>246</t>
        </is>
      </c>
      <c r="D234" t="n">
        <v>41</v>
      </c>
      <c r="E234" t="n">
        <v>45.6</v>
      </c>
      <c r="F234" t="n">
        <v>49.1</v>
      </c>
      <c r="G234" t="n">
        <v>32.2</v>
      </c>
      <c r="H234" t="n">
        <v>8</v>
      </c>
      <c r="I234" t="n">
        <v>25</v>
      </c>
      <c r="J234" t="n">
        <v>50.5</v>
      </c>
      <c r="K234" t="n">
        <v>96.3</v>
      </c>
      <c r="L234" t="n">
        <v>65.5</v>
      </c>
      <c r="M234" t="n">
        <v>77.40000000000001</v>
      </c>
      <c r="N234" t="inlineStr">
        <is>
          <t>401–500</t>
        </is>
      </c>
      <c r="O234" t="inlineStr">
        <is>
          <t>45.4–49.0</t>
        </is>
      </c>
      <c r="P234" t="n">
        <v>38.8</v>
      </c>
      <c r="Q234" t="n">
        <v>33.1</v>
      </c>
      <c r="R234" t="n">
        <v>61.9</v>
      </c>
      <c r="S234" t="n">
        <v>60.1</v>
      </c>
      <c r="T234" t="n">
        <v>64.7</v>
      </c>
      <c r="U234" t="inlineStr">
        <is>
          <t>51,728</t>
        </is>
      </c>
      <c r="V234" t="n">
        <v>13.4</v>
      </c>
      <c r="W234" t="inlineStr">
        <is>
          <t>23%</t>
        </is>
      </c>
      <c r="X234" t="inlineStr">
        <is>
          <t>62 : 38</t>
        </is>
      </c>
      <c r="Y234" t="n">
        <v>246</v>
      </c>
      <c r="Z234" t="n">
        <v>401</v>
      </c>
      <c r="AA234" t="n">
        <v>47.2</v>
      </c>
      <c r="AB234" t="inlineStr">
        <is>
          <t>U0233</t>
        </is>
      </c>
      <c r="AC234" t="inlineStr">
        <is>
          <t>CZ</t>
        </is>
      </c>
      <c r="AD234" t="n">
        <v>41</v>
      </c>
      <c r="AE234" t="n">
        <v>8</v>
      </c>
      <c r="AF234" t="n">
        <v>13.4</v>
      </c>
      <c r="AG234" t="inlineStr">
        <is>
          <t>1:13.4</t>
        </is>
      </c>
      <c r="AH234" t="inlineStr">
        <is>
          <t>23%</t>
        </is>
      </c>
      <c r="AI234" t="n">
        <v>45.6</v>
      </c>
      <c r="AJ234" t="n">
        <v>28.81</v>
      </c>
    </row>
    <row r="235">
      <c r="A235" t="inlineStr">
        <is>
          <t>Chelyabinsk State University</t>
        </is>
      </c>
      <c r="B235" t="inlineStr">
        <is>
          <t>Russian Federation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1501+</t>
        </is>
      </c>
      <c r="O235" t="inlineStr">
        <is>
          <t>9.7–22.7</t>
        </is>
      </c>
      <c r="P235" t="n">
        <v>12.3</v>
      </c>
      <c r="Q235" t="n">
        <v>10.7</v>
      </c>
      <c r="R235" t="n">
        <v>10.7</v>
      </c>
      <c r="S235" t="n">
        <v>17</v>
      </c>
      <c r="T235" t="n">
        <v>25.9</v>
      </c>
      <c r="U235" t="inlineStr">
        <is>
          <t>11,226</t>
        </is>
      </c>
      <c r="V235" t="n">
        <v>24.3</v>
      </c>
      <c r="W235" t="inlineStr">
        <is>
          <t>2%</t>
        </is>
      </c>
      <c r="X235" t="inlineStr">
        <is>
          <t>62 : 38</t>
        </is>
      </c>
      <c r="Y235" t="inlineStr"/>
      <c r="Z235" t="n">
        <v>1501</v>
      </c>
      <c r="AA235" t="n">
        <v>16.2</v>
      </c>
      <c r="AB235" t="inlineStr">
        <is>
          <t>U0234</t>
        </is>
      </c>
      <c r="AC235" t="inlineStr">
        <is>
          <t>RU</t>
        </is>
      </c>
      <c r="AD235" t="n">
        <v>16.2</v>
      </c>
      <c r="AE235" t="n">
        <v>10.7</v>
      </c>
      <c r="AF235" t="n">
        <v>24.3</v>
      </c>
      <c r="AG235" t="inlineStr">
        <is>
          <t>1:24.3</t>
        </is>
      </c>
      <c r="AH235" t="inlineStr">
        <is>
          <t>2%</t>
        </is>
      </c>
      <c r="AI235" t="inlineStr"/>
      <c r="AJ235" t="n">
        <v>8.51</v>
      </c>
    </row>
    <row r="236">
      <c r="A236" t="inlineStr">
        <is>
          <t>Chengdu University</t>
        </is>
      </c>
      <c r="B236" t="inlineStr">
        <is>
          <t>China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801–1000</t>
        </is>
      </c>
      <c r="O236" t="inlineStr">
        <is>
          <t>32.7–36.9</t>
        </is>
      </c>
      <c r="P236" t="n">
        <v>18.5</v>
      </c>
      <c r="Q236" t="n">
        <v>14.5</v>
      </c>
      <c r="R236" t="n">
        <v>74.09999999999999</v>
      </c>
      <c r="S236" t="n">
        <v>28.5</v>
      </c>
      <c r="T236" t="n">
        <v>28.2</v>
      </c>
      <c r="U236" t="inlineStr">
        <is>
          <t>24,154</t>
        </is>
      </c>
      <c r="V236" t="n">
        <v>16.3</v>
      </c>
      <c r="W236" t="inlineStr">
        <is>
          <t>2%</t>
        </is>
      </c>
      <c r="X236" t="inlineStr">
        <is>
          <t>55 : 45</t>
        </is>
      </c>
      <c r="Y236" t="inlineStr"/>
      <c r="Z236" t="n">
        <v>801</v>
      </c>
      <c r="AA236" t="n">
        <v>34.8</v>
      </c>
      <c r="AB236" t="inlineStr">
        <is>
          <t>U0235</t>
        </is>
      </c>
      <c r="AC236" t="inlineStr">
        <is>
          <t>CH</t>
        </is>
      </c>
      <c r="AD236" t="n">
        <v>34.8</v>
      </c>
      <c r="AE236" t="n">
        <v>74.09999999999999</v>
      </c>
      <c r="AF236" t="n">
        <v>16.3</v>
      </c>
      <c r="AG236" t="inlineStr">
        <is>
          <t>1:16.3</t>
        </is>
      </c>
      <c r="AH236" t="inlineStr">
        <is>
          <t>2%</t>
        </is>
      </c>
      <c r="AI236" t="inlineStr"/>
      <c r="AJ236" t="n">
        <v>30.27</v>
      </c>
    </row>
    <row r="237">
      <c r="A237" t="inlineStr">
        <is>
          <t>Chiang Mai University</t>
        </is>
      </c>
      <c r="B237" t="inlineStr">
        <is>
          <t>Thailand</t>
        </is>
      </c>
      <c r="C237" t="inlineStr">
        <is>
          <t>567</t>
        </is>
      </c>
      <c r="D237" t="n">
        <v>21.9</v>
      </c>
      <c r="E237" t="n">
        <v>34.8</v>
      </c>
      <c r="F237" t="n">
        <v>17.1</v>
      </c>
      <c r="G237" t="n">
        <v>17.3</v>
      </c>
      <c r="H237" t="n">
        <v>4.2</v>
      </c>
      <c r="I237" t="n">
        <v>4.8</v>
      </c>
      <c r="J237" t="n">
        <v>4.2</v>
      </c>
      <c r="K237" t="n">
        <v>62.5</v>
      </c>
      <c r="L237" t="n">
        <v>19.1</v>
      </c>
      <c r="M237" t="n">
        <v>56.1</v>
      </c>
      <c r="N237" t="inlineStr">
        <is>
          <t>801–1000</t>
        </is>
      </c>
      <c r="O237" t="inlineStr">
        <is>
          <t>32.7–36.9</t>
        </is>
      </c>
      <c r="P237" t="n">
        <v>28.5</v>
      </c>
      <c r="Q237" t="n">
        <v>19.1</v>
      </c>
      <c r="R237" t="n">
        <v>46.3</v>
      </c>
      <c r="S237" t="n">
        <v>58.1</v>
      </c>
      <c r="T237" t="n">
        <v>39.5</v>
      </c>
      <c r="U237" t="inlineStr">
        <is>
          <t>33,649</t>
        </is>
      </c>
      <c r="V237" t="n">
        <v>13.6</v>
      </c>
      <c r="W237" t="inlineStr">
        <is>
          <t>4%</t>
        </is>
      </c>
      <c r="X237" t="inlineStr">
        <is>
          <t>61 : 39</t>
        </is>
      </c>
      <c r="Y237" t="n">
        <v>567</v>
      </c>
      <c r="Z237" t="n">
        <v>801</v>
      </c>
      <c r="AA237" t="n">
        <v>34.8</v>
      </c>
      <c r="AB237" t="inlineStr">
        <is>
          <t>U0236</t>
        </is>
      </c>
      <c r="AC237" t="inlineStr">
        <is>
          <t>TH</t>
        </is>
      </c>
      <c r="AD237" t="n">
        <v>21.9</v>
      </c>
      <c r="AE237" t="n">
        <v>4.2</v>
      </c>
      <c r="AF237" t="n">
        <v>13.6</v>
      </c>
      <c r="AG237" t="inlineStr">
        <is>
          <t>1:13.6</t>
        </is>
      </c>
      <c r="AH237" t="inlineStr">
        <is>
          <t>4%</t>
        </is>
      </c>
      <c r="AI237" t="n">
        <v>34.8</v>
      </c>
      <c r="AJ237" t="n">
        <v>14.23</v>
      </c>
    </row>
    <row r="238">
      <c r="A238" t="inlineStr">
        <is>
          <t>Chiba Institute of Technology</t>
        </is>
      </c>
      <c r="B238" t="inlineStr">
        <is>
          <t>Japan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1501+</t>
        </is>
      </c>
      <c r="O238" t="inlineStr">
        <is>
          <t>9.7–22.7</t>
        </is>
      </c>
      <c r="P238" t="n">
        <v>14.8</v>
      </c>
      <c r="Q238" t="n">
        <v>8.800000000000001</v>
      </c>
      <c r="R238" t="n">
        <v>13</v>
      </c>
      <c r="S238" t="n">
        <v>26.1</v>
      </c>
      <c r="T238" t="n">
        <v>20.9</v>
      </c>
      <c r="U238" t="inlineStr">
        <is>
          <t>9,979</t>
        </is>
      </c>
      <c r="V238" t="n">
        <v>24.4</v>
      </c>
      <c r="W238" t="inlineStr">
        <is>
          <t>2%</t>
        </is>
      </c>
      <c r="X238" t="inlineStr">
        <is>
          <t>15 : 85</t>
        </is>
      </c>
      <c r="Y238" t="inlineStr"/>
      <c r="Z238" t="n">
        <v>1501</v>
      </c>
      <c r="AA238" t="n">
        <v>16.2</v>
      </c>
      <c r="AB238" t="inlineStr">
        <is>
          <t>U0237</t>
        </is>
      </c>
      <c r="AC238" t="inlineStr">
        <is>
          <t>JA</t>
        </is>
      </c>
      <c r="AD238" t="n">
        <v>16.2</v>
      </c>
      <c r="AE238" t="n">
        <v>13</v>
      </c>
      <c r="AF238" t="n">
        <v>24.4</v>
      </c>
      <c r="AG238" t="inlineStr">
        <is>
          <t>1:24.4</t>
        </is>
      </c>
      <c r="AH238" t="inlineStr">
        <is>
          <t>2%</t>
        </is>
      </c>
      <c r="AI238" t="inlineStr"/>
      <c r="AJ238" t="n">
        <v>7</v>
      </c>
    </row>
    <row r="239">
      <c r="A239" t="inlineStr">
        <is>
          <t>Chiba University</t>
        </is>
      </c>
      <c r="B239" t="inlineStr">
        <is>
          <t>Japan</t>
        </is>
      </c>
      <c r="C239" t="inlineStr">
        <is>
          <t>771-780</t>
        </is>
      </c>
      <c r="D239" t="inlineStr"/>
      <c r="E239" t="n">
        <v>16.6</v>
      </c>
      <c r="F239" t="n">
        <v>8.5</v>
      </c>
      <c r="G239" t="n">
        <v>66.09999999999999</v>
      </c>
      <c r="H239" t="n">
        <v>8.800000000000001</v>
      </c>
      <c r="I239" t="n">
        <v>7.5</v>
      </c>
      <c r="J239" t="n">
        <v>4.3</v>
      </c>
      <c r="K239" t="n">
        <v>28.9</v>
      </c>
      <c r="L239" t="n">
        <v>3.8</v>
      </c>
      <c r="M239" t="n">
        <v>8.699999999999999</v>
      </c>
      <c r="N239" t="inlineStr">
        <is>
          <t>801–1000</t>
        </is>
      </c>
      <c r="O239" t="inlineStr">
        <is>
          <t>32.7–36.9</t>
        </is>
      </c>
      <c r="P239" t="n">
        <v>33.2</v>
      </c>
      <c r="Q239" t="n">
        <v>20.9</v>
      </c>
      <c r="R239" t="n">
        <v>42</v>
      </c>
      <c r="S239" t="n">
        <v>68.90000000000001</v>
      </c>
      <c r="T239" t="n">
        <v>33.9</v>
      </c>
      <c r="U239" t="inlineStr">
        <is>
          <t>13,832</t>
        </is>
      </c>
      <c r="V239" t="n">
        <v>8.9</v>
      </c>
      <c r="W239" t="inlineStr">
        <is>
          <t>6%</t>
        </is>
      </c>
      <c r="X239" t="inlineStr">
        <is>
          <t>38 : 62</t>
        </is>
      </c>
      <c r="Y239" t="n">
        <v>771</v>
      </c>
      <c r="Z239" t="n">
        <v>801</v>
      </c>
      <c r="AA239" t="n">
        <v>34.8</v>
      </c>
      <c r="AB239" t="inlineStr">
        <is>
          <t>U0238</t>
        </is>
      </c>
      <c r="AC239" t="inlineStr">
        <is>
          <t>JA</t>
        </is>
      </c>
      <c r="AD239" t="n">
        <v>34.8</v>
      </c>
      <c r="AE239" t="n">
        <v>8.800000000000001</v>
      </c>
      <c r="AF239" t="n">
        <v>8.9</v>
      </c>
      <c r="AG239" t="inlineStr">
        <is>
          <t>1:8.9</t>
        </is>
      </c>
      <c r="AH239" t="inlineStr">
        <is>
          <t>6%</t>
        </is>
      </c>
      <c r="AI239" t="n">
        <v>16.6</v>
      </c>
      <c r="AJ239" t="n">
        <v>15.21</v>
      </c>
    </row>
    <row r="240">
      <c r="A240" t="inlineStr">
        <is>
          <t xml:space="preserve">China Agricultural University </t>
        </is>
      </c>
      <c r="B240" t="inlineStr">
        <is>
          <t>China</t>
        </is>
      </c>
      <c r="C240" t="inlineStr">
        <is>
          <t>484</t>
        </is>
      </c>
      <c r="D240" t="n">
        <v>24.9</v>
      </c>
      <c r="E240" t="n">
        <v>8.4</v>
      </c>
      <c r="F240" t="n">
        <v>2.6</v>
      </c>
      <c r="G240" t="n">
        <v>18.9</v>
      </c>
      <c r="H240" t="n">
        <v>88.8</v>
      </c>
      <c r="I240" t="n">
        <v>3.2</v>
      </c>
      <c r="J240" t="n">
        <v>1.5</v>
      </c>
      <c r="K240" t="n">
        <v>52.2</v>
      </c>
      <c r="L240" t="n">
        <v>4.5</v>
      </c>
      <c r="M240" t="n">
        <v>5.8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484</v>
      </c>
      <c r="Z240" t="inlineStr"/>
      <c r="AA240" t="inlineStr"/>
      <c r="AB240" t="inlineStr">
        <is>
          <t>U0239</t>
        </is>
      </c>
      <c r="AC240" t="inlineStr">
        <is>
          <t>CH</t>
        </is>
      </c>
      <c r="AD240" t="n">
        <v>24.9</v>
      </c>
      <c r="AE240" t="n">
        <v>88.8</v>
      </c>
      <c r="AF240" t="inlineStr"/>
      <c r="AG240" t="inlineStr"/>
      <c r="AH240" t="inlineStr"/>
      <c r="AI240" t="n">
        <v>8.4</v>
      </c>
      <c r="AJ240" t="n">
        <v>40.3</v>
      </c>
    </row>
    <row r="241">
      <c r="A241" t="inlineStr">
        <is>
          <t>China Medical University, Taiwan</t>
        </is>
      </c>
      <c r="B241" t="inlineStr">
        <is>
          <t>Taiwan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301–350</t>
        </is>
      </c>
      <c r="O241" t="inlineStr">
        <is>
          <t>51.1–53.0</t>
        </is>
      </c>
      <c r="P241" t="n">
        <v>27.3</v>
      </c>
      <c r="Q241" t="n">
        <v>32.8</v>
      </c>
      <c r="R241" t="n">
        <v>92.40000000000001</v>
      </c>
      <c r="S241" t="n">
        <v>89.90000000000001</v>
      </c>
      <c r="T241" t="n">
        <v>49.7</v>
      </c>
      <c r="U241" t="inlineStr">
        <is>
          <t>7,110</t>
        </is>
      </c>
      <c r="V241" t="n">
        <v>14.7</v>
      </c>
      <c r="W241" t="inlineStr">
        <is>
          <t>7%</t>
        </is>
      </c>
      <c r="X241" t="inlineStr">
        <is>
          <t>57 : 43</t>
        </is>
      </c>
      <c r="Y241" t="inlineStr"/>
      <c r="Z241" t="n">
        <v>301</v>
      </c>
      <c r="AA241" t="n">
        <v>52.05</v>
      </c>
      <c r="AB241" t="inlineStr">
        <is>
          <t>U0240</t>
        </is>
      </c>
      <c r="AC241" t="inlineStr">
        <is>
          <t>TA</t>
        </is>
      </c>
      <c r="AD241" t="n">
        <v>52.05</v>
      </c>
      <c r="AE241" t="n">
        <v>92.40000000000001</v>
      </c>
      <c r="AF241" t="n">
        <v>14.7</v>
      </c>
      <c r="AG241" t="inlineStr">
        <is>
          <t>1:14.7</t>
        </is>
      </c>
      <c r="AH241" t="inlineStr">
        <is>
          <t>7%</t>
        </is>
      </c>
      <c r="AI241" t="inlineStr"/>
      <c r="AJ241" t="n">
        <v>50.6</v>
      </c>
    </row>
    <row r="242">
      <c r="A242" t="inlineStr">
        <is>
          <t>China Pharmaceutical University</t>
        </is>
      </c>
      <c r="B242" t="inlineStr">
        <is>
          <t>China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1001–1200</t>
        </is>
      </c>
      <c r="O242" t="inlineStr">
        <is>
          <t>28.3–32.6</t>
        </is>
      </c>
      <c r="P242" t="n">
        <v>23.4</v>
      </c>
      <c r="Q242" t="n">
        <v>18.3</v>
      </c>
      <c r="R242" t="n">
        <v>52.8</v>
      </c>
      <c r="S242" t="n">
        <v>73.40000000000001</v>
      </c>
      <c r="T242" t="n">
        <v>22.2</v>
      </c>
      <c r="U242" t="inlineStr">
        <is>
          <t>18,448</t>
        </is>
      </c>
      <c r="V242" t="n">
        <v>16.4</v>
      </c>
      <c r="W242" t="inlineStr">
        <is>
          <t>3%</t>
        </is>
      </c>
      <c r="X242" t="inlineStr">
        <is>
          <t>65 : 35</t>
        </is>
      </c>
      <c r="Y242" t="inlineStr"/>
      <c r="Z242" t="n">
        <v>1001</v>
      </c>
      <c r="AA242" t="n">
        <v>30.45</v>
      </c>
      <c r="AB242" t="inlineStr">
        <is>
          <t>U0241</t>
        </is>
      </c>
      <c r="AC242" t="inlineStr">
        <is>
          <t>CH</t>
        </is>
      </c>
      <c r="AD242" t="n">
        <v>30.45</v>
      </c>
      <c r="AE242" t="n">
        <v>52.8</v>
      </c>
      <c r="AF242" t="n">
        <v>16.4</v>
      </c>
      <c r="AG242" t="inlineStr">
        <is>
          <t>1:16.4</t>
        </is>
      </c>
      <c r="AH242" t="inlineStr">
        <is>
          <t>3%</t>
        </is>
      </c>
      <c r="AI242" t="inlineStr"/>
      <c r="AJ242" t="n">
        <v>24.35</v>
      </c>
    </row>
    <row r="243">
      <c r="A243" t="inlineStr">
        <is>
          <t>China University of Geosciences</t>
        </is>
      </c>
      <c r="B243" t="inlineStr">
        <is>
          <t>China</t>
        </is>
      </c>
      <c r="C243" t="inlineStr">
        <is>
          <t>771-780</t>
        </is>
      </c>
      <c r="D243" t="inlineStr"/>
      <c r="E243" t="n">
        <v>5.1</v>
      </c>
      <c r="F243" t="n">
        <v>1.4</v>
      </c>
      <c r="G243" t="n">
        <v>53.6</v>
      </c>
      <c r="H243" t="n">
        <v>31.8</v>
      </c>
      <c r="I243" t="n">
        <v>1.5</v>
      </c>
      <c r="J243" t="n">
        <v>2.7</v>
      </c>
      <c r="K243" t="n">
        <v>67</v>
      </c>
      <c r="L243" t="n">
        <v>1.4</v>
      </c>
      <c r="M243" t="n">
        <v>4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771</v>
      </c>
      <c r="Z243" t="inlineStr"/>
      <c r="AA243" t="inlineStr"/>
      <c r="AB243" t="inlineStr">
        <is>
          <t>U0242</t>
        </is>
      </c>
      <c r="AC243" t="inlineStr">
        <is>
          <t>CH</t>
        </is>
      </c>
      <c r="AD243" t="inlineStr"/>
      <c r="AE243" t="n">
        <v>31.8</v>
      </c>
      <c r="AF243" t="inlineStr"/>
      <c r="AG243" t="inlineStr"/>
      <c r="AH243" t="inlineStr"/>
      <c r="AI243" t="n">
        <v>5.1</v>
      </c>
      <c r="AJ243" t="n">
        <v>23.02</v>
      </c>
    </row>
    <row r="244">
      <c r="A244" t="inlineStr">
        <is>
          <t>China University of Mining and Technology</t>
        </is>
      </c>
      <c r="B244" t="inlineStr">
        <is>
          <t>China</t>
        </is>
      </c>
      <c r="C244" t="inlineStr">
        <is>
          <t>681-690</t>
        </is>
      </c>
      <c r="D244" t="inlineStr"/>
      <c r="E244" t="n">
        <v>3.5</v>
      </c>
      <c r="F244" t="n">
        <v>1.6</v>
      </c>
      <c r="G244" t="n">
        <v>14.1</v>
      </c>
      <c r="H244" t="n">
        <v>68.5</v>
      </c>
      <c r="I244" t="inlineStr"/>
      <c r="J244" t="inlineStr"/>
      <c r="K244" t="n">
        <v>52.4</v>
      </c>
      <c r="L244" t="n">
        <v>10.1</v>
      </c>
      <c r="M244" t="n">
        <v>2.8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681</v>
      </c>
      <c r="Z244" t="inlineStr"/>
      <c r="AA244" t="inlineStr"/>
      <c r="AB244" t="inlineStr">
        <is>
          <t>U0243</t>
        </is>
      </c>
      <c r="AC244" t="inlineStr">
        <is>
          <t>CH</t>
        </is>
      </c>
      <c r="AD244" t="inlineStr"/>
      <c r="AE244" t="n">
        <v>68.5</v>
      </c>
      <c r="AF244" t="inlineStr"/>
      <c r="AG244" t="inlineStr"/>
      <c r="AH244" t="inlineStr"/>
      <c r="AI244" t="n">
        <v>3.5</v>
      </c>
      <c r="AJ244" t="n">
        <v>34.15</v>
      </c>
    </row>
    <row r="245">
      <c r="A245" t="inlineStr">
        <is>
          <t>China University of Petroleum</t>
        </is>
      </c>
      <c r="B245" t="inlineStr">
        <is>
          <t>China</t>
        </is>
      </c>
      <c r="C245" t="inlineStr">
        <is>
          <t>631-640</t>
        </is>
      </c>
      <c r="D245" t="inlineStr"/>
      <c r="E245" t="n">
        <v>3.4</v>
      </c>
      <c r="F245" t="n">
        <v>1.7</v>
      </c>
      <c r="G245" t="n">
        <v>8.6</v>
      </c>
      <c r="H245" t="n">
        <v>79.7</v>
      </c>
      <c r="I245" t="n">
        <v>1.7</v>
      </c>
      <c r="J245" t="n">
        <v>2.8</v>
      </c>
      <c r="K245" t="n">
        <v>24.1</v>
      </c>
      <c r="L245" t="n">
        <v>21.1</v>
      </c>
      <c r="M245" t="n">
        <v>1.5</v>
      </c>
      <c r="N245" t="inlineStr">
        <is>
          <t>801–1000</t>
        </is>
      </c>
      <c r="O245" t="inlineStr">
        <is>
          <t>32.7–36.9</t>
        </is>
      </c>
      <c r="P245" t="n">
        <v>22.2</v>
      </c>
      <c r="Q245" t="n">
        <v>23</v>
      </c>
      <c r="R245" t="n">
        <v>54.3</v>
      </c>
      <c r="S245" t="n">
        <v>68.2</v>
      </c>
      <c r="T245" t="n">
        <v>23.8</v>
      </c>
      <c r="U245" t="inlineStr">
        <is>
          <t>29,292</t>
        </is>
      </c>
      <c r="V245" t="n">
        <v>17</v>
      </c>
      <c r="W245" t="inlineStr">
        <is>
          <t>2%</t>
        </is>
      </c>
      <c r="X245" t="inlineStr">
        <is>
          <t>33 : 67</t>
        </is>
      </c>
      <c r="Y245" t="n">
        <v>631</v>
      </c>
      <c r="Z245" t="n">
        <v>801</v>
      </c>
      <c r="AA245" t="n">
        <v>34.8</v>
      </c>
      <c r="AB245" t="inlineStr">
        <is>
          <t>U0244</t>
        </is>
      </c>
      <c r="AC245" t="inlineStr">
        <is>
          <t>CH</t>
        </is>
      </c>
      <c r="AD245" t="n">
        <v>34.8</v>
      </c>
      <c r="AE245" t="n">
        <v>79.7</v>
      </c>
      <c r="AF245" t="n">
        <v>17</v>
      </c>
      <c r="AG245" t="inlineStr">
        <is>
          <t>1:17.0</t>
        </is>
      </c>
      <c r="AH245" t="inlineStr">
        <is>
          <t>2%</t>
        </is>
      </c>
      <c r="AI245" t="n">
        <v>3.4</v>
      </c>
      <c r="AJ245" t="n">
        <v>35.35</v>
      </c>
    </row>
    <row r="246">
      <c r="A246" t="inlineStr">
        <is>
          <t>China University of Petroleum, Beijing</t>
        </is>
      </c>
      <c r="B246" t="inlineStr">
        <is>
          <t>China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501–600</t>
        </is>
      </c>
      <c r="O246" t="inlineStr">
        <is>
          <t>41.9–45.3</t>
        </is>
      </c>
      <c r="P246" t="n">
        <v>31.6</v>
      </c>
      <c r="Q246" t="n">
        <v>37.5</v>
      </c>
      <c r="R246" t="n">
        <v>56.6</v>
      </c>
      <c r="S246" t="n">
        <v>81.8</v>
      </c>
      <c r="T246" t="n">
        <v>30.1</v>
      </c>
      <c r="U246" t="inlineStr">
        <is>
          <t>18,061</t>
        </is>
      </c>
      <c r="V246" t="n">
        <v>18.6</v>
      </c>
      <c r="W246" t="inlineStr">
        <is>
          <t>7%</t>
        </is>
      </c>
      <c r="X246" t="inlineStr"/>
      <c r="Y246" t="inlineStr"/>
      <c r="Z246" t="n">
        <v>501</v>
      </c>
      <c r="AA246" t="n">
        <v>43.59999999999999</v>
      </c>
      <c r="AB246" t="inlineStr">
        <is>
          <t>U0245</t>
        </is>
      </c>
      <c r="AC246" t="inlineStr">
        <is>
          <t>CH</t>
        </is>
      </c>
      <c r="AD246" t="n">
        <v>43.59999999999999</v>
      </c>
      <c r="AE246" t="n">
        <v>56.6</v>
      </c>
      <c r="AF246" t="n">
        <v>18.6</v>
      </c>
      <c r="AG246" t="inlineStr">
        <is>
          <t>1:18.6</t>
        </is>
      </c>
      <c r="AH246" t="inlineStr">
        <is>
          <t>7%</t>
        </is>
      </c>
      <c r="AI246" t="inlineStr"/>
      <c r="AJ246" t="n">
        <v>37.48</v>
      </c>
    </row>
    <row r="247">
      <c r="A247" t="inlineStr">
        <is>
          <t>China University of Political Science and Law</t>
        </is>
      </c>
      <c r="B247" t="inlineStr">
        <is>
          <t>China</t>
        </is>
      </c>
      <c r="C247" t="inlineStr">
        <is>
          <t>1201-1400</t>
        </is>
      </c>
      <c r="D247" t="inlineStr"/>
      <c r="E247" t="n">
        <v>2.7</v>
      </c>
      <c r="F247" t="n">
        <v>37.6</v>
      </c>
      <c r="G247" t="n">
        <v>8</v>
      </c>
      <c r="H247" t="n">
        <v>1.2</v>
      </c>
      <c r="I247" t="n">
        <v>3.7</v>
      </c>
      <c r="J247" t="n">
        <v>1.5</v>
      </c>
      <c r="K247" t="n">
        <v>6.1</v>
      </c>
      <c r="L247" t="n">
        <v>5.8</v>
      </c>
      <c r="M247" t="n">
        <v>1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1201</v>
      </c>
      <c r="Z247" t="inlineStr"/>
      <c r="AA247" t="inlineStr"/>
      <c r="AB247" t="inlineStr">
        <is>
          <t>U0246</t>
        </is>
      </c>
      <c r="AC247" t="inlineStr">
        <is>
          <t>CH</t>
        </is>
      </c>
      <c r="AD247" t="inlineStr"/>
      <c r="AE247" t="n">
        <v>1.2</v>
      </c>
      <c r="AF247" t="inlineStr"/>
      <c r="AG247" t="inlineStr"/>
      <c r="AH247" t="inlineStr"/>
      <c r="AI247" t="n">
        <v>2.7</v>
      </c>
      <c r="AJ247" t="n">
        <v>13.75</v>
      </c>
    </row>
    <row r="248">
      <c r="A248" t="inlineStr">
        <is>
          <t>Chinese Culture University</t>
        </is>
      </c>
      <c r="B248" t="inlineStr">
        <is>
          <t>Taiwan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1501+</t>
        </is>
      </c>
      <c r="O248" t="inlineStr">
        <is>
          <t>9.7–22.7</t>
        </is>
      </c>
      <c r="P248" t="n">
        <v>13.9</v>
      </c>
      <c r="Q248" t="n">
        <v>10</v>
      </c>
      <c r="R248" t="n">
        <v>16.8</v>
      </c>
      <c r="S248" t="n">
        <v>26.1</v>
      </c>
      <c r="T248" t="n">
        <v>29.8</v>
      </c>
      <c r="U248" t="inlineStr">
        <is>
          <t>23,152</t>
        </is>
      </c>
      <c r="V248" t="n">
        <v>23.5</v>
      </c>
      <c r="W248" t="inlineStr">
        <is>
          <t>6%</t>
        </is>
      </c>
      <c r="X248" t="inlineStr">
        <is>
          <t>50 : 50</t>
        </is>
      </c>
      <c r="Y248" t="inlineStr"/>
      <c r="Z248" t="n">
        <v>1501</v>
      </c>
      <c r="AA248" t="n">
        <v>16.2</v>
      </c>
      <c r="AB248" t="inlineStr">
        <is>
          <t>U0247</t>
        </is>
      </c>
      <c r="AC248" t="inlineStr">
        <is>
          <t>TA</t>
        </is>
      </c>
      <c r="AD248" t="n">
        <v>16.2</v>
      </c>
      <c r="AE248" t="n">
        <v>16.8</v>
      </c>
      <c r="AF248" t="n">
        <v>23.5</v>
      </c>
      <c r="AG248" t="inlineStr">
        <is>
          <t>1:23.5</t>
        </is>
      </c>
      <c r="AH248" t="inlineStr">
        <is>
          <t>6%</t>
        </is>
      </c>
      <c r="AI248" t="inlineStr"/>
      <c r="AJ248" t="n">
        <v>10.93</v>
      </c>
    </row>
    <row r="249">
      <c r="A249" t="inlineStr">
        <is>
          <t>The Chinese University of Hong Kong (CUHK)</t>
        </is>
      </c>
      <c r="B249" t="inlineStr">
        <is>
          <t>Hong Kong</t>
        </is>
      </c>
      <c r="C249" t="inlineStr">
        <is>
          <t>36</t>
        </is>
      </c>
      <c r="D249" t="n">
        <v>81.3</v>
      </c>
      <c r="E249" t="n">
        <v>86.7</v>
      </c>
      <c r="F249" t="n">
        <v>53.3</v>
      </c>
      <c r="G249" t="n">
        <v>64.2</v>
      </c>
      <c r="H249" t="n">
        <v>92.90000000000001</v>
      </c>
      <c r="I249" t="n">
        <v>100</v>
      </c>
      <c r="J249" t="n">
        <v>87.5</v>
      </c>
      <c r="K249" t="n">
        <v>74.2</v>
      </c>
      <c r="L249" t="n">
        <v>89</v>
      </c>
      <c r="M249" t="n">
        <v>86.7</v>
      </c>
      <c r="N249" t="inlineStr">
        <is>
          <t>53</t>
        </is>
      </c>
      <c r="O249" t="inlineStr">
        <is>
          <t>75.4</t>
        </is>
      </c>
      <c r="P249" t="n">
        <v>59.1</v>
      </c>
      <c r="Q249" t="n">
        <v>61.5</v>
      </c>
      <c r="R249" t="n">
        <v>97.59999999999999</v>
      </c>
      <c r="S249" t="n">
        <v>95.90000000000001</v>
      </c>
      <c r="T249" t="n">
        <v>93.59999999999999</v>
      </c>
      <c r="U249" t="inlineStr">
        <is>
          <t>18,290</t>
        </is>
      </c>
      <c r="V249" t="n">
        <v>18.8</v>
      </c>
      <c r="W249" t="inlineStr">
        <is>
          <t>25%</t>
        </is>
      </c>
      <c r="X249" t="inlineStr"/>
      <c r="Y249" t="n">
        <v>36</v>
      </c>
      <c r="Z249" t="n">
        <v>53</v>
      </c>
      <c r="AA249" t="n">
        <v>75.40000000000001</v>
      </c>
      <c r="AB249" t="inlineStr">
        <is>
          <t>U0248</t>
        </is>
      </c>
      <c r="AC249" t="inlineStr">
        <is>
          <t>HO</t>
        </is>
      </c>
      <c r="AD249" t="n">
        <v>81.3</v>
      </c>
      <c r="AE249" t="n">
        <v>92.90000000000001</v>
      </c>
      <c r="AF249" t="n">
        <v>18.8</v>
      </c>
      <c r="AG249" t="inlineStr">
        <is>
          <t>1:18.8</t>
        </is>
      </c>
      <c r="AH249" t="inlineStr">
        <is>
          <t>25%</t>
        </is>
      </c>
      <c r="AI249" t="n">
        <v>86.7</v>
      </c>
      <c r="AJ249" t="n">
        <v>76.41</v>
      </c>
    </row>
    <row r="250">
      <c r="A250" t="inlineStr">
        <is>
          <t>Chitkara University</t>
        </is>
      </c>
      <c r="B250" t="inlineStr">
        <is>
          <t>India</t>
        </is>
      </c>
      <c r="C250" t="inlineStr">
        <is>
          <t>1201-1400</t>
        </is>
      </c>
      <c r="D250" t="inlineStr"/>
      <c r="E250" t="n">
        <v>6.1</v>
      </c>
      <c r="F250" t="n">
        <v>7.4</v>
      </c>
      <c r="G250" t="n">
        <v>15.9</v>
      </c>
      <c r="H250" t="n">
        <v>2.2</v>
      </c>
      <c r="I250" t="n">
        <v>5.5</v>
      </c>
      <c r="J250" t="n">
        <v>3</v>
      </c>
      <c r="K250" t="n">
        <v>29.4</v>
      </c>
      <c r="L250" t="n">
        <v>1.9</v>
      </c>
      <c r="M250" t="n">
        <v>3.3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1201</v>
      </c>
      <c r="Z250" t="inlineStr"/>
      <c r="AA250" t="inlineStr"/>
      <c r="AB250" t="inlineStr">
        <is>
          <t>U0249</t>
        </is>
      </c>
      <c r="AC250" t="inlineStr">
        <is>
          <t>IN</t>
        </is>
      </c>
      <c r="AD250" t="inlineStr"/>
      <c r="AE250" t="n">
        <v>2.2</v>
      </c>
      <c r="AF250" t="inlineStr"/>
      <c r="AG250" t="inlineStr"/>
      <c r="AH250" t="inlineStr"/>
      <c r="AI250" t="n">
        <v>6.1</v>
      </c>
      <c r="AJ250" t="n">
        <v>14.06</v>
      </c>
    </row>
    <row r="251">
      <c r="A251" t="inlineStr">
        <is>
          <t>Chittagong University of Engineering and Technology</t>
        </is>
      </c>
      <c r="B251" t="inlineStr">
        <is>
          <t>Bangladesh</t>
        </is>
      </c>
      <c r="C251" t="inlineStr">
        <is>
          <t>1201-1400</t>
        </is>
      </c>
      <c r="D251" t="inlineStr"/>
      <c r="E251" t="n">
        <v>8.9</v>
      </c>
      <c r="F251" t="n">
        <v>12.4</v>
      </c>
      <c r="G251" t="n">
        <v>8.300000000000001</v>
      </c>
      <c r="H251" t="n">
        <v>5.1</v>
      </c>
      <c r="I251" t="n">
        <v>1.4</v>
      </c>
      <c r="J251" t="inlineStr"/>
      <c r="K251" t="n">
        <v>6.7</v>
      </c>
      <c r="L251" t="n">
        <v>4.2</v>
      </c>
      <c r="M251" t="n">
        <v>1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1201</v>
      </c>
      <c r="Z251" t="inlineStr"/>
      <c r="AA251" t="inlineStr"/>
      <c r="AB251" t="inlineStr">
        <is>
          <t>U0250</t>
        </is>
      </c>
      <c r="AC251" t="inlineStr">
        <is>
          <t>BA</t>
        </is>
      </c>
      <c r="AD251" t="inlineStr"/>
      <c r="AE251" t="n">
        <v>5.1</v>
      </c>
      <c r="AF251" t="inlineStr"/>
      <c r="AG251" t="inlineStr"/>
      <c r="AH251" t="inlineStr"/>
      <c r="AI251" t="n">
        <v>8.9</v>
      </c>
      <c r="AJ251" t="n">
        <v>14.93</v>
      </c>
    </row>
    <row r="252">
      <c r="A252" t="inlineStr">
        <is>
          <t>Chongqing University</t>
        </is>
      </c>
      <c r="B252" t="inlineStr">
        <is>
          <t>China</t>
        </is>
      </c>
      <c r="C252" t="inlineStr">
        <is>
          <t>489</t>
        </is>
      </c>
      <c r="D252" t="n">
        <v>24.5</v>
      </c>
      <c r="E252" t="n">
        <v>7.6</v>
      </c>
      <c r="F252" t="n">
        <v>4.6</v>
      </c>
      <c r="G252" t="n">
        <v>12.1</v>
      </c>
      <c r="H252" t="n">
        <v>81.40000000000001</v>
      </c>
      <c r="I252" t="n">
        <v>21.3</v>
      </c>
      <c r="J252" t="n">
        <v>2.1</v>
      </c>
      <c r="K252" t="n">
        <v>59.6</v>
      </c>
      <c r="L252" t="n">
        <v>13.6</v>
      </c>
      <c r="M252" t="n">
        <v>4.1</v>
      </c>
      <c r="N252" t="inlineStr">
        <is>
          <t>351–400</t>
        </is>
      </c>
      <c r="O252" t="inlineStr">
        <is>
          <t>49.1–51.0</t>
        </is>
      </c>
      <c r="P252" t="n">
        <v>32.8</v>
      </c>
      <c r="Q252" t="n">
        <v>38.2</v>
      </c>
      <c r="R252" t="n">
        <v>75.90000000000001</v>
      </c>
      <c r="S252" t="n">
        <v>79.59999999999999</v>
      </c>
      <c r="T252" t="n">
        <v>42</v>
      </c>
      <c r="U252" t="inlineStr">
        <is>
          <t>42,607</t>
        </is>
      </c>
      <c r="V252" t="n">
        <v>20.1</v>
      </c>
      <c r="W252" t="inlineStr">
        <is>
          <t>2%</t>
        </is>
      </c>
      <c r="X252" t="inlineStr"/>
      <c r="Y252" t="n">
        <v>489</v>
      </c>
      <c r="Z252" t="n">
        <v>351</v>
      </c>
      <c r="AA252" t="n">
        <v>50.05</v>
      </c>
      <c r="AB252" t="inlineStr">
        <is>
          <t>U0251</t>
        </is>
      </c>
      <c r="AC252" t="inlineStr">
        <is>
          <t>CH</t>
        </is>
      </c>
      <c r="AD252" t="n">
        <v>24.5</v>
      </c>
      <c r="AE252" t="n">
        <v>81.40000000000001</v>
      </c>
      <c r="AF252" t="n">
        <v>20.1</v>
      </c>
      <c r="AG252" t="inlineStr">
        <is>
          <t>1:20.1</t>
        </is>
      </c>
      <c r="AH252" t="inlineStr">
        <is>
          <t>2%</t>
        </is>
      </c>
      <c r="AI252" t="n">
        <v>7.6</v>
      </c>
      <c r="AJ252" t="n">
        <v>48.24</v>
      </c>
    </row>
    <row r="253">
      <c r="A253" t="inlineStr">
        <is>
          <t>Chonnam National University</t>
        </is>
      </c>
      <c r="B253" t="inlineStr">
        <is>
          <t>South Korea</t>
        </is>
      </c>
      <c r="C253" t="inlineStr">
        <is>
          <t>851-900</t>
        </is>
      </c>
      <c r="D253" t="inlineStr"/>
      <c r="E253" t="n">
        <v>9.300000000000001</v>
      </c>
      <c r="F253" t="n">
        <v>4.7</v>
      </c>
      <c r="G253" t="n">
        <v>45.4</v>
      </c>
      <c r="H253" t="n">
        <v>12.4</v>
      </c>
      <c r="I253" t="n">
        <v>9</v>
      </c>
      <c r="J253" t="n">
        <v>7.3</v>
      </c>
      <c r="K253" t="n">
        <v>28.5</v>
      </c>
      <c r="L253" t="n">
        <v>4.7</v>
      </c>
      <c r="M253" t="n">
        <v>44.3</v>
      </c>
      <c r="N253" t="inlineStr">
        <is>
          <t>801–1000</t>
        </is>
      </c>
      <c r="O253" t="inlineStr">
        <is>
          <t>32.7–36.9</t>
        </is>
      </c>
      <c r="P253" t="n">
        <v>28.5</v>
      </c>
      <c r="Q253" t="n">
        <v>28.3</v>
      </c>
      <c r="R253" t="n">
        <v>43.6</v>
      </c>
      <c r="S253" t="n">
        <v>57.5</v>
      </c>
      <c r="T253" t="n">
        <v>32.8</v>
      </c>
      <c r="U253" t="inlineStr">
        <is>
          <t>22,051</t>
        </is>
      </c>
      <c r="V253" t="n">
        <v>17.7</v>
      </c>
      <c r="W253" t="inlineStr">
        <is>
          <t>7%</t>
        </is>
      </c>
      <c r="X253" t="inlineStr">
        <is>
          <t>49 : 51</t>
        </is>
      </c>
      <c r="Y253" t="n">
        <v>851</v>
      </c>
      <c r="Z253" t="n">
        <v>801</v>
      </c>
      <c r="AA253" t="n">
        <v>34.8</v>
      </c>
      <c r="AB253" t="inlineStr">
        <is>
          <t>U0252</t>
        </is>
      </c>
      <c r="AC253" t="inlineStr">
        <is>
          <t>SO</t>
        </is>
      </c>
      <c r="AD253" t="n">
        <v>34.8</v>
      </c>
      <c r="AE253" t="n">
        <v>12.4</v>
      </c>
      <c r="AF253" t="n">
        <v>17.7</v>
      </c>
      <c r="AG253" t="inlineStr">
        <is>
          <t>1:17.7</t>
        </is>
      </c>
      <c r="AH253" t="inlineStr">
        <is>
          <t>7%</t>
        </is>
      </c>
      <c r="AI253" t="n">
        <v>9.300000000000001</v>
      </c>
      <c r="AJ253" t="n">
        <v>19.91</v>
      </c>
    </row>
    <row r="254">
      <c r="A254" t="inlineStr">
        <is>
          <t>Chosun University</t>
        </is>
      </c>
      <c r="B254" t="inlineStr">
        <is>
          <t>South Korea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1201–1500</t>
        </is>
      </c>
      <c r="O254" t="inlineStr">
        <is>
          <t>22.8–28.2</t>
        </is>
      </c>
      <c r="P254" t="n">
        <v>20.9</v>
      </c>
      <c r="Q254" t="n">
        <v>20.8</v>
      </c>
      <c r="R254" t="n">
        <v>25</v>
      </c>
      <c r="S254" t="n">
        <v>71.90000000000001</v>
      </c>
      <c r="T254" t="n">
        <v>36</v>
      </c>
      <c r="U254" t="inlineStr">
        <is>
          <t>20,247</t>
        </is>
      </c>
      <c r="V254" t="n">
        <v>24.5</v>
      </c>
      <c r="W254" t="inlineStr">
        <is>
          <t>3%</t>
        </is>
      </c>
      <c r="X254" t="inlineStr">
        <is>
          <t>48 : 52</t>
        </is>
      </c>
      <c r="Y254" t="inlineStr"/>
      <c r="Z254" t="n">
        <v>1201</v>
      </c>
      <c r="AA254" t="n">
        <v>25.5</v>
      </c>
      <c r="AB254" t="inlineStr">
        <is>
          <t>U0253</t>
        </is>
      </c>
      <c r="AC254" t="inlineStr">
        <is>
          <t>SO</t>
        </is>
      </c>
      <c r="AD254" t="n">
        <v>25.5</v>
      </c>
      <c r="AE254" t="n">
        <v>25</v>
      </c>
      <c r="AF254" t="n">
        <v>24.5</v>
      </c>
      <c r="AG254" t="inlineStr">
        <is>
          <t>1:24.5</t>
        </is>
      </c>
      <c r="AH254" t="inlineStr">
        <is>
          <t>3%</t>
        </is>
      </c>
      <c r="AI254" t="inlineStr"/>
      <c r="AJ254" t="n">
        <v>20.58</v>
      </c>
    </row>
    <row r="255">
      <c r="A255" t="inlineStr">
        <is>
          <t>Christ University Bengaluru India</t>
        </is>
      </c>
      <c r="B255" t="inlineStr">
        <is>
          <t>India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1201–1500</t>
        </is>
      </c>
      <c r="O255" t="inlineStr">
        <is>
          <t>22.8–28.2</t>
        </is>
      </c>
      <c r="P255" t="n">
        <v>14.6</v>
      </c>
      <c r="Q255" t="n">
        <v>9.9</v>
      </c>
      <c r="R255" t="n">
        <v>44.4</v>
      </c>
      <c r="S255" t="n">
        <v>15.9</v>
      </c>
      <c r="T255" t="n">
        <v>25.4</v>
      </c>
      <c r="U255" t="inlineStr">
        <is>
          <t>27,720</t>
        </is>
      </c>
      <c r="V255" t="n">
        <v>20.7</v>
      </c>
      <c r="W255" t="inlineStr">
        <is>
          <t>2%</t>
        </is>
      </c>
      <c r="X255" t="inlineStr">
        <is>
          <t>46 : 54</t>
        </is>
      </c>
      <c r="Y255" t="inlineStr"/>
      <c r="Z255" t="n">
        <v>1201</v>
      </c>
      <c r="AA255" t="n">
        <v>25.5</v>
      </c>
      <c r="AB255" t="inlineStr">
        <is>
          <t>U0254</t>
        </is>
      </c>
      <c r="AC255" t="inlineStr">
        <is>
          <t>IN</t>
        </is>
      </c>
      <c r="AD255" t="n">
        <v>25.5</v>
      </c>
      <c r="AE255" t="n">
        <v>44.4</v>
      </c>
      <c r="AF255" t="n">
        <v>20.7</v>
      </c>
      <c r="AG255" t="inlineStr">
        <is>
          <t>1:20.7</t>
        </is>
      </c>
      <c r="AH255" t="inlineStr">
        <is>
          <t>2%</t>
        </is>
      </c>
      <c r="AI255" t="inlineStr"/>
      <c r="AJ255" t="n">
        <v>18.18</v>
      </c>
    </row>
    <row r="256">
      <c r="A256" t="inlineStr">
        <is>
          <t>Christian-Albrechts-University zu Kiel</t>
        </is>
      </c>
      <c r="B256" t="inlineStr">
        <is>
          <t>Germany</t>
        </is>
      </c>
      <c r="C256" t="inlineStr">
        <is>
          <t>611-620</t>
        </is>
      </c>
      <c r="D256" t="inlineStr"/>
      <c r="E256" t="n">
        <v>17.7</v>
      </c>
      <c r="F256" t="n">
        <v>10.8</v>
      </c>
      <c r="G256" t="n">
        <v>44.7</v>
      </c>
      <c r="H256" t="n">
        <v>15.6</v>
      </c>
      <c r="I256" t="inlineStr"/>
      <c r="J256" t="n">
        <v>8.4</v>
      </c>
      <c r="K256" t="n">
        <v>90</v>
      </c>
      <c r="L256" t="n">
        <v>14.3</v>
      </c>
      <c r="M256" t="n">
        <v>23.5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611</v>
      </c>
      <c r="Z256" t="inlineStr"/>
      <c r="AA256" t="inlineStr"/>
      <c r="AB256" t="inlineStr">
        <is>
          <t>U0255</t>
        </is>
      </c>
      <c r="AC256" t="inlineStr">
        <is>
          <t>GE</t>
        </is>
      </c>
      <c r="AD256" t="inlineStr"/>
      <c r="AE256" t="n">
        <v>15.6</v>
      </c>
      <c r="AF256" t="inlineStr"/>
      <c r="AG256" t="inlineStr"/>
      <c r="AH256" t="inlineStr"/>
      <c r="AI256" t="n">
        <v>17.7</v>
      </c>
      <c r="AJ256" t="n">
        <v>18.12</v>
      </c>
    </row>
    <row r="257">
      <c r="A257" t="inlineStr">
        <is>
          <t>Chubu University</t>
        </is>
      </c>
      <c r="B257" t="inlineStr">
        <is>
          <t>Japan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1501+</t>
        </is>
      </c>
      <c r="O257" t="inlineStr">
        <is>
          <t>9.7–22.7</t>
        </is>
      </c>
      <c r="P257" t="n">
        <v>17.1</v>
      </c>
      <c r="Q257" t="n">
        <v>11.9</v>
      </c>
      <c r="R257" t="n">
        <v>15.9</v>
      </c>
      <c r="S257" t="n">
        <v>33.4</v>
      </c>
      <c r="T257" t="n">
        <v>34.1</v>
      </c>
      <c r="U257" t="inlineStr">
        <is>
          <t>8,929</t>
        </is>
      </c>
      <c r="V257" t="n">
        <v>17.1</v>
      </c>
      <c r="W257" t="inlineStr">
        <is>
          <t>2%</t>
        </is>
      </c>
      <c r="X257" t="inlineStr">
        <is>
          <t>27 : 73</t>
        </is>
      </c>
      <c r="Y257" t="inlineStr"/>
      <c r="Z257" t="n">
        <v>1501</v>
      </c>
      <c r="AA257" t="n">
        <v>16.2</v>
      </c>
      <c r="AB257" t="inlineStr">
        <is>
          <t>U0256</t>
        </is>
      </c>
      <c r="AC257" t="inlineStr">
        <is>
          <t>JA</t>
        </is>
      </c>
      <c r="AD257" t="n">
        <v>16.2</v>
      </c>
      <c r="AE257" t="n">
        <v>15.9</v>
      </c>
      <c r="AF257" t="n">
        <v>17.1</v>
      </c>
      <c r="AG257" t="inlineStr">
        <is>
          <t>1:17.1</t>
        </is>
      </c>
      <c r="AH257" t="inlineStr">
        <is>
          <t>2%</t>
        </is>
      </c>
      <c r="AI257" t="inlineStr"/>
      <c r="AJ257" t="n">
        <v>12.69</v>
      </c>
    </row>
    <row r="258">
      <c r="A258" t="inlineStr">
        <is>
          <t>Chulalongkorn University</t>
        </is>
      </c>
      <c r="B258" t="inlineStr">
        <is>
          <t>Thailand</t>
        </is>
      </c>
      <c r="C258" t="inlineStr">
        <is>
          <t>229</t>
        </is>
      </c>
      <c r="D258" t="n">
        <v>43.4</v>
      </c>
      <c r="E258" t="n">
        <v>68.2</v>
      </c>
      <c r="F258" t="n">
        <v>35.9</v>
      </c>
      <c r="G258" t="n">
        <v>31.7</v>
      </c>
      <c r="H258" t="n">
        <v>7.5</v>
      </c>
      <c r="I258" t="n">
        <v>18.7</v>
      </c>
      <c r="J258" t="n">
        <v>3</v>
      </c>
      <c r="K258" t="n">
        <v>79.59999999999999</v>
      </c>
      <c r="L258" t="n">
        <v>93.59999999999999</v>
      </c>
      <c r="M258" t="n">
        <v>73.2</v>
      </c>
      <c r="N258" t="inlineStr">
        <is>
          <t>601–800</t>
        </is>
      </c>
      <c r="O258" t="inlineStr">
        <is>
          <t>37.0–41.8</t>
        </is>
      </c>
      <c r="P258" t="n">
        <v>36.7</v>
      </c>
      <c r="Q258" t="n">
        <v>32.2</v>
      </c>
      <c r="R258" t="n">
        <v>50.2</v>
      </c>
      <c r="S258" t="n">
        <v>76.59999999999999</v>
      </c>
      <c r="T258" t="n">
        <v>44.1</v>
      </c>
      <c r="U258" t="inlineStr">
        <is>
          <t>34,552</t>
        </is>
      </c>
      <c r="V258" t="n">
        <v>12.7</v>
      </c>
      <c r="W258" t="inlineStr">
        <is>
          <t>3%</t>
        </is>
      </c>
      <c r="X258" t="inlineStr">
        <is>
          <t>56 : 44</t>
        </is>
      </c>
      <c r="Y258" t="n">
        <v>229</v>
      </c>
      <c r="Z258" t="n">
        <v>601</v>
      </c>
      <c r="AA258" t="n">
        <v>39.4</v>
      </c>
      <c r="AB258" t="inlineStr">
        <is>
          <t>U0257</t>
        </is>
      </c>
      <c r="AC258" t="inlineStr">
        <is>
          <t>TH</t>
        </is>
      </c>
      <c r="AD258" t="n">
        <v>43.4</v>
      </c>
      <c r="AE258" t="n">
        <v>7.5</v>
      </c>
      <c r="AF258" t="n">
        <v>12.7</v>
      </c>
      <c r="AG258" t="inlineStr">
        <is>
          <t>1:12.7</t>
        </is>
      </c>
      <c r="AH258" t="inlineStr">
        <is>
          <t>3%</t>
        </is>
      </c>
      <c r="AI258" t="n">
        <v>68.2</v>
      </c>
      <c r="AJ258" t="n">
        <v>23.21</v>
      </c>
    </row>
    <row r="259">
      <c r="A259" t="inlineStr">
        <is>
          <t>Chung-Ang University (CAU)</t>
        </is>
      </c>
      <c r="B259" t="inlineStr">
        <is>
          <t>South Korea</t>
        </is>
      </c>
      <c r="C259" t="inlineStr">
        <is>
          <t>489</t>
        </is>
      </c>
      <c r="D259" t="n">
        <v>24.5</v>
      </c>
      <c r="E259" t="n">
        <v>16</v>
      </c>
      <c r="F259" t="n">
        <v>31.9</v>
      </c>
      <c r="G259" t="n">
        <v>67.8</v>
      </c>
      <c r="H259" t="n">
        <v>9.300000000000001</v>
      </c>
      <c r="I259" t="n">
        <v>14.2</v>
      </c>
      <c r="J259" t="n">
        <v>37.8</v>
      </c>
      <c r="K259" t="n">
        <v>29.9</v>
      </c>
      <c r="L259" t="n">
        <v>13.5</v>
      </c>
      <c r="M259" t="n">
        <v>49.5</v>
      </c>
      <c r="N259" t="inlineStr">
        <is>
          <t>401–500</t>
        </is>
      </c>
      <c r="O259" t="inlineStr">
        <is>
          <t>45.4–49.0</t>
        </is>
      </c>
      <c r="P259" t="n">
        <v>37.4</v>
      </c>
      <c r="Q259" t="n">
        <v>38.4</v>
      </c>
      <c r="R259" t="n">
        <v>52</v>
      </c>
      <c r="S259" t="n">
        <v>98.3</v>
      </c>
      <c r="T259" t="n">
        <v>62.6</v>
      </c>
      <c r="U259" t="inlineStr">
        <is>
          <t>18,193</t>
        </is>
      </c>
      <c r="V259" t="n">
        <v>22.4</v>
      </c>
      <c r="W259" t="inlineStr">
        <is>
          <t>23%</t>
        </is>
      </c>
      <c r="X259" t="inlineStr"/>
      <c r="Y259" t="n">
        <v>489</v>
      </c>
      <c r="Z259" t="n">
        <v>401</v>
      </c>
      <c r="AA259" t="n">
        <v>47.2</v>
      </c>
      <c r="AB259" t="inlineStr">
        <is>
          <t>U0258</t>
        </is>
      </c>
      <c r="AC259" t="inlineStr">
        <is>
          <t>SO</t>
        </is>
      </c>
      <c r="AD259" t="n">
        <v>24.5</v>
      </c>
      <c r="AE259" t="n">
        <v>9.300000000000001</v>
      </c>
      <c r="AF259" t="n">
        <v>22.4</v>
      </c>
      <c r="AG259" t="inlineStr">
        <is>
          <t>1:22.4</t>
        </is>
      </c>
      <c r="AH259" t="inlineStr">
        <is>
          <t>23%</t>
        </is>
      </c>
      <c r="AI259" t="n">
        <v>16</v>
      </c>
      <c r="AJ259" t="n">
        <v>31.48</v>
      </c>
    </row>
    <row r="260">
      <c r="A260" t="inlineStr">
        <is>
          <t>Chung Shan Medical University</t>
        </is>
      </c>
      <c r="B260" t="inlineStr">
        <is>
          <t>Taiwan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1201–1500</t>
        </is>
      </c>
      <c r="O260" t="inlineStr">
        <is>
          <t>22.8–28.2</t>
        </is>
      </c>
      <c r="P260" t="n">
        <v>18.9</v>
      </c>
      <c r="Q260" t="n">
        <v>20</v>
      </c>
      <c r="R260" t="n">
        <v>27</v>
      </c>
      <c r="S260" t="n">
        <v>48.9</v>
      </c>
      <c r="T260" t="n">
        <v>21.4</v>
      </c>
      <c r="U260" t="inlineStr">
        <is>
          <t>7,052</t>
        </is>
      </c>
      <c r="V260" t="n">
        <v>17.2</v>
      </c>
      <c r="W260" t="inlineStr">
        <is>
          <t>4%</t>
        </is>
      </c>
      <c r="X260" t="inlineStr">
        <is>
          <t>64 : 36</t>
        </is>
      </c>
      <c r="Y260" t="inlineStr"/>
      <c r="Z260" t="n">
        <v>1201</v>
      </c>
      <c r="AA260" t="n">
        <v>25.5</v>
      </c>
      <c r="AB260" t="inlineStr">
        <is>
          <t>U0259</t>
        </is>
      </c>
      <c r="AC260" t="inlineStr">
        <is>
          <t>TA</t>
        </is>
      </c>
      <c r="AD260" t="n">
        <v>25.5</v>
      </c>
      <c r="AE260" t="n">
        <v>27</v>
      </c>
      <c r="AF260" t="n">
        <v>17.2</v>
      </c>
      <c r="AG260" t="inlineStr">
        <is>
          <t>1:17.2</t>
        </is>
      </c>
      <c r="AH260" t="inlineStr">
        <is>
          <t>4%</t>
        </is>
      </c>
      <c r="AI260" t="inlineStr"/>
      <c r="AJ260" t="n">
        <v>17.23</v>
      </c>
    </row>
    <row r="261">
      <c r="A261" t="inlineStr">
        <is>
          <t>Chung Yuan Christian University</t>
        </is>
      </c>
      <c r="B261" t="inlineStr">
        <is>
          <t>Taiwan</t>
        </is>
      </c>
      <c r="C261" t="inlineStr">
        <is>
          <t>1001-1200</t>
        </is>
      </c>
      <c r="D261" t="inlineStr"/>
      <c r="E261" t="n">
        <v>6.3</v>
      </c>
      <c r="F261" t="n">
        <v>5.3</v>
      </c>
      <c r="G261" t="n">
        <v>4.3</v>
      </c>
      <c r="H261" t="n">
        <v>15.6</v>
      </c>
      <c r="I261" t="n">
        <v>3.9</v>
      </c>
      <c r="J261" t="n">
        <v>6.7</v>
      </c>
      <c r="K261" t="n">
        <v>15.1</v>
      </c>
      <c r="L261" t="n">
        <v>22.4</v>
      </c>
      <c r="M261" t="n">
        <v>7.9</v>
      </c>
      <c r="N261" t="inlineStr">
        <is>
          <t>1001–1200</t>
        </is>
      </c>
      <c r="O261" t="inlineStr">
        <is>
          <t>28.3–32.6</t>
        </is>
      </c>
      <c r="P261" t="n">
        <v>18.1</v>
      </c>
      <c r="Q261" t="n">
        <v>24.4</v>
      </c>
      <c r="R261" t="n">
        <v>39</v>
      </c>
      <c r="S261" t="n">
        <v>62.6</v>
      </c>
      <c r="T261" t="n">
        <v>41.2</v>
      </c>
      <c r="U261" t="inlineStr">
        <is>
          <t>15,939</t>
        </is>
      </c>
      <c r="V261" t="n">
        <v>33.5</v>
      </c>
      <c r="W261" t="inlineStr">
        <is>
          <t>7%</t>
        </is>
      </c>
      <c r="X261" t="inlineStr">
        <is>
          <t>46 : 54</t>
        </is>
      </c>
      <c r="Y261" t="n">
        <v>1001</v>
      </c>
      <c r="Z261" t="n">
        <v>1001</v>
      </c>
      <c r="AA261" t="n">
        <v>30.45</v>
      </c>
      <c r="AB261" t="inlineStr">
        <is>
          <t>U0260</t>
        </is>
      </c>
      <c r="AC261" t="inlineStr">
        <is>
          <t>TA</t>
        </is>
      </c>
      <c r="AD261" t="n">
        <v>30.45</v>
      </c>
      <c r="AE261" t="n">
        <v>15.6</v>
      </c>
      <c r="AF261" t="n">
        <v>33.5</v>
      </c>
      <c r="AG261" t="inlineStr">
        <is>
          <t>1:33.5</t>
        </is>
      </c>
      <c r="AH261" t="inlineStr">
        <is>
          <t>7%</t>
        </is>
      </c>
      <c r="AI261" t="n">
        <v>6.3</v>
      </c>
      <c r="AJ261" t="n">
        <v>20.87</v>
      </c>
    </row>
    <row r="262">
      <c r="A262" t="inlineStr">
        <is>
          <t>Chungbuk National University</t>
        </is>
      </c>
      <c r="B262" t="inlineStr">
        <is>
          <t>South Korea</t>
        </is>
      </c>
      <c r="C262" t="inlineStr">
        <is>
          <t>1001-1200</t>
        </is>
      </c>
      <c r="D262" t="inlineStr"/>
      <c r="E262" t="n">
        <v>3.8</v>
      </c>
      <c r="F262" t="n">
        <v>2.7</v>
      </c>
      <c r="G262" t="n">
        <v>34.1</v>
      </c>
      <c r="H262" t="n">
        <v>10.3</v>
      </c>
      <c r="I262" t="n">
        <v>10.5</v>
      </c>
      <c r="J262" t="n">
        <v>7.7</v>
      </c>
      <c r="K262" t="n">
        <v>27.4</v>
      </c>
      <c r="L262" t="n">
        <v>1.7</v>
      </c>
      <c r="M262" t="n">
        <v>15.4</v>
      </c>
      <c r="N262" t="inlineStr">
        <is>
          <t>1201–1500</t>
        </is>
      </c>
      <c r="O262" t="inlineStr">
        <is>
          <t>22.8–28.2</t>
        </is>
      </c>
      <c r="P262" t="n">
        <v>26.5</v>
      </c>
      <c r="Q262" t="n">
        <v>21.2</v>
      </c>
      <c r="R262" t="n">
        <v>29.9</v>
      </c>
      <c r="S262" t="n">
        <v>50.6</v>
      </c>
      <c r="T262" t="n">
        <v>29.6</v>
      </c>
      <c r="U262" t="inlineStr">
        <is>
          <t>17,075</t>
        </is>
      </c>
      <c r="V262" t="n">
        <v>14</v>
      </c>
      <c r="W262" t="inlineStr">
        <is>
          <t>5%</t>
        </is>
      </c>
      <c r="X262" t="inlineStr">
        <is>
          <t>44 : 56</t>
        </is>
      </c>
      <c r="Y262" t="n">
        <v>1001</v>
      </c>
      <c r="Z262" t="n">
        <v>1201</v>
      </c>
      <c r="AA262" t="n">
        <v>25.5</v>
      </c>
      <c r="AB262" t="inlineStr">
        <is>
          <t>U0261</t>
        </is>
      </c>
      <c r="AC262" t="inlineStr">
        <is>
          <t>SO</t>
        </is>
      </c>
      <c r="AD262" t="n">
        <v>25.5</v>
      </c>
      <c r="AE262" t="n">
        <v>10.3</v>
      </c>
      <c r="AF262" t="n">
        <v>14</v>
      </c>
      <c r="AG262" t="inlineStr">
        <is>
          <t>1:14.0</t>
        </is>
      </c>
      <c r="AH262" t="inlineStr">
        <is>
          <t>5%</t>
        </is>
      </c>
      <c r="AI262" t="n">
        <v>3.8</v>
      </c>
      <c r="AJ262" t="n">
        <v>14.78</v>
      </c>
    </row>
    <row r="263">
      <c r="A263" t="inlineStr">
        <is>
          <t>Chungnam National University</t>
        </is>
      </c>
      <c r="B263" t="inlineStr">
        <is>
          <t>South Korea</t>
        </is>
      </c>
      <c r="C263" t="inlineStr">
        <is>
          <t>851-900</t>
        </is>
      </c>
      <c r="D263" t="inlineStr"/>
      <c r="E263" t="n">
        <v>8.800000000000001</v>
      </c>
      <c r="F263" t="n">
        <v>7.8</v>
      </c>
      <c r="G263" t="n">
        <v>46.3</v>
      </c>
      <c r="H263" t="n">
        <v>10.7</v>
      </c>
      <c r="I263" t="n">
        <v>7.2</v>
      </c>
      <c r="J263" t="n">
        <v>9.199999999999999</v>
      </c>
      <c r="K263" t="n">
        <v>32.7</v>
      </c>
      <c r="L263" t="n">
        <v>5</v>
      </c>
      <c r="M263" t="n">
        <v>25.7</v>
      </c>
      <c r="N263" t="inlineStr">
        <is>
          <t>801–1000</t>
        </is>
      </c>
      <c r="O263" t="inlineStr">
        <is>
          <t>32.7–36.9</t>
        </is>
      </c>
      <c r="P263" t="n">
        <v>29.9</v>
      </c>
      <c r="Q263" t="n">
        <v>29.7</v>
      </c>
      <c r="R263" t="n">
        <v>34.9</v>
      </c>
      <c r="S263" t="n">
        <v>71.7</v>
      </c>
      <c r="T263" t="n">
        <v>26</v>
      </c>
      <c r="U263" t="inlineStr">
        <is>
          <t>20,334</t>
        </is>
      </c>
      <c r="V263" t="n">
        <v>19.8</v>
      </c>
      <c r="W263" t="inlineStr">
        <is>
          <t>4%</t>
        </is>
      </c>
      <c r="X263" t="inlineStr">
        <is>
          <t>47 : 53</t>
        </is>
      </c>
      <c r="Y263" t="n">
        <v>851</v>
      </c>
      <c r="Z263" t="n">
        <v>801</v>
      </c>
      <c r="AA263" t="n">
        <v>34.8</v>
      </c>
      <c r="AB263" t="inlineStr">
        <is>
          <t>U0262</t>
        </is>
      </c>
      <c r="AC263" t="inlineStr">
        <is>
          <t>SO</t>
        </is>
      </c>
      <c r="AD263" t="n">
        <v>34.8</v>
      </c>
      <c r="AE263" t="n">
        <v>10.7</v>
      </c>
      <c r="AF263" t="n">
        <v>19.8</v>
      </c>
      <c r="AG263" t="inlineStr">
        <is>
          <t>1:19.8</t>
        </is>
      </c>
      <c r="AH263" t="inlineStr">
        <is>
          <t>4%</t>
        </is>
      </c>
      <c r="AI263" t="n">
        <v>8.800000000000001</v>
      </c>
      <c r="AJ263" t="n">
        <v>18.49</v>
      </c>
    </row>
    <row r="264">
      <c r="A264" t="inlineStr">
        <is>
          <t>Chuo University</t>
        </is>
      </c>
      <c r="B264" t="inlineStr">
        <is>
          <t>Japan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1501+</t>
        </is>
      </c>
      <c r="O264" t="inlineStr">
        <is>
          <t>9.7–22.7</t>
        </is>
      </c>
      <c r="P264" t="n">
        <v>18.7</v>
      </c>
      <c r="Q264" t="n">
        <v>12.7</v>
      </c>
      <c r="R264" t="n">
        <v>15.5</v>
      </c>
      <c r="S264" t="n">
        <v>27.2</v>
      </c>
      <c r="T264" t="n">
        <v>30.4</v>
      </c>
      <c r="U264" t="inlineStr">
        <is>
          <t>26,161</t>
        </is>
      </c>
      <c r="V264" t="n">
        <v>35.6</v>
      </c>
      <c r="W264" t="inlineStr">
        <is>
          <t>4%</t>
        </is>
      </c>
      <c r="X264" t="inlineStr">
        <is>
          <t>38 : 62</t>
        </is>
      </c>
      <c r="Y264" t="inlineStr"/>
      <c r="Z264" t="n">
        <v>1501</v>
      </c>
      <c r="AA264" t="n">
        <v>16.2</v>
      </c>
      <c r="AB264" t="inlineStr">
        <is>
          <t>U0263</t>
        </is>
      </c>
      <c r="AC264" t="inlineStr">
        <is>
          <t>JA</t>
        </is>
      </c>
      <c r="AD264" t="n">
        <v>16.2</v>
      </c>
      <c r="AE264" t="n">
        <v>15.5</v>
      </c>
      <c r="AF264" t="n">
        <v>35.6</v>
      </c>
      <c r="AG264" t="inlineStr">
        <is>
          <t>1:35.6</t>
        </is>
      </c>
      <c r="AH264" t="inlineStr">
        <is>
          <t>4%</t>
        </is>
      </c>
      <c r="AI264" t="inlineStr"/>
      <c r="AJ264" t="n">
        <v>12.1</v>
      </c>
    </row>
    <row r="265">
      <c r="A265" t="inlineStr">
        <is>
          <t>City University of Hong Kong</t>
        </is>
      </c>
      <c r="B265" t="inlineStr">
        <is>
          <t>Hong Kong</t>
        </is>
      </c>
      <c r="C265" t="inlineStr">
        <is>
          <t>62</t>
        </is>
      </c>
      <c r="D265" t="n">
        <v>70.7</v>
      </c>
      <c r="E265" t="n">
        <v>60.9</v>
      </c>
      <c r="F265" t="n">
        <v>30.8</v>
      </c>
      <c r="G265" t="n">
        <v>89.5</v>
      </c>
      <c r="H265" t="n">
        <v>100</v>
      </c>
      <c r="I265" t="n">
        <v>100</v>
      </c>
      <c r="J265" t="n">
        <v>100</v>
      </c>
      <c r="K265" t="n">
        <v>62.9</v>
      </c>
      <c r="L265" t="n">
        <v>37.5</v>
      </c>
      <c r="M265" t="n">
        <v>72.90000000000001</v>
      </c>
      <c r="N265" t="inlineStr">
        <is>
          <t>82</t>
        </is>
      </c>
      <c r="O265" t="inlineStr">
        <is>
          <t>69.3</t>
        </is>
      </c>
      <c r="P265" t="n">
        <v>52.2</v>
      </c>
      <c r="Q265" t="n">
        <v>52.4</v>
      </c>
      <c r="R265" t="n">
        <v>91.09999999999999</v>
      </c>
      <c r="S265" t="n">
        <v>100</v>
      </c>
      <c r="T265" t="n">
        <v>98.7</v>
      </c>
      <c r="U265" t="inlineStr">
        <is>
          <t>9,076</t>
        </is>
      </c>
      <c r="V265" t="n">
        <v>13.2</v>
      </c>
      <c r="W265" t="inlineStr">
        <is>
          <t>67%</t>
        </is>
      </c>
      <c r="X265" t="inlineStr">
        <is>
          <t>54 : 46</t>
        </is>
      </c>
      <c r="Y265" t="n">
        <v>62</v>
      </c>
      <c r="Z265" t="n">
        <v>82</v>
      </c>
      <c r="AA265" t="n">
        <v>69.3</v>
      </c>
      <c r="AB265" t="inlineStr">
        <is>
          <t>U0264</t>
        </is>
      </c>
      <c r="AC265" t="inlineStr">
        <is>
          <t>HO</t>
        </is>
      </c>
      <c r="AD265" t="n">
        <v>70.7</v>
      </c>
      <c r="AE265" t="n">
        <v>100</v>
      </c>
      <c r="AF265" t="n">
        <v>13.2</v>
      </c>
      <c r="AG265" t="inlineStr">
        <is>
          <t>1:13.2</t>
        </is>
      </c>
      <c r="AH265" t="inlineStr">
        <is>
          <t>67%</t>
        </is>
      </c>
      <c r="AI265" t="n">
        <v>60.9</v>
      </c>
      <c r="AJ265" t="n">
        <v>75.03</v>
      </c>
    </row>
    <row r="266">
      <c r="A266" t="inlineStr">
        <is>
          <t>City, University of London</t>
        </is>
      </c>
      <c r="B266" t="inlineStr">
        <is>
          <t>United Kingdom</t>
        </is>
      </c>
      <c r="C266" t="inlineStr">
        <is>
          <t>352</t>
        </is>
      </c>
      <c r="D266" t="n">
        <v>32.4</v>
      </c>
      <c r="E266" t="n">
        <v>20.8</v>
      </c>
      <c r="F266" t="n">
        <v>21.3</v>
      </c>
      <c r="G266" t="n">
        <v>5.6</v>
      </c>
      <c r="H266" t="n">
        <v>31.2</v>
      </c>
      <c r="I266" t="n">
        <v>95.8</v>
      </c>
      <c r="J266" t="n">
        <v>98.90000000000001</v>
      </c>
      <c r="K266" t="n">
        <v>66.40000000000001</v>
      </c>
      <c r="L266" t="n">
        <v>54.8</v>
      </c>
      <c r="M266" t="n">
        <v>23.2</v>
      </c>
      <c r="N266" t="inlineStr">
        <is>
          <t>351–400</t>
        </is>
      </c>
      <c r="O266" t="inlineStr">
        <is>
          <t>49.1–51.0</t>
        </is>
      </c>
      <c r="P266" t="n">
        <v>27.4</v>
      </c>
      <c r="Q266" t="n">
        <v>30.9</v>
      </c>
      <c r="R266" t="n">
        <v>78.59999999999999</v>
      </c>
      <c r="S266" t="n">
        <v>61.8</v>
      </c>
      <c r="T266" t="n">
        <v>95.5</v>
      </c>
      <c r="U266" t="inlineStr">
        <is>
          <t>16,080</t>
        </is>
      </c>
      <c r="V266" t="n">
        <v>19.5</v>
      </c>
      <c r="W266" t="inlineStr">
        <is>
          <t>45%</t>
        </is>
      </c>
      <c r="X266" t="inlineStr">
        <is>
          <t>58 : 42</t>
        </is>
      </c>
      <c r="Y266" t="n">
        <v>352</v>
      </c>
      <c r="Z266" t="n">
        <v>351</v>
      </c>
      <c r="AA266" t="n">
        <v>50.05</v>
      </c>
      <c r="AB266" t="inlineStr">
        <is>
          <t>U0265</t>
        </is>
      </c>
      <c r="AC266" t="inlineStr">
        <is>
          <t>UN</t>
        </is>
      </c>
      <c r="AD266" t="n">
        <v>32.4</v>
      </c>
      <c r="AE266" t="n">
        <v>31.2</v>
      </c>
      <c r="AF266" t="n">
        <v>19.5</v>
      </c>
      <c r="AG266" t="inlineStr">
        <is>
          <t>1:19.5</t>
        </is>
      </c>
      <c r="AH266" t="inlineStr">
        <is>
          <t>45%</t>
        </is>
      </c>
      <c r="AI266" t="n">
        <v>20.8</v>
      </c>
      <c r="AJ266" t="n">
        <v>42.14</v>
      </c>
    </row>
    <row r="267">
      <c r="A267" t="inlineStr">
        <is>
          <t>City University of New York</t>
        </is>
      </c>
      <c r="B267" t="inlineStr">
        <is>
          <t>United States</t>
        </is>
      </c>
      <c r="C267" t="inlineStr">
        <is>
          <t>661-670</t>
        </is>
      </c>
      <c r="D267" t="inlineStr"/>
      <c r="E267" t="n">
        <v>19.9</v>
      </c>
      <c r="F267" t="n">
        <v>35.6</v>
      </c>
      <c r="G267" t="n">
        <v>8.9</v>
      </c>
      <c r="H267" t="n">
        <v>4.7</v>
      </c>
      <c r="I267" t="n">
        <v>6.1</v>
      </c>
      <c r="J267" t="n">
        <v>4.4</v>
      </c>
      <c r="K267" t="n">
        <v>93.09999999999999</v>
      </c>
      <c r="L267" t="n">
        <v>22</v>
      </c>
      <c r="M267" t="n">
        <v>13.2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661</v>
      </c>
      <c r="Z267" t="inlineStr"/>
      <c r="AA267" t="inlineStr"/>
      <c r="AB267" t="inlineStr">
        <is>
          <t>U0266</t>
        </is>
      </c>
      <c r="AC267" t="inlineStr">
        <is>
          <t>UN</t>
        </is>
      </c>
      <c r="AD267" t="inlineStr"/>
      <c r="AE267" t="n">
        <v>4.7</v>
      </c>
      <c r="AF267" t="inlineStr"/>
      <c r="AG267" t="inlineStr"/>
      <c r="AH267" t="inlineStr"/>
      <c r="AI267" t="n">
        <v>19.9</v>
      </c>
      <c r="AJ267" t="n">
        <v>14.81</v>
      </c>
    </row>
    <row r="268">
      <c r="A268" t="inlineStr">
        <is>
          <t>Clark University</t>
        </is>
      </c>
      <c r="B268" t="inlineStr">
        <is>
          <t>United States</t>
        </is>
      </c>
      <c r="C268" t="inlineStr">
        <is>
          <t>951-1000</t>
        </is>
      </c>
      <c r="D268" t="inlineStr"/>
      <c r="E268" t="n">
        <v>2.6</v>
      </c>
      <c r="F268" t="n">
        <v>2.5</v>
      </c>
      <c r="G268" t="n">
        <v>18.9</v>
      </c>
      <c r="H268" t="n">
        <v>16.7</v>
      </c>
      <c r="I268" t="n">
        <v>13.2</v>
      </c>
      <c r="J268" t="n">
        <v>84.7</v>
      </c>
      <c r="K268" t="n">
        <v>20.2</v>
      </c>
      <c r="L268" t="n">
        <v>13.6</v>
      </c>
      <c r="M268" t="n">
        <v>6.5</v>
      </c>
      <c r="N268" t="inlineStr">
        <is>
          <t>601–800</t>
        </is>
      </c>
      <c r="O268" t="inlineStr">
        <is>
          <t>37.0–41.8</t>
        </is>
      </c>
      <c r="P268" t="n">
        <v>26.6</v>
      </c>
      <c r="Q268" t="n">
        <v>20.8</v>
      </c>
      <c r="R268" t="n">
        <v>66.8</v>
      </c>
      <c r="S268" t="n">
        <v>54</v>
      </c>
      <c r="T268" t="n">
        <v>70.5</v>
      </c>
      <c r="U268" t="inlineStr">
        <is>
          <t>3,217</t>
        </is>
      </c>
      <c r="V268" t="n">
        <v>12.2</v>
      </c>
      <c r="W268" t="inlineStr">
        <is>
          <t>27%</t>
        </is>
      </c>
      <c r="X268" t="inlineStr">
        <is>
          <t>59 : 41</t>
        </is>
      </c>
      <c r="Y268" t="n">
        <v>951</v>
      </c>
      <c r="Z268" t="n">
        <v>601</v>
      </c>
      <c r="AA268" t="n">
        <v>39.4</v>
      </c>
      <c r="AB268" t="inlineStr">
        <is>
          <t>U0267</t>
        </is>
      </c>
      <c r="AC268" t="inlineStr">
        <is>
          <t>UN</t>
        </is>
      </c>
      <c r="AD268" t="n">
        <v>39.4</v>
      </c>
      <c r="AE268" t="n">
        <v>16.7</v>
      </c>
      <c r="AF268" t="n">
        <v>12.2</v>
      </c>
      <c r="AG268" t="inlineStr">
        <is>
          <t>1:12.2</t>
        </is>
      </c>
      <c r="AH268" t="inlineStr">
        <is>
          <t>27%</t>
        </is>
      </c>
      <c r="AI268" t="n">
        <v>2.6</v>
      </c>
      <c r="AJ268" t="n">
        <v>26.4</v>
      </c>
    </row>
    <row r="269">
      <c r="A269" t="inlineStr">
        <is>
          <t>Clarkson University</t>
        </is>
      </c>
      <c r="B269" t="inlineStr">
        <is>
          <t>United States</t>
        </is>
      </c>
      <c r="C269" t="inlineStr">
        <is>
          <t>851-900</t>
        </is>
      </c>
      <c r="D269" t="inlineStr"/>
      <c r="E269" t="n">
        <v>1.3</v>
      </c>
      <c r="F269" t="n">
        <v>1.9</v>
      </c>
      <c r="G269" t="n">
        <v>13.5</v>
      </c>
      <c r="H269" t="n">
        <v>41.8</v>
      </c>
      <c r="I269" t="n">
        <v>48.5</v>
      </c>
      <c r="J269" t="n">
        <v>15</v>
      </c>
      <c r="K269" t="n">
        <v>30.6</v>
      </c>
      <c r="L269" t="n">
        <v>7.9</v>
      </c>
      <c r="M269" t="n">
        <v>1.2</v>
      </c>
      <c r="N269" t="inlineStr">
        <is>
          <t>801–1000</t>
        </is>
      </c>
      <c r="O269" t="inlineStr">
        <is>
          <t>32.7–36.9</t>
        </is>
      </c>
      <c r="P269" t="n">
        <v>29.9</v>
      </c>
      <c r="Q269" t="n">
        <v>18</v>
      </c>
      <c r="R269" t="n">
        <v>41.2</v>
      </c>
      <c r="S269" t="n">
        <v>67.40000000000001</v>
      </c>
      <c r="T269" t="n">
        <v>63.3</v>
      </c>
      <c r="U269" t="inlineStr">
        <is>
          <t>3,871</t>
        </is>
      </c>
      <c r="V269" t="n">
        <v>15.5</v>
      </c>
      <c r="W269" t="inlineStr">
        <is>
          <t>8%</t>
        </is>
      </c>
      <c r="X269" t="inlineStr">
        <is>
          <t>34 : 66</t>
        </is>
      </c>
      <c r="Y269" t="n">
        <v>851</v>
      </c>
      <c r="Z269" t="n">
        <v>801</v>
      </c>
      <c r="AA269" t="n">
        <v>34.8</v>
      </c>
      <c r="AB269" t="inlineStr">
        <is>
          <t>U0268</t>
        </is>
      </c>
      <c r="AC269" t="inlineStr">
        <is>
          <t>UN</t>
        </is>
      </c>
      <c r="AD269" t="n">
        <v>34.8</v>
      </c>
      <c r="AE269" t="n">
        <v>41.8</v>
      </c>
      <c r="AF269" t="n">
        <v>15.5</v>
      </c>
      <c r="AG269" t="inlineStr">
        <is>
          <t>1:15.5</t>
        </is>
      </c>
      <c r="AH269" t="inlineStr">
        <is>
          <t>8%</t>
        </is>
      </c>
      <c r="AI269" t="n">
        <v>1.3</v>
      </c>
      <c r="AJ269" t="n">
        <v>30.8</v>
      </c>
    </row>
    <row r="270">
      <c r="A270" t="inlineStr">
        <is>
          <t>Claude Bernard University Lyon 1</t>
        </is>
      </c>
      <c r="B270" t="inlineStr">
        <is>
          <t>France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401–500</t>
        </is>
      </c>
      <c r="O270" t="inlineStr">
        <is>
          <t>45.4–49.0</t>
        </is>
      </c>
      <c r="P270" t="n">
        <v>40.3</v>
      </c>
      <c r="Q270" t="n">
        <v>27.1</v>
      </c>
      <c r="R270" t="n">
        <v>65</v>
      </c>
      <c r="S270" t="n">
        <v>71.3</v>
      </c>
      <c r="T270" t="n">
        <v>63.7</v>
      </c>
      <c r="U270" t="inlineStr">
        <is>
          <t>27,444</t>
        </is>
      </c>
      <c r="V270" t="n">
        <v>12.7</v>
      </c>
      <c r="W270" t="inlineStr">
        <is>
          <t>14%</t>
        </is>
      </c>
      <c r="X270" t="inlineStr">
        <is>
          <t>55 : 45</t>
        </is>
      </c>
      <c r="Y270" t="inlineStr"/>
      <c r="Z270" t="n">
        <v>401</v>
      </c>
      <c r="AA270" t="n">
        <v>47.2</v>
      </c>
      <c r="AB270" t="inlineStr">
        <is>
          <t>U0269</t>
        </is>
      </c>
      <c r="AC270" t="inlineStr">
        <is>
          <t>FR</t>
        </is>
      </c>
      <c r="AD270" t="n">
        <v>47.2</v>
      </c>
      <c r="AE270" t="n">
        <v>65</v>
      </c>
      <c r="AF270" t="n">
        <v>12.7</v>
      </c>
      <c r="AG270" t="inlineStr">
        <is>
          <t>1:12.7</t>
        </is>
      </c>
      <c r="AH270" t="inlineStr">
        <is>
          <t>14%</t>
        </is>
      </c>
      <c r="AI270" t="inlineStr"/>
      <c r="AJ270" t="n">
        <v>42.7</v>
      </c>
    </row>
    <row r="271">
      <c r="A271" t="inlineStr">
        <is>
          <t>Clemson University</t>
        </is>
      </c>
      <c r="B271" t="inlineStr">
        <is>
          <t>United States</t>
        </is>
      </c>
      <c r="C271" t="inlineStr">
        <is>
          <t>951-1000</t>
        </is>
      </c>
      <c r="D271" t="inlineStr"/>
      <c r="E271" t="n">
        <v>7.3</v>
      </c>
      <c r="F271" t="n">
        <v>7</v>
      </c>
      <c r="G271" t="n">
        <v>12.6</v>
      </c>
      <c r="H271" t="n">
        <v>15.2</v>
      </c>
      <c r="I271" t="n">
        <v>11.6</v>
      </c>
      <c r="J271" t="n">
        <v>5.2</v>
      </c>
      <c r="K271" t="n">
        <v>78.5</v>
      </c>
      <c r="L271" t="n">
        <v>7.7</v>
      </c>
      <c r="M271" t="n">
        <v>12.3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951</v>
      </c>
      <c r="Z271" t="inlineStr"/>
      <c r="AA271" t="inlineStr"/>
      <c r="AB271" t="inlineStr">
        <is>
          <t>U0270</t>
        </is>
      </c>
      <c r="AC271" t="inlineStr">
        <is>
          <t>UN</t>
        </is>
      </c>
      <c r="AD271" t="inlineStr"/>
      <c r="AE271" t="n">
        <v>15.2</v>
      </c>
      <c r="AF271" t="inlineStr"/>
      <c r="AG271" t="inlineStr"/>
      <c r="AH271" t="inlineStr"/>
      <c r="AI271" t="n">
        <v>7.3</v>
      </c>
      <c r="AJ271" t="n">
        <v>17.99</v>
      </c>
    </row>
    <row r="272">
      <c r="A272" t="inlineStr">
        <is>
          <t>Cleveland State University</t>
        </is>
      </c>
      <c r="B272" t="inlineStr">
        <is>
          <t>United States</t>
        </is>
      </c>
      <c r="C272" t="inlineStr">
        <is>
          <t>1201-1400</t>
        </is>
      </c>
      <c r="D272" t="inlineStr"/>
      <c r="E272" t="n">
        <v>4.1</v>
      </c>
      <c r="F272" t="n">
        <v>3.1</v>
      </c>
      <c r="G272" t="n">
        <v>9.199999999999999</v>
      </c>
      <c r="H272" t="n">
        <v>4</v>
      </c>
      <c r="I272" t="n">
        <v>4</v>
      </c>
      <c r="J272" t="n">
        <v>26.2</v>
      </c>
      <c r="K272" t="n">
        <v>16.7</v>
      </c>
      <c r="L272" t="n">
        <v>7.3</v>
      </c>
      <c r="M272" t="n">
        <v>1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1201</v>
      </c>
      <c r="Z272" t="inlineStr"/>
      <c r="AA272" t="inlineStr"/>
      <c r="AB272" t="inlineStr">
        <is>
          <t>U0271</t>
        </is>
      </c>
      <c r="AC272" t="inlineStr">
        <is>
          <t>UN</t>
        </is>
      </c>
      <c r="AD272" t="inlineStr"/>
      <c r="AE272" t="n">
        <v>4</v>
      </c>
      <c r="AF272" t="inlineStr"/>
      <c r="AG272" t="inlineStr"/>
      <c r="AH272" t="inlineStr"/>
      <c r="AI272" t="n">
        <v>4.1</v>
      </c>
      <c r="AJ272" t="n">
        <v>14.6</v>
      </c>
    </row>
    <row r="273">
      <c r="A273" t="inlineStr">
        <is>
          <t>Cochin University of Science and Technology</t>
        </is>
      </c>
      <c r="B273" t="inlineStr">
        <is>
          <t>India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1201–1500</t>
        </is>
      </c>
      <c r="O273" t="inlineStr">
        <is>
          <t>22.8–28.2</t>
        </is>
      </c>
      <c r="P273" t="n">
        <v>37.6</v>
      </c>
      <c r="Q273" t="n">
        <v>20</v>
      </c>
      <c r="R273" t="n">
        <v>25.4</v>
      </c>
      <c r="S273" t="n">
        <v>45.6</v>
      </c>
      <c r="T273" t="n">
        <v>20.2</v>
      </c>
      <c r="U273" t="inlineStr">
        <is>
          <t>4,136</t>
        </is>
      </c>
      <c r="V273" t="n">
        <v>16.2</v>
      </c>
      <c r="W273" t="inlineStr">
        <is>
          <t>1%</t>
        </is>
      </c>
      <c r="X273" t="inlineStr">
        <is>
          <t>60 : 40</t>
        </is>
      </c>
      <c r="Y273" t="inlineStr"/>
      <c r="Z273" t="n">
        <v>1201</v>
      </c>
      <c r="AA273" t="n">
        <v>25.5</v>
      </c>
      <c r="AB273" t="inlineStr">
        <is>
          <t>U0272</t>
        </is>
      </c>
      <c r="AC273" t="inlineStr">
        <is>
          <t>IN</t>
        </is>
      </c>
      <c r="AD273" t="n">
        <v>25.5</v>
      </c>
      <c r="AE273" t="n">
        <v>25.4</v>
      </c>
      <c r="AF273" t="n">
        <v>16.2</v>
      </c>
      <c r="AG273" t="inlineStr">
        <is>
          <t>1:16.2</t>
        </is>
      </c>
      <c r="AH273" t="inlineStr">
        <is>
          <t>1%</t>
        </is>
      </c>
      <c r="AI273" t="inlineStr"/>
      <c r="AJ273" t="n">
        <v>16.46</v>
      </c>
    </row>
    <row r="274">
      <c r="A274" t="inlineStr">
        <is>
          <t>École Centrale de Lyon</t>
        </is>
      </c>
      <c r="B274" t="inlineStr">
        <is>
          <t>France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601–800</t>
        </is>
      </c>
      <c r="O274" t="inlineStr">
        <is>
          <t>37.0–41.8</t>
        </is>
      </c>
      <c r="P274" t="n">
        <v>36</v>
      </c>
      <c r="Q274" t="n">
        <v>25.7</v>
      </c>
      <c r="R274" t="n">
        <v>32.6</v>
      </c>
      <c r="S274" t="n">
        <v>82.5</v>
      </c>
      <c r="T274" t="n">
        <v>79.2</v>
      </c>
      <c r="U274" t="inlineStr">
        <is>
          <t>2,286</t>
        </is>
      </c>
      <c r="V274" t="n">
        <v>16.4</v>
      </c>
      <c r="W274" t="inlineStr">
        <is>
          <t>24%</t>
        </is>
      </c>
      <c r="X274" t="inlineStr">
        <is>
          <t>27 : 73</t>
        </is>
      </c>
      <c r="Y274" t="inlineStr"/>
      <c r="Z274" t="n">
        <v>601</v>
      </c>
      <c r="AA274" t="n">
        <v>39.4</v>
      </c>
      <c r="AB274" t="inlineStr">
        <is>
          <t>U0273</t>
        </is>
      </c>
      <c r="AC274" t="inlineStr">
        <is>
          <t>FR</t>
        </is>
      </c>
      <c r="AD274" t="n">
        <v>39.4</v>
      </c>
      <c r="AE274" t="n">
        <v>32.6</v>
      </c>
      <c r="AF274" t="n">
        <v>16.4</v>
      </c>
      <c r="AG274" t="inlineStr">
        <is>
          <t>1:16.4</t>
        </is>
      </c>
      <c r="AH274" t="inlineStr">
        <is>
          <t>24%</t>
        </is>
      </c>
      <c r="AI274" t="inlineStr"/>
      <c r="AJ274" t="n">
        <v>35.89</v>
      </c>
    </row>
    <row r="275">
      <c r="A275" t="inlineStr">
        <is>
          <t>École des Mines de Saint-Étienne</t>
        </is>
      </c>
      <c r="B275" t="inlineStr">
        <is>
          <t>France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601–800</t>
        </is>
      </c>
      <c r="O275" t="inlineStr">
        <is>
          <t>37.0–41.8</t>
        </is>
      </c>
      <c r="P275" t="n">
        <v>44.3</v>
      </c>
      <c r="Q275" t="n">
        <v>31.4</v>
      </c>
      <c r="R275" t="n">
        <v>34.5</v>
      </c>
      <c r="S275" t="n">
        <v>77.3</v>
      </c>
      <c r="T275" t="n">
        <v>70.59999999999999</v>
      </c>
      <c r="U275" t="inlineStr">
        <is>
          <t>1,089</t>
        </is>
      </c>
      <c r="V275" t="n">
        <v>9.800000000000001</v>
      </c>
      <c r="W275" t="inlineStr">
        <is>
          <t>24%</t>
        </is>
      </c>
      <c r="X275" t="inlineStr">
        <is>
          <t>27 : 73</t>
        </is>
      </c>
      <c r="Y275" t="inlineStr"/>
      <c r="Z275" t="n">
        <v>601</v>
      </c>
      <c r="AA275" t="n">
        <v>39.4</v>
      </c>
      <c r="AB275" t="inlineStr">
        <is>
          <t>U0274</t>
        </is>
      </c>
      <c r="AC275" t="inlineStr">
        <is>
          <t>FR</t>
        </is>
      </c>
      <c r="AD275" t="n">
        <v>39.4</v>
      </c>
      <c r="AE275" t="n">
        <v>34.5</v>
      </c>
      <c r="AF275" t="n">
        <v>9.800000000000001</v>
      </c>
      <c r="AG275" t="inlineStr">
        <is>
          <t>1:9.8</t>
        </is>
      </c>
      <c r="AH275" t="inlineStr">
        <is>
          <t>24%</t>
        </is>
      </c>
      <c r="AI275" t="inlineStr"/>
      <c r="AJ275" t="n">
        <v>37.38</v>
      </c>
    </row>
    <row r="276">
      <c r="A276" t="inlineStr">
        <is>
          <t>École des Ponts ParisTech</t>
        </is>
      </c>
      <c r="B276" t="inlineStr">
        <is>
          <t>France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401–500</t>
        </is>
      </c>
      <c r="O276" t="inlineStr">
        <is>
          <t>45.4–49.0</t>
        </is>
      </c>
      <c r="P276" t="n">
        <v>43.9</v>
      </c>
      <c r="Q276" t="n">
        <v>30.3</v>
      </c>
      <c r="R276" t="n">
        <v>55.7</v>
      </c>
      <c r="S276" t="n">
        <v>87.2</v>
      </c>
      <c r="T276" t="n">
        <v>82.7</v>
      </c>
      <c r="U276" t="inlineStr">
        <is>
          <t>1,992</t>
        </is>
      </c>
      <c r="V276" t="n">
        <v>8.699999999999999</v>
      </c>
      <c r="W276" t="inlineStr">
        <is>
          <t>39%</t>
        </is>
      </c>
      <c r="X276" t="inlineStr">
        <is>
          <t>31 : 69</t>
        </is>
      </c>
      <c r="Y276" t="inlineStr"/>
      <c r="Z276" t="n">
        <v>401</v>
      </c>
      <c r="AA276" t="n">
        <v>47.2</v>
      </c>
      <c r="AB276" t="inlineStr">
        <is>
          <t>U0275</t>
        </is>
      </c>
      <c r="AC276" t="inlineStr">
        <is>
          <t>FR</t>
        </is>
      </c>
      <c r="AD276" t="n">
        <v>47.2</v>
      </c>
      <c r="AE276" t="n">
        <v>55.7</v>
      </c>
      <c r="AF276" t="n">
        <v>8.699999999999999</v>
      </c>
      <c r="AG276" t="inlineStr">
        <is>
          <t>1:8.7</t>
        </is>
      </c>
      <c r="AH276" t="inlineStr">
        <is>
          <t>39%</t>
        </is>
      </c>
      <c r="AI276" t="inlineStr"/>
      <c r="AJ276" t="n">
        <v>46.15</v>
      </c>
    </row>
    <row r="277">
      <c r="A277" t="inlineStr">
        <is>
          <t>École Nationale des Travaux Publics de l'État (ENTPE)</t>
        </is>
      </c>
      <c r="B277" t="inlineStr">
        <is>
          <t>France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601–800</t>
        </is>
      </c>
      <c r="O277" t="inlineStr">
        <is>
          <t>37.0–41.8</t>
        </is>
      </c>
      <c r="P277" t="n">
        <v>32.1</v>
      </c>
      <c r="Q277" t="n">
        <v>37</v>
      </c>
      <c r="R277" t="n">
        <v>31.3</v>
      </c>
      <c r="S277" t="n">
        <v>80.8</v>
      </c>
      <c r="T277" t="n">
        <v>67.7</v>
      </c>
      <c r="U277" t="inlineStr">
        <is>
          <t>800</t>
        </is>
      </c>
      <c r="V277" t="n">
        <v>14.8</v>
      </c>
      <c r="W277" t="inlineStr">
        <is>
          <t>14%</t>
        </is>
      </c>
      <c r="X277" t="inlineStr">
        <is>
          <t>42 : 58</t>
        </is>
      </c>
      <c r="Y277" t="inlineStr"/>
      <c r="Z277" t="n">
        <v>601</v>
      </c>
      <c r="AA277" t="n">
        <v>39.4</v>
      </c>
      <c r="AB277" t="inlineStr">
        <is>
          <t>U0276</t>
        </is>
      </c>
      <c r="AC277" t="inlineStr">
        <is>
          <t>FR</t>
        </is>
      </c>
      <c r="AD277" t="n">
        <v>39.4</v>
      </c>
      <c r="AE277" t="n">
        <v>31.3</v>
      </c>
      <c r="AF277" t="n">
        <v>14.8</v>
      </c>
      <c r="AG277" t="inlineStr">
        <is>
          <t>1:14.8</t>
        </is>
      </c>
      <c r="AH277" t="inlineStr">
        <is>
          <t>14%</t>
        </is>
      </c>
      <c r="AI277" t="inlineStr"/>
      <c r="AJ277" t="n">
        <v>38.64</v>
      </c>
    </row>
    <row r="278">
      <c r="A278" t="inlineStr">
        <is>
          <t>École Normale Supérieure de Lyon</t>
        </is>
      </c>
      <c r="B278" t="inlineStr">
        <is>
          <t>France</t>
        </is>
      </c>
      <c r="C278" t="inlineStr">
        <is>
          <t>187</t>
        </is>
      </c>
      <c r="D278" t="n">
        <v>47.5</v>
      </c>
      <c r="E278" t="n">
        <v>29.8</v>
      </c>
      <c r="F278" t="n">
        <v>16.3</v>
      </c>
      <c r="G278" t="n">
        <v>97</v>
      </c>
      <c r="H278" t="n">
        <v>93.5</v>
      </c>
      <c r="I278" t="n">
        <v>59</v>
      </c>
      <c r="J278" t="n">
        <v>11.7</v>
      </c>
      <c r="K278" t="n">
        <v>70.3</v>
      </c>
      <c r="L278" t="n">
        <v>14</v>
      </c>
      <c r="M278" t="n">
        <v>6.6</v>
      </c>
      <c r="N278" t="inlineStr">
        <is>
          <t>251–300</t>
        </is>
      </c>
      <c r="O278" t="inlineStr">
        <is>
          <t>53.1–55.8</t>
        </is>
      </c>
      <c r="P278" t="n">
        <v>58.5</v>
      </c>
      <c r="Q278" t="n">
        <v>46.8</v>
      </c>
      <c r="R278" t="n">
        <v>53.9</v>
      </c>
      <c r="S278" t="n">
        <v>78.5</v>
      </c>
      <c r="T278" t="n">
        <v>68</v>
      </c>
      <c r="U278" t="inlineStr">
        <is>
          <t>2,024</t>
        </is>
      </c>
      <c r="V278" t="n">
        <v>7.9</v>
      </c>
      <c r="W278" t="inlineStr">
        <is>
          <t>11%</t>
        </is>
      </c>
      <c r="X278" t="inlineStr">
        <is>
          <t>43 : 57</t>
        </is>
      </c>
      <c r="Y278" t="n">
        <v>187</v>
      </c>
      <c r="Z278" t="n">
        <v>251</v>
      </c>
      <c r="AA278" t="n">
        <v>54.45</v>
      </c>
      <c r="AB278" t="inlineStr">
        <is>
          <t>U0277</t>
        </is>
      </c>
      <c r="AC278" t="inlineStr">
        <is>
          <t>FR</t>
        </is>
      </c>
      <c r="AD278" t="n">
        <v>47.5</v>
      </c>
      <c r="AE278" t="n">
        <v>93.5</v>
      </c>
      <c r="AF278" t="n">
        <v>7.9</v>
      </c>
      <c r="AG278" t="inlineStr">
        <is>
          <t>1:7.9</t>
        </is>
      </c>
      <c r="AH278" t="inlineStr">
        <is>
          <t>11%</t>
        </is>
      </c>
      <c r="AI278" t="n">
        <v>29.8</v>
      </c>
      <c r="AJ278" t="n">
        <v>62.7</v>
      </c>
    </row>
    <row r="279">
      <c r="A279" t="inlineStr">
        <is>
          <t>École Polytechnique Fédérale de Lausanne</t>
        </is>
      </c>
      <c r="B279" t="inlineStr">
        <is>
          <t>Switzerland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33</t>
        </is>
      </c>
      <c r="O279" t="inlineStr">
        <is>
          <t>81.4</t>
        </is>
      </c>
      <c r="P279" t="n">
        <v>74.5</v>
      </c>
      <c r="Q279" t="n">
        <v>73.2</v>
      </c>
      <c r="R279" t="n">
        <v>90.3</v>
      </c>
      <c r="S279" t="n">
        <v>99.8</v>
      </c>
      <c r="T279" t="n">
        <v>95.8</v>
      </c>
      <c r="U279" t="inlineStr">
        <is>
          <t>12,543</t>
        </is>
      </c>
      <c r="V279" t="n">
        <v>13.5</v>
      </c>
      <c r="W279" t="inlineStr">
        <is>
          <t>64%</t>
        </is>
      </c>
      <c r="X279" t="inlineStr">
        <is>
          <t>30 : 70</t>
        </is>
      </c>
      <c r="Y279" t="inlineStr"/>
      <c r="Z279" t="n">
        <v>33</v>
      </c>
      <c r="AA279" t="n">
        <v>81.40000000000001</v>
      </c>
      <c r="AB279" t="inlineStr">
        <is>
          <t>U0278</t>
        </is>
      </c>
      <c r="AC279" t="inlineStr">
        <is>
          <t>SW</t>
        </is>
      </c>
      <c r="AD279" t="n">
        <v>81.40000000000001</v>
      </c>
      <c r="AE279" t="n">
        <v>90.3</v>
      </c>
      <c r="AF279" t="n">
        <v>13.5</v>
      </c>
      <c r="AG279" t="inlineStr">
        <is>
          <t>1:13.5</t>
        </is>
      </c>
      <c r="AH279" t="inlineStr">
        <is>
          <t>64%</t>
        </is>
      </c>
      <c r="AI279" t="inlineStr"/>
      <c r="AJ279" t="n">
        <v>82.29000000000001</v>
      </c>
    </row>
    <row r="280">
      <c r="A280" t="inlineStr">
        <is>
          <t>Colegio de México</t>
        </is>
      </c>
      <c r="B280" t="inlineStr">
        <is>
          <t>Mexico</t>
        </is>
      </c>
      <c r="C280" t="inlineStr">
        <is>
          <t>771-780</t>
        </is>
      </c>
      <c r="D280" t="inlineStr"/>
      <c r="E280" t="n">
        <v>14.9</v>
      </c>
      <c r="F280" t="n">
        <v>2.5</v>
      </c>
      <c r="G280" t="n">
        <v>100</v>
      </c>
      <c r="H280" t="n">
        <v>1.7</v>
      </c>
      <c r="I280" t="n">
        <v>8.5</v>
      </c>
      <c r="J280" t="n">
        <v>16.4</v>
      </c>
      <c r="K280" t="n">
        <v>9.6</v>
      </c>
      <c r="L280" t="n">
        <v>3.2</v>
      </c>
      <c r="M280" t="n">
        <v>1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771</v>
      </c>
      <c r="Z280" t="inlineStr"/>
      <c r="AA280" t="inlineStr"/>
      <c r="AB280" t="inlineStr">
        <is>
          <t>U0279</t>
        </is>
      </c>
      <c r="AC280" t="inlineStr">
        <is>
          <t>ME</t>
        </is>
      </c>
      <c r="AD280" t="inlineStr"/>
      <c r="AE280" t="n">
        <v>1.7</v>
      </c>
      <c r="AF280" t="inlineStr"/>
      <c r="AG280" t="inlineStr"/>
      <c r="AH280" t="inlineStr"/>
      <c r="AI280" t="n">
        <v>14.9</v>
      </c>
      <c r="AJ280" t="n">
        <v>13.9</v>
      </c>
    </row>
    <row r="281">
      <c r="A281" t="inlineStr">
        <is>
          <t>College of Charleston</t>
        </is>
      </c>
      <c r="B281" t="inlineStr">
        <is>
          <t>United States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1501+</t>
        </is>
      </c>
      <c r="O281" t="inlineStr">
        <is>
          <t>9.7–22.7</t>
        </is>
      </c>
      <c r="P281" t="n">
        <v>17.4</v>
      </c>
      <c r="Q281" t="n">
        <v>7.9</v>
      </c>
      <c r="R281" t="n">
        <v>30.4</v>
      </c>
      <c r="S281" t="n">
        <v>23.2</v>
      </c>
      <c r="T281" t="n">
        <v>29.8</v>
      </c>
      <c r="U281" t="inlineStr">
        <is>
          <t>9,986</t>
        </is>
      </c>
      <c r="V281" t="n">
        <v>16.3</v>
      </c>
      <c r="W281" t="inlineStr">
        <is>
          <t>1%</t>
        </is>
      </c>
      <c r="X281" t="inlineStr">
        <is>
          <t>68 : 32</t>
        </is>
      </c>
      <c r="Y281" t="inlineStr"/>
      <c r="Z281" t="n">
        <v>1501</v>
      </c>
      <c r="AA281" t="n">
        <v>16.2</v>
      </c>
      <c r="AB281" t="inlineStr">
        <is>
          <t>U0280</t>
        </is>
      </c>
      <c r="AC281" t="inlineStr">
        <is>
          <t>UN</t>
        </is>
      </c>
      <c r="AD281" t="n">
        <v>16.2</v>
      </c>
      <c r="AE281" t="n">
        <v>30.4</v>
      </c>
      <c r="AF281" t="n">
        <v>16.3</v>
      </c>
      <c r="AG281" t="inlineStr">
        <is>
          <t>1:16.3</t>
        </is>
      </c>
      <c r="AH281" t="inlineStr">
        <is>
          <t>1%</t>
        </is>
      </c>
      <c r="AI281" t="inlineStr"/>
      <c r="AJ281" t="n">
        <v>13.95</v>
      </c>
    </row>
    <row r="282">
      <c r="A282" t="inlineStr">
        <is>
          <t>College of William and Mary</t>
        </is>
      </c>
      <c r="B282" t="inlineStr">
        <is>
          <t>United States</t>
        </is>
      </c>
      <c r="C282" t="inlineStr">
        <is>
          <t>1001-1200</t>
        </is>
      </c>
      <c r="D282" t="inlineStr"/>
      <c r="E282" t="n">
        <v>8.1</v>
      </c>
      <c r="F282" t="n">
        <v>9.1</v>
      </c>
      <c r="G282" t="n">
        <v>20.9</v>
      </c>
      <c r="H282" t="n">
        <v>11.4</v>
      </c>
      <c r="I282" t="n">
        <v>6.3</v>
      </c>
      <c r="J282" t="n">
        <v>5.4</v>
      </c>
      <c r="K282" t="n">
        <v>33.1</v>
      </c>
      <c r="L282" t="n">
        <v>23.7</v>
      </c>
      <c r="M282" t="n">
        <v>4.3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1001</v>
      </c>
      <c r="Z282" t="inlineStr"/>
      <c r="AA282" t="inlineStr"/>
      <c r="AB282" t="inlineStr">
        <is>
          <t>U0281</t>
        </is>
      </c>
      <c r="AC282" t="inlineStr">
        <is>
          <t>UN</t>
        </is>
      </c>
      <c r="AD282" t="inlineStr"/>
      <c r="AE282" t="n">
        <v>11.4</v>
      </c>
      <c r="AF282" t="inlineStr"/>
      <c r="AG282" t="inlineStr"/>
      <c r="AH282" t="inlineStr"/>
      <c r="AI282" t="n">
        <v>8.1</v>
      </c>
      <c r="AJ282" t="n">
        <v>16.84</v>
      </c>
    </row>
    <row r="283">
      <c r="A283" t="inlineStr">
        <is>
          <t>Colorado School of Mines</t>
        </is>
      </c>
      <c r="B283" t="inlineStr">
        <is>
          <t>United States</t>
        </is>
      </c>
      <c r="C283" t="inlineStr">
        <is>
          <t>501</t>
        </is>
      </c>
      <c r="D283" t="n">
        <v>24.1</v>
      </c>
      <c r="E283" t="n">
        <v>6.8</v>
      </c>
      <c r="F283" t="n">
        <v>12.5</v>
      </c>
      <c r="G283" t="n">
        <v>15.8</v>
      </c>
      <c r="H283" t="n">
        <v>72</v>
      </c>
      <c r="I283" t="n">
        <v>29.7</v>
      </c>
      <c r="J283" t="n">
        <v>7.4</v>
      </c>
      <c r="K283" t="n">
        <v>30.9</v>
      </c>
      <c r="L283" t="n">
        <v>17.7</v>
      </c>
      <c r="M283" t="n">
        <v>18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501</v>
      </c>
      <c r="Z283" t="inlineStr"/>
      <c r="AA283" t="inlineStr"/>
      <c r="AB283" t="inlineStr">
        <is>
          <t>U0282</t>
        </is>
      </c>
      <c r="AC283" t="inlineStr">
        <is>
          <t>UN</t>
        </is>
      </c>
      <c r="AD283" t="n">
        <v>24.1</v>
      </c>
      <c r="AE283" t="n">
        <v>72</v>
      </c>
      <c r="AF283" t="inlineStr"/>
      <c r="AG283" t="inlineStr"/>
      <c r="AH283" t="inlineStr"/>
      <c r="AI283" t="n">
        <v>6.8</v>
      </c>
      <c r="AJ283" t="n">
        <v>35.21</v>
      </c>
    </row>
    <row r="284">
      <c r="A284" t="inlineStr">
        <is>
          <t>Colorado State University</t>
        </is>
      </c>
      <c r="B284" t="inlineStr">
        <is>
          <t>United States</t>
        </is>
      </c>
      <c r="C284" t="inlineStr">
        <is>
          <t>442</t>
        </is>
      </c>
      <c r="D284" t="n">
        <v>26.8</v>
      </c>
      <c r="E284" t="n">
        <v>18.3</v>
      </c>
      <c r="F284" t="n">
        <v>20.4</v>
      </c>
      <c r="G284" t="n">
        <v>60.9</v>
      </c>
      <c r="H284" t="n">
        <v>17.1</v>
      </c>
      <c r="I284" t="n">
        <v>18.5</v>
      </c>
      <c r="J284" t="n">
        <v>3.7</v>
      </c>
      <c r="K284" t="n">
        <v>78.40000000000001</v>
      </c>
      <c r="L284" t="n">
        <v>22.2</v>
      </c>
      <c r="M284" t="n">
        <v>70.90000000000001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442</v>
      </c>
      <c r="Z284" t="inlineStr"/>
      <c r="AA284" t="inlineStr"/>
      <c r="AB284" t="inlineStr">
        <is>
          <t>U0283</t>
        </is>
      </c>
      <c r="AC284" t="inlineStr">
        <is>
          <t>UN</t>
        </is>
      </c>
      <c r="AD284" t="n">
        <v>26.8</v>
      </c>
      <c r="AE284" t="n">
        <v>17.1</v>
      </c>
      <c r="AF284" t="inlineStr"/>
      <c r="AG284" t="inlineStr"/>
      <c r="AH284" t="inlineStr"/>
      <c r="AI284" t="n">
        <v>18.3</v>
      </c>
      <c r="AJ284" t="n">
        <v>18.57</v>
      </c>
    </row>
    <row r="285">
      <c r="A285" t="inlineStr">
        <is>
          <t>Colorado State University, Fort Collins</t>
        </is>
      </c>
      <c r="B285" t="inlineStr">
        <is>
          <t>United States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401–500</t>
        </is>
      </c>
      <c r="O285" t="inlineStr">
        <is>
          <t>45.4–49.0</t>
        </is>
      </c>
      <c r="P285" t="n">
        <v>33.4</v>
      </c>
      <c r="Q285" t="n">
        <v>31.7</v>
      </c>
      <c r="R285" t="n">
        <v>74.40000000000001</v>
      </c>
      <c r="S285" t="n">
        <v>69.40000000000001</v>
      </c>
      <c r="T285" t="n">
        <v>46.6</v>
      </c>
      <c r="U285" t="inlineStr">
        <is>
          <t>27,786</t>
        </is>
      </c>
      <c r="V285" t="n">
        <v>16.2</v>
      </c>
      <c r="W285" t="inlineStr">
        <is>
          <t>5%</t>
        </is>
      </c>
      <c r="X285" t="inlineStr">
        <is>
          <t>56 : 44</t>
        </is>
      </c>
      <c r="Y285" t="inlineStr"/>
      <c r="Z285" t="n">
        <v>401</v>
      </c>
      <c r="AA285" t="n">
        <v>47.2</v>
      </c>
      <c r="AB285" t="inlineStr">
        <is>
          <t>U0284</t>
        </is>
      </c>
      <c r="AC285" t="inlineStr">
        <is>
          <t>UN</t>
        </is>
      </c>
      <c r="AD285" t="n">
        <v>47.2</v>
      </c>
      <c r="AE285" t="n">
        <v>74.40000000000001</v>
      </c>
      <c r="AF285" t="n">
        <v>16.2</v>
      </c>
      <c r="AG285" t="inlineStr">
        <is>
          <t>1:16.2</t>
        </is>
      </c>
      <c r="AH285" t="inlineStr">
        <is>
          <t>5%</t>
        </is>
      </c>
      <c r="AI285" t="inlineStr"/>
      <c r="AJ285" t="n">
        <v>43.82</v>
      </c>
    </row>
    <row r="286">
      <c r="A286" t="inlineStr">
        <is>
          <t>Columbia University</t>
        </is>
      </c>
      <c r="B286" t="inlineStr">
        <is>
          <t>United States</t>
        </is>
      </c>
      <c r="C286" t="inlineStr">
        <is>
          <t>34</t>
        </is>
      </c>
      <c r="D286" t="n">
        <v>82</v>
      </c>
      <c r="E286" t="n">
        <v>99.59999999999999</v>
      </c>
      <c r="F286" t="n">
        <v>98.8</v>
      </c>
      <c r="G286" t="n">
        <v>100</v>
      </c>
      <c r="H286" t="n">
        <v>31.7</v>
      </c>
      <c r="I286" t="n">
        <v>41.5</v>
      </c>
      <c r="J286" t="n">
        <v>97</v>
      </c>
      <c r="K286" t="n">
        <v>98.5</v>
      </c>
      <c r="L286" t="n">
        <v>99.90000000000001</v>
      </c>
      <c r="M286" t="n">
        <v>71.8</v>
      </c>
      <c r="N286" t="inlineStr">
        <is>
          <t>17</t>
        </is>
      </c>
      <c r="O286" t="inlineStr">
        <is>
          <t>90.9</t>
        </is>
      </c>
      <c r="P286" t="n">
        <v>88.59999999999999</v>
      </c>
      <c r="Q286" t="n">
        <v>89.7</v>
      </c>
      <c r="R286" t="n">
        <v>97.40000000000001</v>
      </c>
      <c r="S286" t="n">
        <v>75.2</v>
      </c>
      <c r="T286" t="n">
        <v>86.90000000000001</v>
      </c>
      <c r="U286" t="inlineStr">
        <is>
          <t>25,914</t>
        </is>
      </c>
      <c r="V286" t="n">
        <v>5.2</v>
      </c>
      <c r="W286" t="inlineStr">
        <is>
          <t>35%</t>
        </is>
      </c>
      <c r="X286" t="inlineStr"/>
      <c r="Y286" t="n">
        <v>34</v>
      </c>
      <c r="Z286" t="n">
        <v>17</v>
      </c>
      <c r="AA286" t="n">
        <v>90.90000000000001</v>
      </c>
      <c r="AB286" t="inlineStr">
        <is>
          <t>U0285</t>
        </is>
      </c>
      <c r="AC286" t="inlineStr">
        <is>
          <t>UN</t>
        </is>
      </c>
      <c r="AD286" t="n">
        <v>82</v>
      </c>
      <c r="AE286" t="n">
        <v>31.7</v>
      </c>
      <c r="AF286" t="n">
        <v>5.2</v>
      </c>
      <c r="AG286" t="inlineStr">
        <is>
          <t>1:5.2</t>
        </is>
      </c>
      <c r="AH286" t="inlineStr">
        <is>
          <t>35%</t>
        </is>
      </c>
      <c r="AI286" t="n">
        <v>99.59999999999999</v>
      </c>
      <c r="AJ286" t="n">
        <v>71.03</v>
      </c>
    </row>
    <row r="287">
      <c r="A287" t="inlineStr">
        <is>
          <t>Comenius University Bratislava</t>
        </is>
      </c>
      <c r="B287" t="inlineStr">
        <is>
          <t>Slovakia</t>
        </is>
      </c>
      <c r="C287" t="inlineStr">
        <is>
          <t>661-670</t>
        </is>
      </c>
      <c r="D287" t="inlineStr"/>
      <c r="E287" t="n">
        <v>12.8</v>
      </c>
      <c r="F287" t="n">
        <v>8.5</v>
      </c>
      <c r="G287" t="n">
        <v>56</v>
      </c>
      <c r="H287" t="n">
        <v>3.5</v>
      </c>
      <c r="I287" t="n">
        <v>3.8</v>
      </c>
      <c r="J287" t="n">
        <v>22.9</v>
      </c>
      <c r="K287" t="n">
        <v>60.2</v>
      </c>
      <c r="L287" t="n">
        <v>79.8</v>
      </c>
      <c r="M287" t="n">
        <v>5.1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661</v>
      </c>
      <c r="Z287" t="inlineStr"/>
      <c r="AA287" t="inlineStr"/>
      <c r="AB287" t="inlineStr">
        <is>
          <t>U0286</t>
        </is>
      </c>
      <c r="AC287" t="inlineStr">
        <is>
          <t>SL</t>
        </is>
      </c>
      <c r="AD287" t="inlineStr"/>
      <c r="AE287" t="n">
        <v>3.5</v>
      </c>
      <c r="AF287" t="inlineStr"/>
      <c r="AG287" t="inlineStr"/>
      <c r="AH287" t="inlineStr"/>
      <c r="AI287" t="n">
        <v>12.8</v>
      </c>
      <c r="AJ287" t="n">
        <v>14.45</v>
      </c>
    </row>
    <row r="288">
      <c r="A288" t="inlineStr">
        <is>
          <t>Comenius University in Bratislava</t>
        </is>
      </c>
      <c r="B288" t="inlineStr">
        <is>
          <t>Slovakia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1001–1200</t>
        </is>
      </c>
      <c r="O288" t="inlineStr">
        <is>
          <t>28.3–32.6</t>
        </is>
      </c>
      <c r="P288" t="n">
        <v>31.2</v>
      </c>
      <c r="Q288" t="n">
        <v>16.6</v>
      </c>
      <c r="R288" t="n">
        <v>41.8</v>
      </c>
      <c r="S288" t="n">
        <v>25</v>
      </c>
      <c r="T288" t="n">
        <v>52.6</v>
      </c>
      <c r="U288" t="inlineStr">
        <is>
          <t>21,812</t>
        </is>
      </c>
      <c r="V288" t="n">
        <v>10.5</v>
      </c>
      <c r="W288" t="inlineStr">
        <is>
          <t>15%</t>
        </is>
      </c>
      <c r="X288" t="inlineStr">
        <is>
          <t>65 : 35</t>
        </is>
      </c>
      <c r="Y288" t="inlineStr"/>
      <c r="Z288" t="n">
        <v>1001</v>
      </c>
      <c r="AA288" t="n">
        <v>30.45</v>
      </c>
      <c r="AB288" t="inlineStr">
        <is>
          <t>U0287</t>
        </is>
      </c>
      <c r="AC288" t="inlineStr">
        <is>
          <t>SL</t>
        </is>
      </c>
      <c r="AD288" t="n">
        <v>30.45</v>
      </c>
      <c r="AE288" t="n">
        <v>41.8</v>
      </c>
      <c r="AF288" t="n">
        <v>10.5</v>
      </c>
      <c r="AG288" t="inlineStr">
        <is>
          <t>1:10.5</t>
        </is>
      </c>
      <c r="AH288" t="inlineStr">
        <is>
          <t>15%</t>
        </is>
      </c>
      <c r="AI288" t="inlineStr"/>
      <c r="AJ288" t="n">
        <v>27.48</v>
      </c>
    </row>
    <row r="289">
      <c r="A289" t="inlineStr">
        <is>
          <t>Comillas Pontifical University</t>
        </is>
      </c>
      <c r="B289" t="inlineStr">
        <is>
          <t>Spain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1501+</t>
        </is>
      </c>
      <c r="O289" t="inlineStr">
        <is>
          <t>9.7–22.7</t>
        </is>
      </c>
      <c r="P289" t="n">
        <v>18.3</v>
      </c>
      <c r="Q289" t="n">
        <v>15.7</v>
      </c>
      <c r="R289" t="n">
        <v>26.3</v>
      </c>
      <c r="S289" t="n">
        <v>31.4</v>
      </c>
      <c r="T289" t="n">
        <v>44.2</v>
      </c>
      <c r="U289" t="inlineStr">
        <is>
          <t>9,765</t>
        </is>
      </c>
      <c r="V289" t="n">
        <v>21</v>
      </c>
      <c r="W289" t="inlineStr">
        <is>
          <t>7%</t>
        </is>
      </c>
      <c r="X289" t="inlineStr">
        <is>
          <t>55 : 45</t>
        </is>
      </c>
      <c r="Y289" t="inlineStr"/>
      <c r="Z289" t="n">
        <v>1501</v>
      </c>
      <c r="AA289" t="n">
        <v>16.2</v>
      </c>
      <c r="AB289" t="inlineStr">
        <is>
          <t>U0288</t>
        </is>
      </c>
      <c r="AC289" t="inlineStr">
        <is>
          <t>SP</t>
        </is>
      </c>
      <c r="AD289" t="n">
        <v>16.2</v>
      </c>
      <c r="AE289" t="n">
        <v>26.3</v>
      </c>
      <c r="AF289" t="n">
        <v>21</v>
      </c>
      <c r="AG289" t="inlineStr">
        <is>
          <t>1:21.0</t>
        </is>
      </c>
      <c r="AH289" t="inlineStr">
        <is>
          <t>7%</t>
        </is>
      </c>
      <c r="AI289" t="inlineStr"/>
      <c r="AJ289" t="n">
        <v>20.28</v>
      </c>
    </row>
    <row r="290">
      <c r="A290" t="inlineStr">
        <is>
          <t>Communication University of China</t>
        </is>
      </c>
      <c r="B290" t="inlineStr">
        <is>
          <t>China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1501+</t>
        </is>
      </c>
      <c r="O290" t="inlineStr">
        <is>
          <t>9.7–22.7</t>
        </is>
      </c>
      <c r="P290" t="n">
        <v>27.5</v>
      </c>
      <c r="Q290" t="n">
        <v>17.3</v>
      </c>
      <c r="R290" t="n">
        <v>15.5</v>
      </c>
      <c r="S290" t="n">
        <v>37.6</v>
      </c>
      <c r="T290" t="n">
        <v>23.4</v>
      </c>
      <c r="U290" t="inlineStr">
        <is>
          <t>17,316</t>
        </is>
      </c>
      <c r="V290" t="n">
        <v>15.3</v>
      </c>
      <c r="W290" t="inlineStr">
        <is>
          <t>3%</t>
        </is>
      </c>
      <c r="X290" t="inlineStr">
        <is>
          <t>70 : 30</t>
        </is>
      </c>
      <c r="Y290" t="inlineStr"/>
      <c r="Z290" t="n">
        <v>1501</v>
      </c>
      <c r="AA290" t="n">
        <v>16.2</v>
      </c>
      <c r="AB290" t="inlineStr">
        <is>
          <t>U0289</t>
        </is>
      </c>
      <c r="AC290" t="inlineStr">
        <is>
          <t>CH</t>
        </is>
      </c>
      <c r="AD290" t="n">
        <v>16.2</v>
      </c>
      <c r="AE290" t="n">
        <v>15.5</v>
      </c>
      <c r="AF290" t="n">
        <v>15.3</v>
      </c>
      <c r="AG290" t="inlineStr">
        <is>
          <t>1:15.3</t>
        </is>
      </c>
      <c r="AH290" t="inlineStr">
        <is>
          <t>3%</t>
        </is>
      </c>
      <c r="AI290" t="inlineStr"/>
      <c r="AJ290" t="n">
        <v>12.82</v>
      </c>
    </row>
    <row r="291">
      <c r="A291" t="inlineStr">
        <is>
          <t>Complutense University of Madrid</t>
        </is>
      </c>
      <c r="B291" t="inlineStr">
        <is>
          <t>Spain</t>
        </is>
      </c>
      <c r="C291" t="inlineStr">
        <is>
          <t>164</t>
        </is>
      </c>
      <c r="D291" t="n">
        <v>50.9</v>
      </c>
      <c r="E291" t="n">
        <v>68.09999999999999</v>
      </c>
      <c r="F291" t="n">
        <v>68.09999999999999</v>
      </c>
      <c r="G291" t="n">
        <v>28.7</v>
      </c>
      <c r="H291" t="n">
        <v>7.9</v>
      </c>
      <c r="I291" t="n">
        <v>10.5</v>
      </c>
      <c r="J291" t="n">
        <v>34.3</v>
      </c>
      <c r="K291" t="n">
        <v>91.8</v>
      </c>
      <c r="L291" t="n">
        <v>96.3</v>
      </c>
      <c r="M291" t="n">
        <v>88.90000000000001</v>
      </c>
      <c r="N291" t="inlineStr">
        <is>
          <t>501–600</t>
        </is>
      </c>
      <c r="O291" t="inlineStr">
        <is>
          <t>41.9–45.3</t>
        </is>
      </c>
      <c r="P291" t="n">
        <v>40.3</v>
      </c>
      <c r="Q291" t="n">
        <v>29.4</v>
      </c>
      <c r="R291" t="n">
        <v>58.8</v>
      </c>
      <c r="S291" t="n">
        <v>52.1</v>
      </c>
      <c r="T291" t="n">
        <v>46.7</v>
      </c>
      <c r="U291" t="inlineStr">
        <is>
          <t>59,814</t>
        </is>
      </c>
      <c r="V291" t="n">
        <v>11.8</v>
      </c>
      <c r="W291" t="inlineStr">
        <is>
          <t>10%</t>
        </is>
      </c>
      <c r="X291" t="inlineStr">
        <is>
          <t>62 : 38</t>
        </is>
      </c>
      <c r="Y291" t="n">
        <v>164</v>
      </c>
      <c r="Z291" t="n">
        <v>501</v>
      </c>
      <c r="AA291" t="n">
        <v>43.59999999999999</v>
      </c>
      <c r="AB291" t="inlineStr">
        <is>
          <t>U0290</t>
        </is>
      </c>
      <c r="AC291" t="inlineStr">
        <is>
          <t>SP</t>
        </is>
      </c>
      <c r="AD291" t="n">
        <v>50.9</v>
      </c>
      <c r="AE291" t="n">
        <v>7.9</v>
      </c>
      <c r="AF291" t="n">
        <v>11.8</v>
      </c>
      <c r="AG291" t="inlineStr">
        <is>
          <t>1:11.8</t>
        </is>
      </c>
      <c r="AH291" t="inlineStr">
        <is>
          <t>10%</t>
        </is>
      </c>
      <c r="AI291" t="n">
        <v>68.09999999999999</v>
      </c>
      <c r="AJ291" t="n">
        <v>22.49</v>
      </c>
    </row>
    <row r="292">
      <c r="A292" t="inlineStr">
        <is>
          <t>COMSATS University Islamabad</t>
        </is>
      </c>
      <c r="B292" t="inlineStr">
        <is>
          <t>Pakistan</t>
        </is>
      </c>
      <c r="C292" t="inlineStr">
        <is>
          <t>711-720</t>
        </is>
      </c>
      <c r="D292" t="inlineStr"/>
      <c r="E292" t="n">
        <v>11.7</v>
      </c>
      <c r="F292" t="n">
        <v>30.5</v>
      </c>
      <c r="G292" t="n">
        <v>13.4</v>
      </c>
      <c r="H292" t="n">
        <v>18.2</v>
      </c>
      <c r="I292" t="n">
        <v>1.5</v>
      </c>
      <c r="J292" t="n">
        <v>1.4</v>
      </c>
      <c r="K292" t="n">
        <v>88.3</v>
      </c>
      <c r="L292" t="n">
        <v>6.1</v>
      </c>
      <c r="M292" t="n">
        <v>14.6</v>
      </c>
      <c r="N292" t="inlineStr">
        <is>
          <t>601–800</t>
        </is>
      </c>
      <c r="O292" t="inlineStr">
        <is>
          <t>37.0–41.8</t>
        </is>
      </c>
      <c r="P292" t="n">
        <v>17.9</v>
      </c>
      <c r="Q292" t="n">
        <v>16.6</v>
      </c>
      <c r="R292" t="n">
        <v>88.2</v>
      </c>
      <c r="S292" t="n">
        <v>30.5</v>
      </c>
      <c r="T292" t="n">
        <v>50</v>
      </c>
      <c r="U292" t="inlineStr">
        <is>
          <t>34,323</t>
        </is>
      </c>
      <c r="V292" t="n">
        <v>16</v>
      </c>
      <c r="W292" t="inlineStr">
        <is>
          <t>1%</t>
        </is>
      </c>
      <c r="X292" t="inlineStr">
        <is>
          <t>42 : 58</t>
        </is>
      </c>
      <c r="Y292" t="n">
        <v>711</v>
      </c>
      <c r="Z292" t="n">
        <v>601</v>
      </c>
      <c r="AA292" t="n">
        <v>39.4</v>
      </c>
      <c r="AB292" t="inlineStr">
        <is>
          <t>U0291</t>
        </is>
      </c>
      <c r="AC292" t="inlineStr">
        <is>
          <t>PA</t>
        </is>
      </c>
      <c r="AD292" t="n">
        <v>39.4</v>
      </c>
      <c r="AE292" t="n">
        <v>18.2</v>
      </c>
      <c r="AF292" t="n">
        <v>16</v>
      </c>
      <c r="AG292" t="inlineStr">
        <is>
          <t>1:16.0</t>
        </is>
      </c>
      <c r="AH292" t="inlineStr">
        <is>
          <t>1%</t>
        </is>
      </c>
      <c r="AI292" t="n">
        <v>11.7</v>
      </c>
      <c r="AJ292" t="n">
        <v>19.7</v>
      </c>
    </row>
    <row r="293">
      <c r="A293" t="inlineStr">
        <is>
          <t>Concordia University</t>
        </is>
      </c>
      <c r="B293" t="inlineStr">
        <is>
          <t>Canada</t>
        </is>
      </c>
      <c r="C293" t="inlineStr">
        <is>
          <t>415</t>
        </is>
      </c>
      <c r="D293" t="n">
        <v>28.7</v>
      </c>
      <c r="E293" t="n">
        <v>15.8</v>
      </c>
      <c r="F293" t="n">
        <v>11.4</v>
      </c>
      <c r="G293" t="n">
        <v>3.3</v>
      </c>
      <c r="H293" t="n">
        <v>17.5</v>
      </c>
      <c r="I293" t="n">
        <v>87.40000000000001</v>
      </c>
      <c r="J293" t="n">
        <v>92.3</v>
      </c>
      <c r="K293" t="n">
        <v>73.8</v>
      </c>
      <c r="L293" t="n">
        <v>43.6</v>
      </c>
      <c r="M293" t="n">
        <v>89.8</v>
      </c>
      <c r="N293" t="inlineStr">
        <is>
          <t>501–600</t>
        </is>
      </c>
      <c r="O293" t="inlineStr">
        <is>
          <t>41.9–45.3</t>
        </is>
      </c>
      <c r="P293" t="n">
        <v>25.7</v>
      </c>
      <c r="Q293" t="n">
        <v>29.3</v>
      </c>
      <c r="R293" t="n">
        <v>66.2</v>
      </c>
      <c r="S293" t="n">
        <v>66.3</v>
      </c>
      <c r="T293" t="n">
        <v>86.59999999999999</v>
      </c>
      <c r="U293" t="inlineStr">
        <is>
          <t>36,749</t>
        </is>
      </c>
      <c r="V293" t="n">
        <v>34.6</v>
      </c>
      <c r="W293" t="inlineStr">
        <is>
          <t>34%</t>
        </is>
      </c>
      <c r="X293" t="inlineStr">
        <is>
          <t>50 : 50</t>
        </is>
      </c>
      <c r="Y293" t="n">
        <v>415</v>
      </c>
      <c r="Z293" t="n">
        <v>501</v>
      </c>
      <c r="AA293" t="n">
        <v>43.59999999999999</v>
      </c>
      <c r="AB293" t="inlineStr">
        <is>
          <t>U0292</t>
        </is>
      </c>
      <c r="AC293" t="inlineStr">
        <is>
          <t>CA</t>
        </is>
      </c>
      <c r="AD293" t="n">
        <v>28.7</v>
      </c>
      <c r="AE293" t="n">
        <v>17.5</v>
      </c>
      <c r="AF293" t="n">
        <v>34.6</v>
      </c>
      <c r="AG293" t="inlineStr">
        <is>
          <t>1:34.6</t>
        </is>
      </c>
      <c r="AH293" t="inlineStr">
        <is>
          <t>34%</t>
        </is>
      </c>
      <c r="AI293" t="n">
        <v>15.8</v>
      </c>
      <c r="AJ293" t="n">
        <v>35</v>
      </c>
    </row>
    <row r="294">
      <c r="A294" t="inlineStr">
        <is>
          <t>Constructor University Bremen</t>
        </is>
      </c>
      <c r="B294" t="inlineStr">
        <is>
          <t>Germany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401–500</t>
        </is>
      </c>
      <c r="O294" t="inlineStr">
        <is>
          <t>45.4–49.0</t>
        </is>
      </c>
      <c r="P294" t="n">
        <v>36.7</v>
      </c>
      <c r="Q294" t="n">
        <v>35.9</v>
      </c>
      <c r="R294" t="n">
        <v>48.9</v>
      </c>
      <c r="S294" t="n">
        <v>84.7</v>
      </c>
      <c r="T294" t="n">
        <v>93.5</v>
      </c>
      <c r="U294" t="inlineStr">
        <is>
          <t>1,534</t>
        </is>
      </c>
      <c r="V294" t="n">
        <v>22.1</v>
      </c>
      <c r="W294" t="inlineStr">
        <is>
          <t>83%</t>
        </is>
      </c>
      <c r="X294" t="inlineStr">
        <is>
          <t>42 : 58</t>
        </is>
      </c>
      <c r="Y294" t="inlineStr"/>
      <c r="Z294" t="n">
        <v>401</v>
      </c>
      <c r="AA294" t="n">
        <v>47.2</v>
      </c>
      <c r="AB294" t="inlineStr">
        <is>
          <t>U0293</t>
        </is>
      </c>
      <c r="AC294" t="inlineStr">
        <is>
          <t>GE</t>
        </is>
      </c>
      <c r="AD294" t="n">
        <v>47.2</v>
      </c>
      <c r="AE294" t="n">
        <v>48.9</v>
      </c>
      <c r="AF294" t="n">
        <v>22.1</v>
      </c>
      <c r="AG294" t="inlineStr">
        <is>
          <t>1:22.1</t>
        </is>
      </c>
      <c r="AH294" t="inlineStr">
        <is>
          <t>83%</t>
        </is>
      </c>
      <c r="AI294" t="inlineStr"/>
      <c r="AJ294" t="n">
        <v>49.64</v>
      </c>
    </row>
    <row r="295">
      <c r="A295" t="inlineStr">
        <is>
          <t>Copenhagen Business School</t>
        </is>
      </c>
      <c r="B295" t="inlineStr">
        <is>
          <t>Denmark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301–350</t>
        </is>
      </c>
      <c r="O295" t="inlineStr">
        <is>
          <t>51.1–53.0</t>
        </is>
      </c>
      <c r="P295" t="n">
        <v>21.1</v>
      </c>
      <c r="Q295" t="n">
        <v>32.3</v>
      </c>
      <c r="R295" t="n">
        <v>92.09999999999999</v>
      </c>
      <c r="S295" t="n">
        <v>43.8</v>
      </c>
      <c r="T295" t="n">
        <v>91.5</v>
      </c>
      <c r="U295" t="inlineStr">
        <is>
          <t>16,785</t>
        </is>
      </c>
      <c r="V295" t="n">
        <v>27.5</v>
      </c>
      <c r="W295" t="inlineStr">
        <is>
          <t>23%</t>
        </is>
      </c>
      <c r="X295" t="inlineStr">
        <is>
          <t>48 : 52</t>
        </is>
      </c>
      <c r="Y295" t="inlineStr"/>
      <c r="Z295" t="n">
        <v>301</v>
      </c>
      <c r="AA295" t="n">
        <v>52.05</v>
      </c>
      <c r="AB295" t="inlineStr">
        <is>
          <t>U0294</t>
        </is>
      </c>
      <c r="AC295" t="inlineStr">
        <is>
          <t>DE</t>
        </is>
      </c>
      <c r="AD295" t="n">
        <v>52.05</v>
      </c>
      <c r="AE295" t="n">
        <v>92.09999999999999</v>
      </c>
      <c r="AF295" t="n">
        <v>27.5</v>
      </c>
      <c r="AG295" t="inlineStr">
        <is>
          <t>1:27.5</t>
        </is>
      </c>
      <c r="AH295" t="inlineStr">
        <is>
          <t>23%</t>
        </is>
      </c>
      <c r="AI295" t="inlineStr"/>
      <c r="AJ295" t="n">
        <v>60.36</v>
      </c>
    </row>
    <row r="296">
      <c r="A296" t="inlineStr">
        <is>
          <t>Cornell University</t>
        </is>
      </c>
      <c r="B296" t="inlineStr">
        <is>
          <t>United States</t>
        </is>
      </c>
      <c r="C296" t="inlineStr">
        <is>
          <t>16</t>
        </is>
      </c>
      <c r="D296" t="n">
        <v>87.90000000000001</v>
      </c>
      <c r="E296" t="n">
        <v>98.3</v>
      </c>
      <c r="F296" t="n">
        <v>93.09999999999999</v>
      </c>
      <c r="G296" t="n">
        <v>52.7</v>
      </c>
      <c r="H296" t="n">
        <v>97.5</v>
      </c>
      <c r="I296" t="n">
        <v>54.2</v>
      </c>
      <c r="J296" t="n">
        <v>63.4</v>
      </c>
      <c r="K296" t="n">
        <v>94</v>
      </c>
      <c r="L296" t="n">
        <v>97.09999999999999</v>
      </c>
      <c r="M296" t="n">
        <v>72.09999999999999</v>
      </c>
      <c r="N296" t="inlineStr">
        <is>
          <t>20</t>
        </is>
      </c>
      <c r="O296" t="inlineStr">
        <is>
          <t>89.5</t>
        </is>
      </c>
      <c r="P296" t="n">
        <v>85.7</v>
      </c>
      <c r="Q296" t="n">
        <v>88.7</v>
      </c>
      <c r="R296" t="n">
        <v>97.59999999999999</v>
      </c>
      <c r="S296" t="n">
        <v>69.40000000000001</v>
      </c>
      <c r="T296" t="n">
        <v>86</v>
      </c>
      <c r="U296" t="inlineStr">
        <is>
          <t>23,620</t>
        </is>
      </c>
      <c r="V296" t="n">
        <v>10</v>
      </c>
      <c r="W296" t="inlineStr">
        <is>
          <t>24%</t>
        </is>
      </c>
      <c r="X296" t="inlineStr">
        <is>
          <t>51 : 49</t>
        </is>
      </c>
      <c r="Y296" t="n">
        <v>16</v>
      </c>
      <c r="Z296" t="n">
        <v>20</v>
      </c>
      <c r="AA296" t="n">
        <v>89.5</v>
      </c>
      <c r="AB296" t="inlineStr">
        <is>
          <t>U0295</t>
        </is>
      </c>
      <c r="AC296" t="inlineStr">
        <is>
          <t>UN</t>
        </is>
      </c>
      <c r="AD296" t="n">
        <v>87.90000000000001</v>
      </c>
      <c r="AE296" t="n">
        <v>97.5</v>
      </c>
      <c r="AF296" t="n">
        <v>10</v>
      </c>
      <c r="AG296" t="inlineStr">
        <is>
          <t>1:10.0</t>
        </is>
      </c>
      <c r="AH296" t="inlineStr">
        <is>
          <t>24%</t>
        </is>
      </c>
      <c r="AI296" t="n">
        <v>98.3</v>
      </c>
      <c r="AJ296" t="n">
        <v>90.22</v>
      </c>
    </row>
    <row r="297">
      <c r="A297" t="inlineStr">
        <is>
          <t>Corvinus University of Budapest</t>
        </is>
      </c>
      <c r="B297" t="inlineStr">
        <is>
          <t>Hungary</t>
        </is>
      </c>
      <c r="C297" t="inlineStr">
        <is>
          <t>1001-1200</t>
        </is>
      </c>
      <c r="D297" t="inlineStr"/>
      <c r="E297" t="n">
        <v>10.3</v>
      </c>
      <c r="F297" t="n">
        <v>21.6</v>
      </c>
      <c r="G297" t="n">
        <v>4.7</v>
      </c>
      <c r="H297" t="n">
        <v>3.1</v>
      </c>
      <c r="I297" t="n">
        <v>7.3</v>
      </c>
      <c r="J297" t="n">
        <v>34.8</v>
      </c>
      <c r="K297" t="n">
        <v>19.3</v>
      </c>
      <c r="L297" t="n">
        <v>33.5</v>
      </c>
      <c r="M297" t="n">
        <v>1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1001</v>
      </c>
      <c r="Z297" t="inlineStr"/>
      <c r="AA297" t="inlineStr"/>
      <c r="AB297" t="inlineStr">
        <is>
          <t>U0296</t>
        </is>
      </c>
      <c r="AC297" t="inlineStr">
        <is>
          <t>HU</t>
        </is>
      </c>
      <c r="AD297" t="inlineStr"/>
      <c r="AE297" t="n">
        <v>3.1</v>
      </c>
      <c r="AF297" t="inlineStr"/>
      <c r="AG297" t="inlineStr"/>
      <c r="AH297" t="inlineStr"/>
      <c r="AI297" t="n">
        <v>10.3</v>
      </c>
      <c r="AJ297" t="n">
        <v>14.33</v>
      </c>
    </row>
    <row r="298">
      <c r="A298" t="inlineStr">
        <is>
          <t>Covenant University</t>
        </is>
      </c>
      <c r="B298" t="inlineStr">
        <is>
          <t>Nigeria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801–1000</t>
        </is>
      </c>
      <c r="O298" t="inlineStr">
        <is>
          <t>32.7–36.9</t>
        </is>
      </c>
      <c r="P298" t="n">
        <v>24.7</v>
      </c>
      <c r="Q298" t="n">
        <v>24.4</v>
      </c>
      <c r="R298" t="n">
        <v>56.6</v>
      </c>
      <c r="S298" t="n">
        <v>24.2</v>
      </c>
      <c r="T298" t="n">
        <v>54.3</v>
      </c>
      <c r="U298" t="inlineStr">
        <is>
          <t>8,940</t>
        </is>
      </c>
      <c r="V298" t="n">
        <v>17.5</v>
      </c>
      <c r="W298" t="inlineStr">
        <is>
          <t>0%</t>
        </is>
      </c>
      <c r="X298" t="inlineStr">
        <is>
          <t>37 : 63</t>
        </is>
      </c>
      <c r="Y298" t="inlineStr"/>
      <c r="Z298" t="n">
        <v>801</v>
      </c>
      <c r="AA298" t="n">
        <v>34.8</v>
      </c>
      <c r="AB298" t="inlineStr">
        <is>
          <t>U0297</t>
        </is>
      </c>
      <c r="AC298" t="inlineStr">
        <is>
          <t>NI</t>
        </is>
      </c>
      <c r="AD298" t="n">
        <v>34.8</v>
      </c>
      <c r="AE298" t="n">
        <v>56.6</v>
      </c>
      <c r="AF298" t="n">
        <v>17.5</v>
      </c>
      <c r="AG298" t="inlineStr">
        <is>
          <t>1:17.5</t>
        </is>
      </c>
      <c r="AH298" t="inlineStr">
        <is>
          <t>0%</t>
        </is>
      </c>
      <c r="AI298" t="inlineStr"/>
      <c r="AJ298" t="n">
        <v>36.46</v>
      </c>
    </row>
    <row r="299">
      <c r="A299" t="inlineStr">
        <is>
          <t>Coventry University</t>
        </is>
      </c>
      <c r="B299" t="inlineStr">
        <is>
          <t>United Kingdom</t>
        </is>
      </c>
      <c r="C299" t="inlineStr">
        <is>
          <t>531</t>
        </is>
      </c>
      <c r="D299" t="n">
        <v>23.1</v>
      </c>
      <c r="E299" t="n">
        <v>9.699999999999999</v>
      </c>
      <c r="F299" t="n">
        <v>9.5</v>
      </c>
      <c r="G299" t="n">
        <v>16.9</v>
      </c>
      <c r="H299" t="n">
        <v>7.1</v>
      </c>
      <c r="I299" t="n">
        <v>77</v>
      </c>
      <c r="J299" t="n">
        <v>99.90000000000001</v>
      </c>
      <c r="K299" t="n">
        <v>82.59999999999999</v>
      </c>
      <c r="L299" t="n">
        <v>10</v>
      </c>
      <c r="M299" t="n">
        <v>64.40000000000001</v>
      </c>
      <c r="N299" t="inlineStr">
        <is>
          <t>601–800</t>
        </is>
      </c>
      <c r="O299" t="inlineStr">
        <is>
          <t>37.0–41.8</t>
        </is>
      </c>
      <c r="P299" t="n">
        <v>20.9</v>
      </c>
      <c r="Q299" t="n">
        <v>14.9</v>
      </c>
      <c r="R299" t="n">
        <v>69.59999999999999</v>
      </c>
      <c r="S299" t="n">
        <v>26.8</v>
      </c>
      <c r="T299" t="n">
        <v>95.59999999999999</v>
      </c>
      <c r="U299" t="inlineStr">
        <is>
          <t>32,635</t>
        </is>
      </c>
      <c r="V299" t="n">
        <v>14.9</v>
      </c>
      <c r="W299" t="inlineStr">
        <is>
          <t>48%</t>
        </is>
      </c>
      <c r="X299" t="inlineStr">
        <is>
          <t>48 : 52</t>
        </is>
      </c>
      <c r="Y299" t="n">
        <v>531</v>
      </c>
      <c r="Z299" t="n">
        <v>601</v>
      </c>
      <c r="AA299" t="n">
        <v>39.4</v>
      </c>
      <c r="AB299" t="inlineStr">
        <is>
          <t>U0298</t>
        </is>
      </c>
      <c r="AC299" t="inlineStr">
        <is>
          <t>UN</t>
        </is>
      </c>
      <c r="AD299" t="n">
        <v>23.1</v>
      </c>
      <c r="AE299" t="n">
        <v>7.1</v>
      </c>
      <c r="AF299" t="n">
        <v>14.9</v>
      </c>
      <c r="AG299" t="inlineStr">
        <is>
          <t>1:14.9</t>
        </is>
      </c>
      <c r="AH299" t="inlineStr">
        <is>
          <t>48%</t>
        </is>
      </c>
      <c r="AI299" t="n">
        <v>9.699999999999999</v>
      </c>
      <c r="AJ299" t="n">
        <v>26.47</v>
      </c>
    </row>
    <row r="300">
      <c r="A300" t="inlineStr">
        <is>
          <t>Cracow University of Technology (Politechnika Krakowska)</t>
        </is>
      </c>
      <c r="B300" t="inlineStr">
        <is>
          <t>Poland</t>
        </is>
      </c>
      <c r="C300" t="inlineStr">
        <is>
          <t>1001-1200</t>
        </is>
      </c>
      <c r="D300" t="inlineStr"/>
      <c r="E300" t="n">
        <v>11</v>
      </c>
      <c r="F300" t="n">
        <v>21.3</v>
      </c>
      <c r="G300" t="n">
        <v>21.7</v>
      </c>
      <c r="H300" t="n">
        <v>4.7</v>
      </c>
      <c r="I300" t="n">
        <v>2.6</v>
      </c>
      <c r="J300" t="n">
        <v>3.3</v>
      </c>
      <c r="K300" t="n">
        <v>46.5</v>
      </c>
      <c r="L300" t="n">
        <v>5.4</v>
      </c>
      <c r="M300" t="n">
        <v>1</v>
      </c>
      <c r="N300" t="inlineStr">
        <is>
          <t>1501+</t>
        </is>
      </c>
      <c r="O300" t="inlineStr">
        <is>
          <t>9.7–22.7</t>
        </is>
      </c>
      <c r="P300" t="n">
        <v>21.2</v>
      </c>
      <c r="Q300" t="n">
        <v>10.7</v>
      </c>
      <c r="R300" t="n">
        <v>30.4</v>
      </c>
      <c r="S300" t="n">
        <v>28.2</v>
      </c>
      <c r="T300" t="n">
        <v>27.3</v>
      </c>
      <c r="U300" t="inlineStr">
        <is>
          <t>13,510</t>
        </is>
      </c>
      <c r="V300" t="n">
        <v>12.2</v>
      </c>
      <c r="W300" t="inlineStr">
        <is>
          <t>5%</t>
        </is>
      </c>
      <c r="X300" t="inlineStr">
        <is>
          <t>36 : 64</t>
        </is>
      </c>
      <c r="Y300" t="n">
        <v>1001</v>
      </c>
      <c r="Z300" t="n">
        <v>1501</v>
      </c>
      <c r="AA300" t="n">
        <v>16.2</v>
      </c>
      <c r="AB300" t="inlineStr">
        <is>
          <t>U0299</t>
        </is>
      </c>
      <c r="AC300" t="inlineStr">
        <is>
          <t>PO</t>
        </is>
      </c>
      <c r="AD300" t="n">
        <v>16.2</v>
      </c>
      <c r="AE300" t="n">
        <v>4.7</v>
      </c>
      <c r="AF300" t="n">
        <v>12.2</v>
      </c>
      <c r="AG300" t="inlineStr">
        <is>
          <t>1:12.2</t>
        </is>
      </c>
      <c r="AH300" t="inlineStr">
        <is>
          <t>5%</t>
        </is>
      </c>
      <c r="AI300" t="n">
        <v>11</v>
      </c>
      <c r="AJ300" t="n">
        <v>7.03</v>
      </c>
    </row>
    <row r="301">
      <c r="A301" t="inlineStr">
        <is>
          <t>Cukurova University</t>
        </is>
      </c>
      <c r="B301" t="inlineStr">
        <is>
          <t>Turkey</t>
        </is>
      </c>
      <c r="C301" t="inlineStr">
        <is>
          <t>1201-1400</t>
        </is>
      </c>
      <c r="D301" t="inlineStr"/>
      <c r="E301" t="n">
        <v>4.9</v>
      </c>
      <c r="F301" t="n">
        <v>3.8</v>
      </c>
      <c r="G301" t="n">
        <v>5.2</v>
      </c>
      <c r="H301" t="n">
        <v>2.6</v>
      </c>
      <c r="I301" t="n">
        <v>1.9</v>
      </c>
      <c r="J301" t="n">
        <v>3.3</v>
      </c>
      <c r="K301" t="n">
        <v>46.2</v>
      </c>
      <c r="L301" t="n">
        <v>7.6</v>
      </c>
      <c r="M301" t="n">
        <v>2.9</v>
      </c>
      <c r="N301" t="inlineStr">
        <is>
          <t>1201–1500</t>
        </is>
      </c>
      <c r="O301" t="inlineStr">
        <is>
          <t>22.8–28.2</t>
        </is>
      </c>
      <c r="P301" t="n">
        <v>23.8</v>
      </c>
      <c r="Q301" t="n">
        <v>23.4</v>
      </c>
      <c r="R301" t="n">
        <v>26.2</v>
      </c>
      <c r="S301" t="n">
        <v>26.7</v>
      </c>
      <c r="T301" t="n">
        <v>28.9</v>
      </c>
      <c r="U301" t="inlineStr">
        <is>
          <t>35,424</t>
        </is>
      </c>
      <c r="V301" t="n">
        <v>15.4</v>
      </c>
      <c r="W301" t="inlineStr">
        <is>
          <t>4%</t>
        </is>
      </c>
      <c r="X301" t="inlineStr">
        <is>
          <t>45 : 55</t>
        </is>
      </c>
      <c r="Y301" t="n">
        <v>1201</v>
      </c>
      <c r="Z301" t="n">
        <v>1201</v>
      </c>
      <c r="AA301" t="n">
        <v>25.5</v>
      </c>
      <c r="AB301" t="inlineStr">
        <is>
          <t>U0300</t>
        </is>
      </c>
      <c r="AC301" t="inlineStr">
        <is>
          <t>TU</t>
        </is>
      </c>
      <c r="AD301" t="n">
        <v>25.5</v>
      </c>
      <c r="AE301" t="n">
        <v>2.6</v>
      </c>
      <c r="AF301" t="n">
        <v>15.4</v>
      </c>
      <c r="AG301" t="inlineStr">
        <is>
          <t>1:15.4</t>
        </is>
      </c>
      <c r="AH301" t="inlineStr">
        <is>
          <t>4%</t>
        </is>
      </c>
      <c r="AI301" t="n">
        <v>4.9</v>
      </c>
      <c r="AJ301" t="n">
        <v>13.43</v>
      </c>
    </row>
    <row r="302">
      <c r="A302" t="inlineStr">
        <is>
          <t>CUNY The City College of New York</t>
        </is>
      </c>
      <c r="B302" t="inlineStr">
        <is>
          <t>United States</t>
        </is>
      </c>
      <c r="C302" t="inlineStr">
        <is>
          <t>1201-1400</t>
        </is>
      </c>
      <c r="D302" t="inlineStr"/>
      <c r="E302" t="n">
        <v>7.2</v>
      </c>
      <c r="F302" t="n">
        <v>3</v>
      </c>
      <c r="G302" t="n">
        <v>11.9</v>
      </c>
      <c r="H302" t="n">
        <v>11.3</v>
      </c>
      <c r="I302" t="n">
        <v>6.7</v>
      </c>
      <c r="J302" t="n">
        <v>4.7</v>
      </c>
      <c r="K302" t="n">
        <v>24.8</v>
      </c>
      <c r="L302" t="n">
        <v>1.5</v>
      </c>
      <c r="M302" t="n">
        <v>2.5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1201</v>
      </c>
      <c r="Z302" t="inlineStr"/>
      <c r="AA302" t="inlineStr"/>
      <c r="AB302" t="inlineStr">
        <is>
          <t>U0301</t>
        </is>
      </c>
      <c r="AC302" t="inlineStr">
        <is>
          <t>UN</t>
        </is>
      </c>
      <c r="AD302" t="inlineStr"/>
      <c r="AE302" t="n">
        <v>11.3</v>
      </c>
      <c r="AF302" t="inlineStr"/>
      <c r="AG302" t="inlineStr"/>
      <c r="AH302" t="inlineStr"/>
      <c r="AI302" t="n">
        <v>7.2</v>
      </c>
      <c r="AJ302" t="n">
        <v>16.81</v>
      </c>
    </row>
    <row r="303">
      <c r="A303" t="inlineStr">
        <is>
          <t>Curtin University</t>
        </is>
      </c>
      <c r="B303" t="inlineStr">
        <is>
          <t>Australia</t>
        </is>
      </c>
      <c r="C303" t="inlineStr">
        <is>
          <t>174</t>
        </is>
      </c>
      <c r="D303" t="n">
        <v>49.3</v>
      </c>
      <c r="E303" t="n">
        <v>33.1</v>
      </c>
      <c r="F303" t="n">
        <v>27.7</v>
      </c>
      <c r="G303" t="n">
        <v>15.7</v>
      </c>
      <c r="H303" t="n">
        <v>84.7</v>
      </c>
      <c r="I303" t="n">
        <v>100</v>
      </c>
      <c r="J303" t="n">
        <v>24.3</v>
      </c>
      <c r="K303" t="n">
        <v>94.2</v>
      </c>
      <c r="L303" t="n">
        <v>31</v>
      </c>
      <c r="M303" t="n">
        <v>90.7</v>
      </c>
      <c r="N303" t="inlineStr">
        <is>
          <t>201–250</t>
        </is>
      </c>
      <c r="O303" t="inlineStr">
        <is>
          <t>55.9–58.6</t>
        </is>
      </c>
      <c r="P303" t="n">
        <v>30.2</v>
      </c>
      <c r="Q303" t="n">
        <v>36.5</v>
      </c>
      <c r="R303" t="n">
        <v>87.5</v>
      </c>
      <c r="S303" t="n">
        <v>78.8</v>
      </c>
      <c r="T303" t="n">
        <v>94.7</v>
      </c>
      <c r="U303" t="inlineStr">
        <is>
          <t>29,283</t>
        </is>
      </c>
      <c r="V303" t="n">
        <v>20.8</v>
      </c>
      <c r="W303" t="inlineStr">
        <is>
          <t>29%</t>
        </is>
      </c>
      <c r="X303" t="inlineStr">
        <is>
          <t>53 : 47</t>
        </is>
      </c>
      <c r="Y303" t="n">
        <v>174</v>
      </c>
      <c r="Z303" t="n">
        <v>201</v>
      </c>
      <c r="AA303" t="n">
        <v>57.25</v>
      </c>
      <c r="AB303" t="inlineStr">
        <is>
          <t>U0302</t>
        </is>
      </c>
      <c r="AC303" t="inlineStr">
        <is>
          <t>AU</t>
        </is>
      </c>
      <c r="AD303" t="n">
        <v>49.3</v>
      </c>
      <c r="AE303" t="n">
        <v>84.7</v>
      </c>
      <c r="AF303" t="n">
        <v>20.8</v>
      </c>
      <c r="AG303" t="inlineStr">
        <is>
          <t>1:20.8</t>
        </is>
      </c>
      <c r="AH303" t="inlineStr">
        <is>
          <t>29%</t>
        </is>
      </c>
      <c r="AI303" t="n">
        <v>33.1</v>
      </c>
      <c r="AJ303" t="n">
        <v>61.09</v>
      </c>
    </row>
    <row r="304">
      <c r="A304" t="inlineStr">
        <is>
          <t>CY Cergy Paris University</t>
        </is>
      </c>
      <c r="B304" t="inlineStr">
        <is>
          <t>France</t>
        </is>
      </c>
      <c r="C304" t="inlineStr">
        <is>
          <t>851-900</t>
        </is>
      </c>
      <c r="D304" t="inlineStr"/>
      <c r="E304" t="n">
        <v>3.7</v>
      </c>
      <c r="F304" t="n">
        <v>2.5</v>
      </c>
      <c r="G304" t="n">
        <v>49.5</v>
      </c>
      <c r="H304" t="n">
        <v>5</v>
      </c>
      <c r="I304" t="n">
        <v>47.2</v>
      </c>
      <c r="J304" t="n">
        <v>45.9</v>
      </c>
      <c r="K304" t="n">
        <v>46</v>
      </c>
      <c r="L304" t="n">
        <v>1.5</v>
      </c>
      <c r="M304" t="n">
        <v>1.4</v>
      </c>
      <c r="N304" t="inlineStr">
        <is>
          <t>801–1000</t>
        </is>
      </c>
      <c r="O304" t="inlineStr">
        <is>
          <t>32.7–36.9</t>
        </is>
      </c>
      <c r="P304" t="n">
        <v>23.8</v>
      </c>
      <c r="Q304" t="n">
        <v>25.3</v>
      </c>
      <c r="R304" t="n">
        <v>44.4</v>
      </c>
      <c r="S304" t="n">
        <v>56.6</v>
      </c>
      <c r="T304" t="n">
        <v>92.7</v>
      </c>
      <c r="U304" t="inlineStr">
        <is>
          <t>16,082</t>
        </is>
      </c>
      <c r="V304" t="n">
        <v>19.5</v>
      </c>
      <c r="W304" t="inlineStr">
        <is>
          <t>26%</t>
        </is>
      </c>
      <c r="X304" t="inlineStr">
        <is>
          <t>52 : 48</t>
        </is>
      </c>
      <c r="Y304" t="n">
        <v>851</v>
      </c>
      <c r="Z304" t="n">
        <v>801</v>
      </c>
      <c r="AA304" t="n">
        <v>34.8</v>
      </c>
      <c r="AB304" t="inlineStr">
        <is>
          <t>U0303</t>
        </is>
      </c>
      <c r="AC304" t="inlineStr">
        <is>
          <t>FR</t>
        </is>
      </c>
      <c r="AD304" t="n">
        <v>34.8</v>
      </c>
      <c r="AE304" t="n">
        <v>5</v>
      </c>
      <c r="AF304" t="n">
        <v>19.5</v>
      </c>
      <c r="AG304" t="inlineStr">
        <is>
          <t>1:19.5</t>
        </is>
      </c>
      <c r="AH304" t="inlineStr">
        <is>
          <t>26%</t>
        </is>
      </c>
      <c r="AI304" t="n">
        <v>3.7</v>
      </c>
      <c r="AJ304" t="n">
        <v>30.59</v>
      </c>
    </row>
    <row r="305">
      <c r="A305" t="inlineStr">
        <is>
          <t>Cyprus University of Technology</t>
        </is>
      </c>
      <c r="B305" t="inlineStr">
        <is>
          <t>Cyprus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601–800</t>
        </is>
      </c>
      <c r="O305" t="inlineStr">
        <is>
          <t>37.0–41.8</t>
        </is>
      </c>
      <c r="P305" t="n">
        <v>29.4</v>
      </c>
      <c r="Q305" t="n">
        <v>19.1</v>
      </c>
      <c r="R305" t="n">
        <v>63.3</v>
      </c>
      <c r="S305" t="n">
        <v>21.9</v>
      </c>
      <c r="T305" t="n">
        <v>71.2</v>
      </c>
      <c r="U305" t="inlineStr">
        <is>
          <t>3,157</t>
        </is>
      </c>
      <c r="V305" t="n">
        <v>15.3</v>
      </c>
      <c r="W305" t="inlineStr">
        <is>
          <t>14%</t>
        </is>
      </c>
      <c r="X305" t="inlineStr">
        <is>
          <t>57 : 43</t>
        </is>
      </c>
      <c r="Y305" t="inlineStr"/>
      <c r="Z305" t="n">
        <v>601</v>
      </c>
      <c r="AA305" t="n">
        <v>39.4</v>
      </c>
      <c r="AB305" t="inlineStr">
        <is>
          <t>U0304</t>
        </is>
      </c>
      <c r="AC305" t="inlineStr">
        <is>
          <t>CY</t>
        </is>
      </c>
      <c r="AD305" t="n">
        <v>39.4</v>
      </c>
      <c r="AE305" t="n">
        <v>63.3</v>
      </c>
      <c r="AF305" t="n">
        <v>15.3</v>
      </c>
      <c r="AG305" t="inlineStr">
        <is>
          <t>1:15.3</t>
        </is>
      </c>
      <c r="AH305" t="inlineStr">
        <is>
          <t>14%</t>
        </is>
      </c>
      <c r="AI305" t="inlineStr"/>
      <c r="AJ305" t="n">
        <v>39.8</v>
      </c>
    </row>
    <row r="306">
      <c r="A306" t="inlineStr">
        <is>
          <t>Czech Technical University in Prague</t>
        </is>
      </c>
      <c r="B306" t="inlineStr">
        <is>
          <t>Czech Republic</t>
        </is>
      </c>
      <c r="C306" t="inlineStr">
        <is>
          <t>420</t>
        </is>
      </c>
      <c r="D306" t="n">
        <v>28.4</v>
      </c>
      <c r="E306" t="n">
        <v>22</v>
      </c>
      <c r="F306" t="n">
        <v>42.4</v>
      </c>
      <c r="G306" t="n">
        <v>80.59999999999999</v>
      </c>
      <c r="H306" t="n">
        <v>3.6</v>
      </c>
      <c r="I306" t="n">
        <v>19.9</v>
      </c>
      <c r="J306" t="n">
        <v>50.2</v>
      </c>
      <c r="K306" t="n">
        <v>59.4</v>
      </c>
      <c r="L306" t="n">
        <v>15.6</v>
      </c>
      <c r="M306" t="n">
        <v>5.8</v>
      </c>
      <c r="N306" t="inlineStr">
        <is>
          <t>1001–1200</t>
        </is>
      </c>
      <c r="O306" t="inlineStr">
        <is>
          <t>28.3–32.6</t>
        </is>
      </c>
      <c r="P306" t="n">
        <v>30.9</v>
      </c>
      <c r="Q306" t="n">
        <v>18.8</v>
      </c>
      <c r="R306" t="n">
        <v>32.2</v>
      </c>
      <c r="S306" t="n">
        <v>51.9</v>
      </c>
      <c r="T306" t="n">
        <v>60.2</v>
      </c>
      <c r="U306" t="inlineStr">
        <is>
          <t>15,663</t>
        </is>
      </c>
      <c r="V306" t="n">
        <v>8.699999999999999</v>
      </c>
      <c r="W306" t="inlineStr">
        <is>
          <t>21%</t>
        </is>
      </c>
      <c r="X306" t="inlineStr">
        <is>
          <t>30 : 70</t>
        </is>
      </c>
      <c r="Y306" t="n">
        <v>420</v>
      </c>
      <c r="Z306" t="n">
        <v>1001</v>
      </c>
      <c r="AA306" t="n">
        <v>30.45</v>
      </c>
      <c r="AB306" t="inlineStr">
        <is>
          <t>U0305</t>
        </is>
      </c>
      <c r="AC306" t="inlineStr">
        <is>
          <t>CZ</t>
        </is>
      </c>
      <c r="AD306" t="n">
        <v>28.4</v>
      </c>
      <c r="AE306" t="n">
        <v>3.6</v>
      </c>
      <c r="AF306" t="n">
        <v>8.699999999999999</v>
      </c>
      <c r="AG306" t="inlineStr">
        <is>
          <t>1:8.7</t>
        </is>
      </c>
      <c r="AH306" t="inlineStr">
        <is>
          <t>21%</t>
        </is>
      </c>
      <c r="AI306" t="n">
        <v>22</v>
      </c>
      <c r="AJ306" t="n">
        <v>18.9</v>
      </c>
    </row>
    <row r="307">
      <c r="A307" t="inlineStr">
        <is>
          <t>Czech University of Life Sciences in Prague</t>
        </is>
      </c>
      <c r="B307" t="inlineStr">
        <is>
          <t>Czech Republic</t>
        </is>
      </c>
      <c r="C307" t="inlineStr">
        <is>
          <t>711-720</t>
        </is>
      </c>
      <c r="D307" t="inlineStr"/>
      <c r="E307" t="n">
        <v>10.4</v>
      </c>
      <c r="F307" t="n">
        <v>6.7</v>
      </c>
      <c r="G307" t="n">
        <v>9.4</v>
      </c>
      <c r="H307" t="n">
        <v>10.8</v>
      </c>
      <c r="I307" t="n">
        <v>29</v>
      </c>
      <c r="J307" t="n">
        <v>73.5</v>
      </c>
      <c r="K307" t="n">
        <v>75.8</v>
      </c>
      <c r="L307" t="n">
        <v>3.9</v>
      </c>
      <c r="M307" t="n">
        <v>49.5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711</v>
      </c>
      <c r="Z307" t="inlineStr"/>
      <c r="AA307" t="inlineStr"/>
      <c r="AB307" t="inlineStr">
        <is>
          <t>U0306</t>
        </is>
      </c>
      <c r="AC307" t="inlineStr">
        <is>
          <t>CZ</t>
        </is>
      </c>
      <c r="AD307" t="inlineStr"/>
      <c r="AE307" t="n">
        <v>10.8</v>
      </c>
      <c r="AF307" t="inlineStr"/>
      <c r="AG307" t="inlineStr"/>
      <c r="AH307" t="inlineStr"/>
      <c r="AI307" t="n">
        <v>10.4</v>
      </c>
      <c r="AJ307" t="n">
        <v>16.66</v>
      </c>
    </row>
    <row r="308">
      <c r="A308" t="inlineStr">
        <is>
          <t>Czech University of Life Sciences Prague (CZU)</t>
        </is>
      </c>
      <c r="B308" t="inlineStr">
        <is>
          <t>Czech Republic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801–1000</t>
        </is>
      </c>
      <c r="O308" t="inlineStr">
        <is>
          <t>32.7–36.9</t>
        </is>
      </c>
      <c r="P308" t="n">
        <v>20.1</v>
      </c>
      <c r="Q308" t="n">
        <v>15.4</v>
      </c>
      <c r="R308" t="n">
        <v>50.8</v>
      </c>
      <c r="S308" t="n">
        <v>50.2</v>
      </c>
      <c r="T308" t="n">
        <v>76.40000000000001</v>
      </c>
      <c r="U308" t="inlineStr">
        <is>
          <t>19,126</t>
        </is>
      </c>
      <c r="V308" t="n">
        <v>18.3</v>
      </c>
      <c r="W308" t="inlineStr">
        <is>
          <t>26%</t>
        </is>
      </c>
      <c r="X308" t="inlineStr">
        <is>
          <t>50 : 50</t>
        </is>
      </c>
      <c r="Y308" t="inlineStr"/>
      <c r="Z308" t="n">
        <v>801</v>
      </c>
      <c r="AA308" t="n">
        <v>34.8</v>
      </c>
      <c r="AB308" t="inlineStr">
        <is>
          <t>U0307</t>
        </is>
      </c>
      <c r="AC308" t="inlineStr">
        <is>
          <t>CZ</t>
        </is>
      </c>
      <c r="AD308" t="n">
        <v>34.8</v>
      </c>
      <c r="AE308" t="n">
        <v>50.8</v>
      </c>
      <c r="AF308" t="n">
        <v>18.3</v>
      </c>
      <c r="AG308" t="inlineStr">
        <is>
          <t>1:18.3</t>
        </is>
      </c>
      <c r="AH308" t="inlineStr">
        <is>
          <t>26%</t>
        </is>
      </c>
      <c r="AI308" t="inlineStr"/>
      <c r="AJ308" t="n">
        <v>35.33</v>
      </c>
    </row>
    <row r="309">
      <c r="A309" t="inlineStr">
        <is>
          <t>D. Serikbayev East Kazakhstan state technical university</t>
        </is>
      </c>
      <c r="B309" t="inlineStr">
        <is>
          <t>Kazakhstan</t>
        </is>
      </c>
      <c r="C309" t="inlineStr">
        <is>
          <t>951-1000</t>
        </is>
      </c>
      <c r="D309" t="inlineStr"/>
      <c r="E309" t="n">
        <v>13</v>
      </c>
      <c r="F309" t="n">
        <v>7.7</v>
      </c>
      <c r="G309" t="n">
        <v>64.2</v>
      </c>
      <c r="H309" t="n">
        <v>1.2</v>
      </c>
      <c r="I309" t="n">
        <v>14.4</v>
      </c>
      <c r="J309" t="n">
        <v>2.5</v>
      </c>
      <c r="K309" t="n">
        <v>2.4</v>
      </c>
      <c r="L309" t="n">
        <v>3.5</v>
      </c>
      <c r="M309" t="n">
        <v>1.3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951</v>
      </c>
      <c r="Z309" t="inlineStr"/>
      <c r="AA309" t="inlineStr"/>
      <c r="AB309" t="inlineStr">
        <is>
          <t>U0308</t>
        </is>
      </c>
      <c r="AC309" t="inlineStr">
        <is>
          <t>KA</t>
        </is>
      </c>
      <c r="AD309" t="inlineStr"/>
      <c r="AE309" t="n">
        <v>1.2</v>
      </c>
      <c r="AF309" t="inlineStr"/>
      <c r="AG309" t="inlineStr"/>
      <c r="AH309" t="inlineStr"/>
      <c r="AI309" t="n">
        <v>13</v>
      </c>
      <c r="AJ309" t="n">
        <v>13.75</v>
      </c>
    </row>
    <row r="310">
      <c r="A310" t="inlineStr">
        <is>
          <t>Daegu Gyeongbuk Institute of Science and Technology (DGIST)</t>
        </is>
      </c>
      <c r="B310" t="inlineStr">
        <is>
          <t>South Korea</t>
        </is>
      </c>
      <c r="C310" t="inlineStr">
        <is>
          <t>326</t>
        </is>
      </c>
      <c r="D310" t="n">
        <v>34</v>
      </c>
      <c r="E310" t="n">
        <v>10.5</v>
      </c>
      <c r="F310" t="n">
        <v>11.8</v>
      </c>
      <c r="G310" t="n">
        <v>84.09999999999999</v>
      </c>
      <c r="H310" t="n">
        <v>99.90000000000001</v>
      </c>
      <c r="I310" t="n">
        <v>6.6</v>
      </c>
      <c r="J310" t="n">
        <v>3.3</v>
      </c>
      <c r="K310" t="n">
        <v>12.3</v>
      </c>
      <c r="L310" t="n">
        <v>2.7</v>
      </c>
      <c r="M310" t="n">
        <v>3.1</v>
      </c>
      <c r="N310" t="inlineStr">
        <is>
          <t>351–400</t>
        </is>
      </c>
      <c r="O310" t="inlineStr">
        <is>
          <t>49.1–51.0</t>
        </is>
      </c>
      <c r="P310" t="n">
        <v>48.8</v>
      </c>
      <c r="Q310" t="n">
        <v>38.9</v>
      </c>
      <c r="R310" t="n">
        <v>64.8</v>
      </c>
      <c r="S310" t="n">
        <v>78.09999999999999</v>
      </c>
      <c r="T310" t="n">
        <v>34.5</v>
      </c>
      <c r="U310" t="inlineStr">
        <is>
          <t>742</t>
        </is>
      </c>
      <c r="V310" t="n">
        <v>6.3</v>
      </c>
      <c r="W310" t="inlineStr">
        <is>
          <t>4%</t>
        </is>
      </c>
      <c r="X310" t="inlineStr">
        <is>
          <t>36 : 64</t>
        </is>
      </c>
      <c r="Y310" t="n">
        <v>326</v>
      </c>
      <c r="Z310" t="n">
        <v>351</v>
      </c>
      <c r="AA310" t="n">
        <v>50.05</v>
      </c>
      <c r="AB310" t="inlineStr">
        <is>
          <t>U0309</t>
        </is>
      </c>
      <c r="AC310" t="inlineStr">
        <is>
          <t>SO</t>
        </is>
      </c>
      <c r="AD310" t="n">
        <v>34</v>
      </c>
      <c r="AE310" t="n">
        <v>99.90000000000001</v>
      </c>
      <c r="AF310" t="n">
        <v>6.3</v>
      </c>
      <c r="AG310" t="inlineStr">
        <is>
          <t>1:6.3</t>
        </is>
      </c>
      <c r="AH310" t="inlineStr">
        <is>
          <t>4%</t>
        </is>
      </c>
      <c r="AI310" t="n">
        <v>10.5</v>
      </c>
      <c r="AJ310" t="n">
        <v>52.4</v>
      </c>
    </row>
    <row r="311">
      <c r="A311" t="inlineStr">
        <is>
          <t>Daffodil International University</t>
        </is>
      </c>
      <c r="B311" t="inlineStr">
        <is>
          <t>Bangladesh</t>
        </is>
      </c>
      <c r="C311" t="inlineStr">
        <is>
          <t>1201-1400</t>
        </is>
      </c>
      <c r="D311" t="inlineStr"/>
      <c r="E311" t="n">
        <v>9.5</v>
      </c>
      <c r="F311" t="n">
        <v>19.8</v>
      </c>
      <c r="G311" t="n">
        <v>3.8</v>
      </c>
      <c r="H311" t="n">
        <v>2.8</v>
      </c>
      <c r="I311" t="n">
        <v>5</v>
      </c>
      <c r="J311" t="n">
        <v>2.9</v>
      </c>
      <c r="K311" t="n">
        <v>22</v>
      </c>
      <c r="L311" t="n">
        <v>3.7</v>
      </c>
      <c r="M311" t="n">
        <v>3.4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1201</v>
      </c>
      <c r="Z311" t="inlineStr"/>
      <c r="AA311" t="inlineStr"/>
      <c r="AB311" t="inlineStr">
        <is>
          <t>U0310</t>
        </is>
      </c>
      <c r="AC311" t="inlineStr">
        <is>
          <t>BA</t>
        </is>
      </c>
      <c r="AD311" t="inlineStr"/>
      <c r="AE311" t="n">
        <v>2.8</v>
      </c>
      <c r="AF311" t="inlineStr"/>
      <c r="AG311" t="inlineStr"/>
      <c r="AH311" t="inlineStr"/>
      <c r="AI311" t="n">
        <v>9.5</v>
      </c>
      <c r="AJ311" t="n">
        <v>14.24</v>
      </c>
    </row>
    <row r="312">
      <c r="A312" t="inlineStr">
        <is>
          <t>Dalhousie University</t>
        </is>
      </c>
      <c r="B312" t="inlineStr">
        <is>
          <t>Canada</t>
        </is>
      </c>
      <c r="C312" t="inlineStr">
        <is>
          <t>275</t>
        </is>
      </c>
      <c r="D312" t="n">
        <v>38.2</v>
      </c>
      <c r="E312" t="n">
        <v>19.4</v>
      </c>
      <c r="F312" t="n">
        <v>16.7</v>
      </c>
      <c r="G312" t="n">
        <v>12.9</v>
      </c>
      <c r="H312" t="n">
        <v>53.5</v>
      </c>
      <c r="I312" t="n">
        <v>99.90000000000001</v>
      </c>
      <c r="J312" t="n">
        <v>74.59999999999999</v>
      </c>
      <c r="K312" t="n">
        <v>77.40000000000001</v>
      </c>
      <c r="L312" t="n">
        <v>30.1</v>
      </c>
      <c r="M312" t="n">
        <v>87.90000000000001</v>
      </c>
      <c r="N312" t="inlineStr">
        <is>
          <t>301–350</t>
        </is>
      </c>
      <c r="O312" t="inlineStr">
        <is>
          <t>51.1–53.0</t>
        </is>
      </c>
      <c r="P312" t="n">
        <v>30.8</v>
      </c>
      <c r="Q312" t="n">
        <v>31.6</v>
      </c>
      <c r="R312" t="n">
        <v>78.90000000000001</v>
      </c>
      <c r="S312" t="n">
        <v>71.7</v>
      </c>
      <c r="T312" t="n">
        <v>89.09999999999999</v>
      </c>
      <c r="U312" t="inlineStr">
        <is>
          <t>17,314</t>
        </is>
      </c>
      <c r="V312" t="n">
        <v>14.7</v>
      </c>
      <c r="W312" t="inlineStr">
        <is>
          <t>27%</t>
        </is>
      </c>
      <c r="X312" t="inlineStr">
        <is>
          <t>54 : 46</t>
        </is>
      </c>
      <c r="Y312" t="n">
        <v>275</v>
      </c>
      <c r="Z312" t="n">
        <v>301</v>
      </c>
      <c r="AA312" t="n">
        <v>52.05</v>
      </c>
      <c r="AB312" t="inlineStr">
        <is>
          <t>U0311</t>
        </is>
      </c>
      <c r="AC312" t="inlineStr">
        <is>
          <t>CA</t>
        </is>
      </c>
      <c r="AD312" t="n">
        <v>38.2</v>
      </c>
      <c r="AE312" t="n">
        <v>53.5</v>
      </c>
      <c r="AF312" t="n">
        <v>14.7</v>
      </c>
      <c r="AG312" t="inlineStr">
        <is>
          <t>1:14.7</t>
        </is>
      </c>
      <c r="AH312" t="inlineStr">
        <is>
          <t>27%</t>
        </is>
      </c>
      <c r="AI312" t="n">
        <v>19.4</v>
      </c>
      <c r="AJ312" t="n">
        <v>47.71</v>
      </c>
    </row>
    <row r="313">
      <c r="A313" t="inlineStr">
        <is>
          <t>Dalian University of Technology</t>
        </is>
      </c>
      <c r="B313" t="inlineStr">
        <is>
          <t>China</t>
        </is>
      </c>
      <c r="C313" t="inlineStr">
        <is>
          <t>448</t>
        </is>
      </c>
      <c r="D313" t="n">
        <v>26.6</v>
      </c>
      <c r="E313" t="n">
        <v>9.6</v>
      </c>
      <c r="F313" t="n">
        <v>3.8</v>
      </c>
      <c r="G313" t="n">
        <v>18.1</v>
      </c>
      <c r="H313" t="n">
        <v>88.09999999999999</v>
      </c>
      <c r="I313" t="n">
        <v>11.5</v>
      </c>
      <c r="J313" t="n">
        <v>2.9</v>
      </c>
      <c r="K313" t="n">
        <v>55.9</v>
      </c>
      <c r="L313" t="n">
        <v>14.4</v>
      </c>
      <c r="M313" t="n">
        <v>8</v>
      </c>
      <c r="N313" t="inlineStr">
        <is>
          <t>401–500</t>
        </is>
      </c>
      <c r="O313" t="inlineStr">
        <is>
          <t>45.4–49.0</t>
        </is>
      </c>
      <c r="P313" t="n">
        <v>37</v>
      </c>
      <c r="Q313" t="n">
        <v>35</v>
      </c>
      <c r="R313" t="n">
        <v>68.09999999999999</v>
      </c>
      <c r="S313" t="n">
        <v>86.8</v>
      </c>
      <c r="T313" t="n">
        <v>40.2</v>
      </c>
      <c r="U313" t="inlineStr">
        <is>
          <t>37,389</t>
        </is>
      </c>
      <c r="V313" t="n">
        <v>14.5</v>
      </c>
      <c r="W313" t="inlineStr">
        <is>
          <t>3%</t>
        </is>
      </c>
      <c r="X313" t="inlineStr"/>
      <c r="Y313" t="n">
        <v>448</v>
      </c>
      <c r="Z313" t="n">
        <v>401</v>
      </c>
      <c r="AA313" t="n">
        <v>47.2</v>
      </c>
      <c r="AB313" t="inlineStr">
        <is>
          <t>U0312</t>
        </is>
      </c>
      <c r="AC313" t="inlineStr">
        <is>
          <t>CH</t>
        </is>
      </c>
      <c r="AD313" t="n">
        <v>26.6</v>
      </c>
      <c r="AE313" t="n">
        <v>88.09999999999999</v>
      </c>
      <c r="AF313" t="n">
        <v>14.5</v>
      </c>
      <c r="AG313" t="inlineStr">
        <is>
          <t>1:14.5</t>
        </is>
      </c>
      <c r="AH313" t="inlineStr">
        <is>
          <t>3%</t>
        </is>
      </c>
      <c r="AI313" t="n">
        <v>9.6</v>
      </c>
      <c r="AJ313" t="n">
        <v>48.16</v>
      </c>
    </row>
    <row r="314">
      <c r="A314" t="inlineStr">
        <is>
          <t>Damascus University</t>
        </is>
      </c>
      <c r="B314" t="inlineStr">
        <is>
          <t>Syria</t>
        </is>
      </c>
      <c r="C314" t="inlineStr">
        <is>
          <t>1201-1400</t>
        </is>
      </c>
      <c r="D314" t="inlineStr"/>
      <c r="E314" t="n">
        <v>6.1</v>
      </c>
      <c r="F314" t="n">
        <v>3.7</v>
      </c>
      <c r="G314" t="n">
        <v>1.4</v>
      </c>
      <c r="H314" t="n">
        <v>1.2</v>
      </c>
      <c r="I314" t="n">
        <v>4</v>
      </c>
      <c r="J314" t="n">
        <v>6</v>
      </c>
      <c r="K314" t="n">
        <v>18.4</v>
      </c>
      <c r="L314" t="n">
        <v>90.2</v>
      </c>
      <c r="M314" t="n">
        <v>1.1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1201</v>
      </c>
      <c r="Z314" t="inlineStr"/>
      <c r="AA314" t="inlineStr"/>
      <c r="AB314" t="inlineStr">
        <is>
          <t>U0313</t>
        </is>
      </c>
      <c r="AC314" t="inlineStr">
        <is>
          <t>SY</t>
        </is>
      </c>
      <c r="AD314" t="inlineStr"/>
      <c r="AE314" t="n">
        <v>1.2</v>
      </c>
      <c r="AF314" t="inlineStr"/>
      <c r="AG314" t="inlineStr"/>
      <c r="AH314" t="inlineStr"/>
      <c r="AI314" t="n">
        <v>6.1</v>
      </c>
      <c r="AJ314" t="n">
        <v>13.75</v>
      </c>
    </row>
    <row r="315">
      <c r="A315" t="inlineStr">
        <is>
          <t>Damghan University</t>
        </is>
      </c>
      <c r="B315" t="inlineStr">
        <is>
          <t>Iran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1501+</t>
        </is>
      </c>
      <c r="O315" t="inlineStr">
        <is>
          <t>9.7–22.7</t>
        </is>
      </c>
      <c r="P315" t="n">
        <v>17.7</v>
      </c>
      <c r="Q315" t="n">
        <v>11.4</v>
      </c>
      <c r="R315" t="n">
        <v>27</v>
      </c>
      <c r="S315" t="n">
        <v>17.9</v>
      </c>
      <c r="T315" t="n">
        <v>27.9</v>
      </c>
      <c r="U315" t="inlineStr">
        <is>
          <t>4,709</t>
        </is>
      </c>
      <c r="V315" t="n">
        <v>15.9</v>
      </c>
      <c r="W315" t="inlineStr">
        <is>
          <t>0%</t>
        </is>
      </c>
      <c r="X315" t="inlineStr">
        <is>
          <t>69 : 31</t>
        </is>
      </c>
      <c r="Y315" t="inlineStr"/>
      <c r="Z315" t="n">
        <v>1501</v>
      </c>
      <c r="AA315" t="n">
        <v>16.2</v>
      </c>
      <c r="AB315" t="inlineStr">
        <is>
          <t>U0314</t>
        </is>
      </c>
      <c r="AC315" t="inlineStr">
        <is>
          <t>IR</t>
        </is>
      </c>
      <c r="AD315" t="n">
        <v>16.2</v>
      </c>
      <c r="AE315" t="n">
        <v>27</v>
      </c>
      <c r="AF315" t="n">
        <v>15.9</v>
      </c>
      <c r="AG315" t="inlineStr">
        <is>
          <t>1:15.9</t>
        </is>
      </c>
      <c r="AH315" t="inlineStr">
        <is>
          <t>0%</t>
        </is>
      </c>
      <c r="AI315" t="inlineStr"/>
      <c r="AJ315" t="n">
        <v>14.3</v>
      </c>
    </row>
    <row r="316">
      <c r="A316" t="inlineStr">
        <is>
          <t>Damietta University</t>
        </is>
      </c>
      <c r="B316" t="inlineStr">
        <is>
          <t>Egypt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801–1000</t>
        </is>
      </c>
      <c r="O316" t="inlineStr">
        <is>
          <t>32.7–36.9</t>
        </is>
      </c>
      <c r="P316" t="n">
        <v>16.4</v>
      </c>
      <c r="Q316" t="n">
        <v>9.4</v>
      </c>
      <c r="R316" t="n">
        <v>73</v>
      </c>
      <c r="S316" t="n">
        <v>17.4</v>
      </c>
      <c r="T316" t="n">
        <v>46.1</v>
      </c>
      <c r="U316" t="inlineStr">
        <is>
          <t>32,299</t>
        </is>
      </c>
      <c r="V316" t="n">
        <v>33.9</v>
      </c>
      <c r="W316" t="inlineStr">
        <is>
          <t>1%</t>
        </is>
      </c>
      <c r="X316" t="inlineStr">
        <is>
          <t>63 : 37</t>
        </is>
      </c>
      <c r="Y316" t="inlineStr"/>
      <c r="Z316" t="n">
        <v>801</v>
      </c>
      <c r="AA316" t="n">
        <v>34.8</v>
      </c>
      <c r="AB316" t="inlineStr">
        <is>
          <t>U0315</t>
        </is>
      </c>
      <c r="AC316" t="inlineStr">
        <is>
          <t>EG</t>
        </is>
      </c>
      <c r="AD316" t="n">
        <v>34.8</v>
      </c>
      <c r="AE316" t="n">
        <v>73</v>
      </c>
      <c r="AF316" t="n">
        <v>33.9</v>
      </c>
      <c r="AG316" t="inlineStr">
        <is>
          <t>1:33.9</t>
        </is>
      </c>
      <c r="AH316" t="inlineStr">
        <is>
          <t>1%</t>
        </is>
      </c>
      <c r="AI316" t="inlineStr"/>
      <c r="AJ316" t="n">
        <v>31.59</v>
      </c>
    </row>
    <row r="317">
      <c r="A317" t="inlineStr">
        <is>
          <t xml:space="preserve">Dankook University </t>
        </is>
      </c>
      <c r="B317" t="inlineStr">
        <is>
          <t>South Korea</t>
        </is>
      </c>
      <c r="C317" t="inlineStr">
        <is>
          <t>1001-1200</t>
        </is>
      </c>
      <c r="D317" t="inlineStr"/>
      <c r="E317" t="n">
        <v>5.8</v>
      </c>
      <c r="F317" t="n">
        <v>4</v>
      </c>
      <c r="G317" t="n">
        <v>59.2</v>
      </c>
      <c r="H317" t="n">
        <v>3</v>
      </c>
      <c r="I317" t="n">
        <v>4.2</v>
      </c>
      <c r="J317" t="n">
        <v>7.1</v>
      </c>
      <c r="K317" t="n">
        <v>13</v>
      </c>
      <c r="L317" t="n">
        <v>2.9</v>
      </c>
      <c r="M317" t="n">
        <v>4.1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1001</v>
      </c>
      <c r="Z317" t="inlineStr"/>
      <c r="AA317" t="inlineStr"/>
      <c r="AB317" t="inlineStr">
        <is>
          <t>U0316</t>
        </is>
      </c>
      <c r="AC317" t="inlineStr">
        <is>
          <t>SO</t>
        </is>
      </c>
      <c r="AD317" t="inlineStr"/>
      <c r="AE317" t="n">
        <v>3</v>
      </c>
      <c r="AF317" t="inlineStr"/>
      <c r="AG317" t="inlineStr"/>
      <c r="AH317" t="inlineStr"/>
      <c r="AI317" t="n">
        <v>5.8</v>
      </c>
      <c r="AJ317" t="n">
        <v>14.3</v>
      </c>
    </row>
    <row r="318">
      <c r="A318" t="inlineStr">
        <is>
          <t>Dartmouth College</t>
        </is>
      </c>
      <c r="B318" t="inlineStr">
        <is>
          <t>United States</t>
        </is>
      </c>
      <c r="C318" t="inlineStr">
        <is>
          <t>243</t>
        </is>
      </c>
      <c r="D318" t="n">
        <v>41.3</v>
      </c>
      <c r="E318" t="n">
        <v>22.8</v>
      </c>
      <c r="F318" t="n">
        <v>31</v>
      </c>
      <c r="G318" t="n">
        <v>65.8</v>
      </c>
      <c r="H318" t="n">
        <v>60.6</v>
      </c>
      <c r="I318" t="n">
        <v>9.199999999999999</v>
      </c>
      <c r="J318" t="n">
        <v>40.9</v>
      </c>
      <c r="K318" t="n">
        <v>42.5</v>
      </c>
      <c r="L318" t="n">
        <v>68.8</v>
      </c>
      <c r="M318" t="n">
        <v>71.2</v>
      </c>
      <c r="N318">
        <f>161</f>
        <v/>
      </c>
      <c r="O318" t="inlineStr">
        <is>
          <t>61.4</t>
        </is>
      </c>
      <c r="P318" t="n">
        <v>57.3</v>
      </c>
      <c r="Q318" t="n">
        <v>40.7</v>
      </c>
      <c r="R318" t="n">
        <v>84.7</v>
      </c>
      <c r="S318" t="n">
        <v>68.40000000000001</v>
      </c>
      <c r="T318" t="n">
        <v>60.2</v>
      </c>
      <c r="U318" t="inlineStr">
        <is>
          <t>6,226</t>
        </is>
      </c>
      <c r="V318" t="n">
        <v>7.4</v>
      </c>
      <c r="W318" t="inlineStr">
        <is>
          <t>16%</t>
        </is>
      </c>
      <c r="X318" t="inlineStr">
        <is>
          <t>49 : 51</t>
        </is>
      </c>
      <c r="Y318" t="n">
        <v>243</v>
      </c>
      <c r="Z318" t="n">
        <v>161</v>
      </c>
      <c r="AA318" t="n">
        <v>61.4</v>
      </c>
      <c r="AB318" t="inlineStr">
        <is>
          <t>U0317</t>
        </is>
      </c>
      <c r="AC318" t="inlineStr">
        <is>
          <t>UN</t>
        </is>
      </c>
      <c r="AD318" t="n">
        <v>41.3</v>
      </c>
      <c r="AE318" t="n">
        <v>60.6</v>
      </c>
      <c r="AF318" t="n">
        <v>7.4</v>
      </c>
      <c r="AG318" t="inlineStr">
        <is>
          <t>1:7.4</t>
        </is>
      </c>
      <c r="AH318" t="inlineStr">
        <is>
          <t>16%</t>
        </is>
      </c>
      <c r="AI318" t="n">
        <v>22.8</v>
      </c>
      <c r="AJ318" t="n">
        <v>47.65</v>
      </c>
    </row>
    <row r="319">
      <c r="A319" t="inlineStr">
        <is>
          <t>De La Salle University</t>
        </is>
      </c>
      <c r="B319" t="inlineStr">
        <is>
          <t>Philippines</t>
        </is>
      </c>
      <c r="C319" t="inlineStr">
        <is>
          <t>641-650</t>
        </is>
      </c>
      <c r="D319" t="inlineStr"/>
      <c r="E319" t="n">
        <v>22.6</v>
      </c>
      <c r="F319" t="n">
        <v>52.4</v>
      </c>
      <c r="G319" t="n">
        <v>10</v>
      </c>
      <c r="H319" t="n">
        <v>4.5</v>
      </c>
      <c r="I319" t="n">
        <v>1.9</v>
      </c>
      <c r="J319" t="n">
        <v>2.5</v>
      </c>
      <c r="K319" t="n">
        <v>22.2</v>
      </c>
      <c r="L319" t="n">
        <v>47.4</v>
      </c>
      <c r="M319" t="n">
        <v>2.7</v>
      </c>
      <c r="N319" t="inlineStr">
        <is>
          <t>1501+</t>
        </is>
      </c>
      <c r="O319" t="inlineStr">
        <is>
          <t>9.7–22.7</t>
        </is>
      </c>
      <c r="P319" t="n">
        <v>19.6</v>
      </c>
      <c r="Q319" t="n">
        <v>12.8</v>
      </c>
      <c r="R319" t="n">
        <v>31.3</v>
      </c>
      <c r="S319" t="n">
        <v>17.4</v>
      </c>
      <c r="T319" t="n">
        <v>29.3</v>
      </c>
      <c r="U319" t="inlineStr">
        <is>
          <t>14,905</t>
        </is>
      </c>
      <c r="V319" t="n">
        <v>14.5</v>
      </c>
      <c r="W319" t="inlineStr">
        <is>
          <t>3%</t>
        </is>
      </c>
      <c r="X319" t="inlineStr">
        <is>
          <t>50 : 50</t>
        </is>
      </c>
      <c r="Y319" t="n">
        <v>641</v>
      </c>
      <c r="Z319" t="n">
        <v>1501</v>
      </c>
      <c r="AA319" t="n">
        <v>16.2</v>
      </c>
      <c r="AB319" t="inlineStr">
        <is>
          <t>U0318</t>
        </is>
      </c>
      <c r="AC319" t="inlineStr">
        <is>
          <t>PH</t>
        </is>
      </c>
      <c r="AD319" t="n">
        <v>16.2</v>
      </c>
      <c r="AE319" t="n">
        <v>4.5</v>
      </c>
      <c r="AF319" t="n">
        <v>14.5</v>
      </c>
      <c r="AG319" t="inlineStr">
        <is>
          <t>1:14.5</t>
        </is>
      </c>
      <c r="AH319" t="inlineStr">
        <is>
          <t>3%</t>
        </is>
      </c>
      <c r="AI319" t="n">
        <v>22.6</v>
      </c>
      <c r="AJ319" t="n">
        <v>8.550000000000001</v>
      </c>
    </row>
    <row r="320">
      <c r="A320" t="inlineStr">
        <is>
          <t>De Montfort University</t>
        </is>
      </c>
      <c r="B320" t="inlineStr">
        <is>
          <t>United Kingdom</t>
        </is>
      </c>
      <c r="C320" t="inlineStr">
        <is>
          <t>711-720</t>
        </is>
      </c>
      <c r="D320" t="inlineStr"/>
      <c r="E320" t="n">
        <v>5.3</v>
      </c>
      <c r="F320" t="n">
        <v>4.8</v>
      </c>
      <c r="G320" t="n">
        <v>5.6</v>
      </c>
      <c r="H320" t="n">
        <v>8</v>
      </c>
      <c r="I320" t="n">
        <v>74.2</v>
      </c>
      <c r="J320" t="n">
        <v>97.5</v>
      </c>
      <c r="K320" t="n">
        <v>62.8</v>
      </c>
      <c r="L320" t="n">
        <v>6.4</v>
      </c>
      <c r="M320" t="n">
        <v>41.4</v>
      </c>
      <c r="N320" t="inlineStr">
        <is>
          <t>601–800</t>
        </is>
      </c>
      <c r="O320" t="inlineStr">
        <is>
          <t>37.0–41.8</t>
        </is>
      </c>
      <c r="P320" t="n">
        <v>17.8</v>
      </c>
      <c r="Q320" t="n">
        <v>15.1</v>
      </c>
      <c r="R320" t="n">
        <v>71</v>
      </c>
      <c r="S320" t="n">
        <v>45</v>
      </c>
      <c r="T320" t="n">
        <v>93.90000000000001</v>
      </c>
      <c r="U320" t="inlineStr">
        <is>
          <t>23,125</t>
        </is>
      </c>
      <c r="V320" t="n">
        <v>18.5</v>
      </c>
      <c r="W320" t="inlineStr">
        <is>
          <t>37%</t>
        </is>
      </c>
      <c r="X320" t="inlineStr">
        <is>
          <t>56 : 44</t>
        </is>
      </c>
      <c r="Y320" t="n">
        <v>711</v>
      </c>
      <c r="Z320" t="n">
        <v>601</v>
      </c>
      <c r="AA320" t="n">
        <v>39.4</v>
      </c>
      <c r="AB320" t="inlineStr">
        <is>
          <t>U0319</t>
        </is>
      </c>
      <c r="AC320" t="inlineStr">
        <is>
          <t>UN</t>
        </is>
      </c>
      <c r="AD320" t="n">
        <v>39.4</v>
      </c>
      <c r="AE320" t="n">
        <v>8</v>
      </c>
      <c r="AF320" t="n">
        <v>18.5</v>
      </c>
      <c r="AG320" t="inlineStr">
        <is>
          <t>1:18.5</t>
        </is>
      </c>
      <c r="AH320" t="inlineStr">
        <is>
          <t>37%</t>
        </is>
      </c>
      <c r="AI320" t="n">
        <v>5.3</v>
      </c>
      <c r="AJ320" t="n">
        <v>26.44</v>
      </c>
    </row>
    <row r="321">
      <c r="A321" t="inlineStr">
        <is>
          <t>Deakin University</t>
        </is>
      </c>
      <c r="B321" t="inlineStr">
        <is>
          <t>Australia</t>
        </is>
      </c>
      <c r="C321" t="inlineStr">
        <is>
          <t>197</t>
        </is>
      </c>
      <c r="D321" t="n">
        <v>46.4</v>
      </c>
      <c r="E321" t="n">
        <v>31.3</v>
      </c>
      <c r="F321" t="n">
        <v>23.9</v>
      </c>
      <c r="G321" t="n">
        <v>4.6</v>
      </c>
      <c r="H321" t="n">
        <v>73.59999999999999</v>
      </c>
      <c r="I321" t="n">
        <v>96.40000000000001</v>
      </c>
      <c r="J321" t="n">
        <v>63.8</v>
      </c>
      <c r="K321" t="n">
        <v>82.7</v>
      </c>
      <c r="L321" t="n">
        <v>36.8</v>
      </c>
      <c r="M321" t="n">
        <v>93.7</v>
      </c>
      <c r="N321" t="inlineStr">
        <is>
          <t>251–300</t>
        </is>
      </c>
      <c r="O321" t="inlineStr">
        <is>
          <t>53.1–55.8</t>
        </is>
      </c>
      <c r="P321" t="n">
        <v>28.3</v>
      </c>
      <c r="Q321" t="n">
        <v>34.6</v>
      </c>
      <c r="R321" t="n">
        <v>91.40000000000001</v>
      </c>
      <c r="S321" t="n">
        <v>72.2</v>
      </c>
      <c r="T321" t="n">
        <v>85.7</v>
      </c>
      <c r="U321" t="inlineStr">
        <is>
          <t>40,988</t>
        </is>
      </c>
      <c r="V321" t="n">
        <v>32.7</v>
      </c>
      <c r="W321" t="inlineStr">
        <is>
          <t>18%</t>
        </is>
      </c>
      <c r="X321" t="inlineStr">
        <is>
          <t>60 : 40</t>
        </is>
      </c>
      <c r="Y321" t="n">
        <v>197</v>
      </c>
      <c r="Z321" t="n">
        <v>251</v>
      </c>
      <c r="AA321" t="n">
        <v>54.45</v>
      </c>
      <c r="AB321" t="inlineStr">
        <is>
          <t>U0320</t>
        </is>
      </c>
      <c r="AC321" t="inlineStr">
        <is>
          <t>AU</t>
        </is>
      </c>
      <c r="AD321" t="n">
        <v>46.4</v>
      </c>
      <c r="AE321" t="n">
        <v>73.59999999999999</v>
      </c>
      <c r="AF321" t="n">
        <v>32.7</v>
      </c>
      <c r="AG321" t="inlineStr">
        <is>
          <t>1:32.7</t>
        </is>
      </c>
      <c r="AH321" t="inlineStr">
        <is>
          <t>18%</t>
        </is>
      </c>
      <c r="AI321" t="n">
        <v>31.3</v>
      </c>
      <c r="AJ321" t="n">
        <v>54.56</v>
      </c>
    </row>
    <row r="322">
      <c r="A322" t="inlineStr">
        <is>
          <t>Del Rosario University</t>
        </is>
      </c>
      <c r="B322" t="inlineStr">
        <is>
          <t>Colombia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1201–1500</t>
        </is>
      </c>
      <c r="O322" t="inlineStr">
        <is>
          <t>22.8–28.2</t>
        </is>
      </c>
      <c r="P322" t="n">
        <v>22.9</v>
      </c>
      <c r="Q322" t="n">
        <v>13.5</v>
      </c>
      <c r="R322" t="n">
        <v>27.2</v>
      </c>
      <c r="S322" t="n">
        <v>26.4</v>
      </c>
      <c r="T322" t="n">
        <v>51.3</v>
      </c>
      <c r="U322" t="inlineStr">
        <is>
          <t>9,977</t>
        </is>
      </c>
      <c r="V322" t="n">
        <v>10.5</v>
      </c>
      <c r="W322" t="inlineStr">
        <is>
          <t>2%</t>
        </is>
      </c>
      <c r="X322" t="inlineStr">
        <is>
          <t>57 : 43</t>
        </is>
      </c>
      <c r="Y322" t="inlineStr"/>
      <c r="Z322" t="n">
        <v>1201</v>
      </c>
      <c r="AA322" t="n">
        <v>25.5</v>
      </c>
      <c r="AB322" t="inlineStr">
        <is>
          <t>U0321</t>
        </is>
      </c>
      <c r="AC322" t="inlineStr">
        <is>
          <t>CO</t>
        </is>
      </c>
      <c r="AD322" t="n">
        <v>25.5</v>
      </c>
      <c r="AE322" t="n">
        <v>27.2</v>
      </c>
      <c r="AF322" t="n">
        <v>10.5</v>
      </c>
      <c r="AG322" t="inlineStr">
        <is>
          <t>1:10.5</t>
        </is>
      </c>
      <c r="AH322" t="inlineStr">
        <is>
          <t>2%</t>
        </is>
      </c>
      <c r="AI322" t="inlineStr"/>
      <c r="AJ322" t="n">
        <v>21.12</v>
      </c>
    </row>
    <row r="323">
      <c r="A323" t="inlineStr">
        <is>
          <t>Delft University of Technology</t>
        </is>
      </c>
      <c r="B323" t="inlineStr">
        <is>
          <t>Netherlands</t>
        </is>
      </c>
      <c r="C323" t="inlineStr">
        <is>
          <t>49</t>
        </is>
      </c>
      <c r="D323" t="n">
        <v>77</v>
      </c>
      <c r="E323" t="n">
        <v>74.40000000000001</v>
      </c>
      <c r="F323" t="n">
        <v>83</v>
      </c>
      <c r="G323" t="n">
        <v>39.4</v>
      </c>
      <c r="H323" t="n">
        <v>79.7</v>
      </c>
      <c r="I323" t="n">
        <v>100</v>
      </c>
      <c r="J323" t="n">
        <v>91.40000000000001</v>
      </c>
      <c r="K323" t="n">
        <v>93.7</v>
      </c>
      <c r="L323" t="n">
        <v>54.8</v>
      </c>
      <c r="M323" t="n">
        <v>99.09999999999999</v>
      </c>
      <c r="N323" t="inlineStr">
        <is>
          <t>48</t>
        </is>
      </c>
      <c r="O323" t="inlineStr">
        <is>
          <t>76.3</t>
        </is>
      </c>
      <c r="P323" t="n">
        <v>66.7</v>
      </c>
      <c r="Q323" t="n">
        <v>78.2</v>
      </c>
      <c r="R323" t="n">
        <v>76.5</v>
      </c>
      <c r="S323" t="n">
        <v>100</v>
      </c>
      <c r="T323" t="n">
        <v>92.8</v>
      </c>
      <c r="U323" t="inlineStr">
        <is>
          <t>21,262</t>
        </is>
      </c>
      <c r="V323" t="n">
        <v>15.9</v>
      </c>
      <c r="W323" t="inlineStr">
        <is>
          <t>30%</t>
        </is>
      </c>
      <c r="X323" t="inlineStr">
        <is>
          <t>31 : 69</t>
        </is>
      </c>
      <c r="Y323" t="n">
        <v>49</v>
      </c>
      <c r="Z323" t="n">
        <v>48</v>
      </c>
      <c r="AA323" t="n">
        <v>76.3</v>
      </c>
      <c r="AB323" t="inlineStr">
        <is>
          <t>U0322</t>
        </is>
      </c>
      <c r="AC323" t="inlineStr">
        <is>
          <t>NE</t>
        </is>
      </c>
      <c r="AD323" t="n">
        <v>77</v>
      </c>
      <c r="AE323" t="n">
        <v>79.7</v>
      </c>
      <c r="AF323" t="n">
        <v>15.9</v>
      </c>
      <c r="AG323" t="inlineStr">
        <is>
          <t>1:15.9</t>
        </is>
      </c>
      <c r="AH323" t="inlineStr">
        <is>
          <t>30%</t>
        </is>
      </c>
      <c r="AI323" t="n">
        <v>74.40000000000001</v>
      </c>
      <c r="AJ323" t="n">
        <v>80.97</v>
      </c>
    </row>
    <row r="324">
      <c r="A324" t="inlineStr">
        <is>
          <t>Delhi Technological University</t>
        </is>
      </c>
      <c r="B324" t="inlineStr">
        <is>
          <t>India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801–1000</t>
        </is>
      </c>
      <c r="O324" t="inlineStr">
        <is>
          <t>32.7–36.9</t>
        </is>
      </c>
      <c r="P324" t="n">
        <v>16.9</v>
      </c>
      <c r="Q324" t="n">
        <v>20.1</v>
      </c>
      <c r="R324" t="n">
        <v>76.7</v>
      </c>
      <c r="S324" t="n">
        <v>28.5</v>
      </c>
      <c r="T324" t="n">
        <v>19.7</v>
      </c>
      <c r="U324" t="inlineStr">
        <is>
          <t>12,730</t>
        </is>
      </c>
      <c r="V324" t="n">
        <v>23.4</v>
      </c>
      <c r="W324" t="inlineStr">
        <is>
          <t>3%</t>
        </is>
      </c>
      <c r="X324" t="inlineStr">
        <is>
          <t>22 : 78</t>
        </is>
      </c>
      <c r="Y324" t="inlineStr"/>
      <c r="Z324" t="n">
        <v>801</v>
      </c>
      <c r="AA324" t="n">
        <v>34.8</v>
      </c>
      <c r="AB324" t="inlineStr">
        <is>
          <t>U0323</t>
        </is>
      </c>
      <c r="AC324" t="inlineStr">
        <is>
          <t>IN</t>
        </is>
      </c>
      <c r="AD324" t="n">
        <v>34.8</v>
      </c>
      <c r="AE324" t="n">
        <v>76.7</v>
      </c>
      <c r="AF324" t="n">
        <v>23.4</v>
      </c>
      <c r="AG324" t="inlineStr">
        <is>
          <t>1:23.4</t>
        </is>
      </c>
      <c r="AH324" t="inlineStr">
        <is>
          <t>3%</t>
        </is>
      </c>
      <c r="AI324" t="inlineStr"/>
      <c r="AJ324" t="n">
        <v>31.93</v>
      </c>
    </row>
    <row r="325">
      <c r="A325" t="inlineStr">
        <is>
          <t>Democritus University of Thrace</t>
        </is>
      </c>
      <c r="B325" t="inlineStr">
        <is>
          <t>Greece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1001–1200</t>
        </is>
      </c>
      <c r="O325" t="inlineStr">
        <is>
          <t>28.3–32.6</t>
        </is>
      </c>
      <c r="P325" t="n">
        <v>16.1</v>
      </c>
      <c r="Q325" t="n">
        <v>16.5</v>
      </c>
      <c r="R325" t="n">
        <v>54.3</v>
      </c>
      <c r="S325" t="n">
        <v>32.1</v>
      </c>
      <c r="T325" t="n">
        <v>30.4</v>
      </c>
      <c r="U325" t="inlineStr">
        <is>
          <t>22,266</t>
        </is>
      </c>
      <c r="V325" t="n">
        <v>36.4</v>
      </c>
      <c r="W325" t="inlineStr">
        <is>
          <t>3%</t>
        </is>
      </c>
      <c r="X325" t="inlineStr">
        <is>
          <t>48 : 52</t>
        </is>
      </c>
      <c r="Y325" t="inlineStr"/>
      <c r="Z325" t="n">
        <v>1001</v>
      </c>
      <c r="AA325" t="n">
        <v>30.45</v>
      </c>
      <c r="AB325" t="inlineStr">
        <is>
          <t>U0324</t>
        </is>
      </c>
      <c r="AC325" t="inlineStr">
        <is>
          <t>GR</t>
        </is>
      </c>
      <c r="AD325" t="n">
        <v>30.45</v>
      </c>
      <c r="AE325" t="n">
        <v>54.3</v>
      </c>
      <c r="AF325" t="n">
        <v>36.4</v>
      </c>
      <c r="AG325" t="inlineStr">
        <is>
          <t>1:36.4</t>
        </is>
      </c>
      <c r="AH325" t="inlineStr">
        <is>
          <t>3%</t>
        </is>
      </c>
      <c r="AI325" t="inlineStr"/>
      <c r="AJ325" t="n">
        <v>25.85</v>
      </c>
    </row>
    <row r="326">
      <c r="A326" t="inlineStr">
        <is>
          <t>Dicle University</t>
        </is>
      </c>
      <c r="B326" t="inlineStr">
        <is>
          <t>Turkey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1501+</t>
        </is>
      </c>
      <c r="O326" t="inlineStr">
        <is>
          <t>9.7–22.7</t>
        </is>
      </c>
      <c r="P326" t="n">
        <v>30.3</v>
      </c>
      <c r="Q326" t="n">
        <v>16.9</v>
      </c>
      <c r="R326" t="n">
        <v>12.7</v>
      </c>
      <c r="S326" t="n">
        <v>53</v>
      </c>
      <c r="T326" t="n">
        <v>21.9</v>
      </c>
      <c r="U326" t="inlineStr">
        <is>
          <t>32,454</t>
        </is>
      </c>
      <c r="V326" t="n">
        <v>17.5</v>
      </c>
      <c r="W326" t="inlineStr">
        <is>
          <t>4%</t>
        </is>
      </c>
      <c r="X326" t="inlineStr">
        <is>
          <t>45 : 55</t>
        </is>
      </c>
      <c r="Y326" t="inlineStr"/>
      <c r="Z326" t="n">
        <v>1501</v>
      </c>
      <c r="AA326" t="n">
        <v>16.2</v>
      </c>
      <c r="AB326" t="inlineStr">
        <is>
          <t>U0325</t>
        </is>
      </c>
      <c r="AC326" t="inlineStr">
        <is>
          <t>TU</t>
        </is>
      </c>
      <c r="AD326" t="n">
        <v>16.2</v>
      </c>
      <c r="AE326" t="n">
        <v>12.7</v>
      </c>
      <c r="AF326" t="n">
        <v>17.5</v>
      </c>
      <c r="AG326" t="inlineStr">
        <is>
          <t>1:17.5</t>
        </is>
      </c>
      <c r="AH326" t="inlineStr">
        <is>
          <t>4%</t>
        </is>
      </c>
      <c r="AI326" t="inlineStr"/>
      <c r="AJ326" t="n">
        <v>11.39</v>
      </c>
    </row>
    <row r="327">
      <c r="A327" t="inlineStr">
        <is>
          <t>Diego Portales University</t>
        </is>
      </c>
      <c r="B327" t="inlineStr">
        <is>
          <t>Chile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1001–1200</t>
        </is>
      </c>
      <c r="O327" t="inlineStr">
        <is>
          <t>28.3–32.6</t>
        </is>
      </c>
      <c r="P327" t="n">
        <v>15.3</v>
      </c>
      <c r="Q327" t="n">
        <v>11.8</v>
      </c>
      <c r="R327" t="n">
        <v>53.8</v>
      </c>
      <c r="S327" t="n">
        <v>18</v>
      </c>
      <c r="T327" t="n">
        <v>53</v>
      </c>
      <c r="U327" t="inlineStr">
        <is>
          <t>18,126</t>
        </is>
      </c>
      <c r="V327" t="n">
        <v>17.6</v>
      </c>
      <c r="W327" t="inlineStr">
        <is>
          <t>2%</t>
        </is>
      </c>
      <c r="X327" t="inlineStr">
        <is>
          <t>50 : 50</t>
        </is>
      </c>
      <c r="Y327" t="inlineStr"/>
      <c r="Z327" t="n">
        <v>1001</v>
      </c>
      <c r="AA327" t="n">
        <v>30.45</v>
      </c>
      <c r="AB327" t="inlineStr">
        <is>
          <t>U0326</t>
        </is>
      </c>
      <c r="AC327" t="inlineStr">
        <is>
          <t>CH</t>
        </is>
      </c>
      <c r="AD327" t="n">
        <v>30.45</v>
      </c>
      <c r="AE327" t="n">
        <v>53.8</v>
      </c>
      <c r="AF327" t="n">
        <v>17.6</v>
      </c>
      <c r="AG327" t="inlineStr">
        <is>
          <t>1:17.6</t>
        </is>
      </c>
      <c r="AH327" t="inlineStr">
        <is>
          <t>2%</t>
        </is>
      </c>
      <c r="AI327" t="inlineStr"/>
      <c r="AJ327" t="n">
        <v>28.7</v>
      </c>
    </row>
    <row r="328">
      <c r="A328" t="inlineStr">
        <is>
          <t>Diponegoro University</t>
        </is>
      </c>
      <c r="B328" t="inlineStr">
        <is>
          <t>Indonesia</t>
        </is>
      </c>
      <c r="C328" t="inlineStr">
        <is>
          <t>721-730</t>
        </is>
      </c>
      <c r="D328" t="inlineStr"/>
      <c r="E328" t="n">
        <v>19.2</v>
      </c>
      <c r="F328" t="n">
        <v>41.7</v>
      </c>
      <c r="G328" t="n">
        <v>19.3</v>
      </c>
      <c r="H328" t="n">
        <v>1.5</v>
      </c>
      <c r="I328" t="n">
        <v>27.9</v>
      </c>
      <c r="J328" t="n">
        <v>3</v>
      </c>
      <c r="K328" t="n">
        <v>27.4</v>
      </c>
      <c r="L328" t="n">
        <v>14.6</v>
      </c>
      <c r="M328" t="n">
        <v>9.699999999999999</v>
      </c>
      <c r="N328" t="inlineStr">
        <is>
          <t>1501+</t>
        </is>
      </c>
      <c r="O328" t="inlineStr">
        <is>
          <t>9.7–22.7</t>
        </is>
      </c>
      <c r="P328" t="n">
        <v>27.1</v>
      </c>
      <c r="Q328" t="n">
        <v>15.4</v>
      </c>
      <c r="R328" t="n">
        <v>19.1</v>
      </c>
      <c r="S328" t="n">
        <v>42.9</v>
      </c>
      <c r="T328" t="n">
        <v>35.1</v>
      </c>
      <c r="U328" t="inlineStr">
        <is>
          <t>35,688</t>
        </is>
      </c>
      <c r="V328" t="n">
        <v>18</v>
      </c>
      <c r="W328" t="inlineStr">
        <is>
          <t>2%</t>
        </is>
      </c>
      <c r="X328" t="inlineStr">
        <is>
          <t>56 : 44</t>
        </is>
      </c>
      <c r="Y328" t="n">
        <v>721</v>
      </c>
      <c r="Z328" t="n">
        <v>1501</v>
      </c>
      <c r="AA328" t="n">
        <v>16.2</v>
      </c>
      <c r="AB328" t="inlineStr">
        <is>
          <t>U0327</t>
        </is>
      </c>
      <c r="AC328" t="inlineStr">
        <is>
          <t>IN</t>
        </is>
      </c>
      <c r="AD328" t="n">
        <v>16.2</v>
      </c>
      <c r="AE328" t="n">
        <v>1.5</v>
      </c>
      <c r="AF328" t="n">
        <v>18</v>
      </c>
      <c r="AG328" t="inlineStr">
        <is>
          <t>1:18.0</t>
        </is>
      </c>
      <c r="AH328" t="inlineStr">
        <is>
          <t>2%</t>
        </is>
      </c>
      <c r="AI328" t="n">
        <v>19.2</v>
      </c>
      <c r="AJ328" t="n">
        <v>10.41</v>
      </c>
    </row>
    <row r="329">
      <c r="A329" t="inlineStr">
        <is>
          <t>Dokkyo Medical University</t>
        </is>
      </c>
      <c r="B329" t="inlineStr">
        <is>
          <t>Japan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1501+</t>
        </is>
      </c>
      <c r="O329" t="inlineStr">
        <is>
          <t>9.7–22.7</t>
        </is>
      </c>
      <c r="P329" t="n">
        <v>26.7</v>
      </c>
      <c r="Q329" t="n">
        <v>10.3</v>
      </c>
      <c r="R329" t="n">
        <v>22</v>
      </c>
      <c r="S329" t="n">
        <v>37.9</v>
      </c>
      <c r="T329" t="n">
        <v>19.1</v>
      </c>
      <c r="U329" t="inlineStr">
        <is>
          <t>1,314</t>
        </is>
      </c>
      <c r="V329" t="n">
        <v>1.2</v>
      </c>
      <c r="W329" t="inlineStr">
        <is>
          <t>1%</t>
        </is>
      </c>
      <c r="X329" t="inlineStr">
        <is>
          <t>53 : 47</t>
        </is>
      </c>
      <c r="Y329" t="inlineStr"/>
      <c r="Z329" t="n">
        <v>1501</v>
      </c>
      <c r="AA329" t="n">
        <v>16.2</v>
      </c>
      <c r="AB329" t="inlineStr">
        <is>
          <t>U0328</t>
        </is>
      </c>
      <c r="AC329" t="inlineStr">
        <is>
          <t>JA</t>
        </is>
      </c>
      <c r="AD329" t="n">
        <v>16.2</v>
      </c>
      <c r="AE329" t="n">
        <v>22</v>
      </c>
      <c r="AF329" t="n">
        <v>1.2</v>
      </c>
      <c r="AG329" t="inlineStr">
        <is>
          <t>1:1.2</t>
        </is>
      </c>
      <c r="AH329" t="inlineStr">
        <is>
          <t>1%</t>
        </is>
      </c>
      <c r="AI329" t="inlineStr"/>
      <c r="AJ329" t="n">
        <v>10.08</v>
      </c>
    </row>
    <row r="330">
      <c r="A330" t="inlineStr">
        <is>
          <t>Dokuz Eylül Üniversitesi</t>
        </is>
      </c>
      <c r="B330" t="inlineStr">
        <is>
          <t>Turkey</t>
        </is>
      </c>
      <c r="C330" t="inlineStr">
        <is>
          <t>1201-1400</t>
        </is>
      </c>
      <c r="D330" t="inlineStr"/>
      <c r="E330" t="n">
        <v>6.8</v>
      </c>
      <c r="F330" t="n">
        <v>7.8</v>
      </c>
      <c r="G330" t="n">
        <v>3.5</v>
      </c>
      <c r="H330" t="n">
        <v>2.1</v>
      </c>
      <c r="I330" t="n">
        <v>2.5</v>
      </c>
      <c r="J330" t="n">
        <v>10.7</v>
      </c>
      <c r="K330" t="n">
        <v>34.7</v>
      </c>
      <c r="L330" t="n">
        <v>6</v>
      </c>
      <c r="M330" t="n">
        <v>18.8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1201</v>
      </c>
      <c r="Z330" t="inlineStr"/>
      <c r="AA330" t="inlineStr"/>
      <c r="AB330" t="inlineStr">
        <is>
          <t>U0329</t>
        </is>
      </c>
      <c r="AC330" t="inlineStr">
        <is>
          <t>TU</t>
        </is>
      </c>
      <c r="AD330" t="inlineStr"/>
      <c r="AE330" t="n">
        <v>2.1</v>
      </c>
      <c r="AF330" t="inlineStr"/>
      <c r="AG330" t="inlineStr"/>
      <c r="AH330" t="inlineStr"/>
      <c r="AI330" t="n">
        <v>6.8</v>
      </c>
      <c r="AJ330" t="n">
        <v>14.02</v>
      </c>
    </row>
    <row r="331">
      <c r="A331" t="inlineStr">
        <is>
          <t>Dokuz Eylül University</t>
        </is>
      </c>
      <c r="B331" t="inlineStr">
        <is>
          <t>Turkey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1201–1500</t>
        </is>
      </c>
      <c r="O331" t="inlineStr">
        <is>
          <t>22.8–28.2</t>
        </is>
      </c>
      <c r="P331" t="n">
        <v>19.4</v>
      </c>
      <c r="Q331" t="n">
        <v>18.2</v>
      </c>
      <c r="R331" t="n">
        <v>25.5</v>
      </c>
      <c r="S331" t="n">
        <v>67.09999999999999</v>
      </c>
      <c r="T331" t="n">
        <v>25.5</v>
      </c>
      <c r="U331" t="inlineStr">
        <is>
          <t>56,667</t>
        </is>
      </c>
      <c r="V331" t="n">
        <v>23.7</v>
      </c>
      <c r="W331" t="inlineStr">
        <is>
          <t>3%</t>
        </is>
      </c>
      <c r="X331" t="inlineStr">
        <is>
          <t>46 : 54</t>
        </is>
      </c>
      <c r="Y331" t="inlineStr"/>
      <c r="Z331" t="n">
        <v>1201</v>
      </c>
      <c r="AA331" t="n">
        <v>25.5</v>
      </c>
      <c r="AB331" t="inlineStr">
        <is>
          <t>U0330</t>
        </is>
      </c>
      <c r="AC331" t="inlineStr">
        <is>
          <t>TU</t>
        </is>
      </c>
      <c r="AD331" t="n">
        <v>25.5</v>
      </c>
      <c r="AE331" t="n">
        <v>25.5</v>
      </c>
      <c r="AF331" t="n">
        <v>23.7</v>
      </c>
      <c r="AG331" t="inlineStr">
        <is>
          <t>1:23.7</t>
        </is>
      </c>
      <c r="AH331" t="inlineStr">
        <is>
          <t>3%</t>
        </is>
      </c>
      <c r="AI331" t="inlineStr"/>
      <c r="AJ331" t="n">
        <v>16.83</v>
      </c>
    </row>
    <row r="332">
      <c r="A332" t="inlineStr">
        <is>
          <t xml:space="preserve"> Don State Technical University</t>
        </is>
      </c>
      <c r="B332" t="inlineStr">
        <is>
          <t>Russian Federation</t>
        </is>
      </c>
      <c r="C332" t="inlineStr">
        <is>
          <t>1401+</t>
        </is>
      </c>
      <c r="D332" t="inlineStr"/>
      <c r="E332" t="n">
        <v>3.5</v>
      </c>
      <c r="F332" t="n">
        <v>3.5</v>
      </c>
      <c r="G332" t="n">
        <v>12.8</v>
      </c>
      <c r="H332" t="n">
        <v>1.4</v>
      </c>
      <c r="I332" t="n">
        <v>1.6</v>
      </c>
      <c r="J332" t="n">
        <v>14.9</v>
      </c>
      <c r="K332" t="n">
        <v>11.4</v>
      </c>
      <c r="L332" t="n">
        <v>1.9</v>
      </c>
      <c r="M332" t="n">
        <v>1</v>
      </c>
      <c r="N332" t="inlineStr">
        <is>
          <t>1001–1200</t>
        </is>
      </c>
      <c r="O332" t="inlineStr">
        <is>
          <t>28.3–32.6</t>
        </is>
      </c>
      <c r="P332" t="n">
        <v>20.6</v>
      </c>
      <c r="Q332" t="n">
        <v>9</v>
      </c>
      <c r="R332" t="n">
        <v>54.9</v>
      </c>
      <c r="S332" t="n">
        <v>17.9</v>
      </c>
      <c r="T332" t="n">
        <v>31.7</v>
      </c>
      <c r="U332" t="inlineStr">
        <is>
          <t>26,030</t>
        </is>
      </c>
      <c r="V332" t="n">
        <v>12.4</v>
      </c>
      <c r="W332" t="inlineStr">
        <is>
          <t>12%</t>
        </is>
      </c>
      <c r="X332" t="inlineStr"/>
      <c r="Y332" t="n">
        <v>1401</v>
      </c>
      <c r="Z332" t="n">
        <v>1001</v>
      </c>
      <c r="AA332" t="n">
        <v>30.45</v>
      </c>
      <c r="AB332" t="inlineStr">
        <is>
          <t>U0331</t>
        </is>
      </c>
      <c r="AC332" t="inlineStr">
        <is>
          <t>RU</t>
        </is>
      </c>
      <c r="AD332" t="n">
        <v>30.45</v>
      </c>
      <c r="AE332" t="n">
        <v>1.4</v>
      </c>
      <c r="AF332" t="n">
        <v>12.4</v>
      </c>
      <c r="AG332" t="inlineStr">
        <is>
          <t>1:12.4</t>
        </is>
      </c>
      <c r="AH332" t="inlineStr">
        <is>
          <t>12%</t>
        </is>
      </c>
      <c r="AI332" t="n">
        <v>3.5</v>
      </c>
      <c r="AJ332" t="n">
        <v>6.2</v>
      </c>
    </row>
    <row r="333">
      <c r="A333" t="inlineStr">
        <is>
          <t xml:space="preserve">Dongguk University </t>
        </is>
      </c>
      <c r="B333" t="inlineStr">
        <is>
          <t>South Korea</t>
        </is>
      </c>
      <c r="C333" t="inlineStr">
        <is>
          <t>701-710</t>
        </is>
      </c>
      <c r="D333" t="inlineStr"/>
      <c r="E333" t="n">
        <v>7.9</v>
      </c>
      <c r="F333" t="n">
        <v>10.5</v>
      </c>
      <c r="G333" t="n">
        <v>83.59999999999999</v>
      </c>
      <c r="H333" t="n">
        <v>9.699999999999999</v>
      </c>
      <c r="I333" t="n">
        <v>9</v>
      </c>
      <c r="J333" t="n">
        <v>23.8</v>
      </c>
      <c r="K333" t="n">
        <v>36.5</v>
      </c>
      <c r="L333" t="n">
        <v>4.8</v>
      </c>
      <c r="M333" t="n">
        <v>20.8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701</v>
      </c>
      <c r="Z333" t="inlineStr"/>
      <c r="AA333" t="inlineStr"/>
      <c r="AB333" t="inlineStr">
        <is>
          <t>U0332</t>
        </is>
      </c>
      <c r="AC333" t="inlineStr">
        <is>
          <t>SO</t>
        </is>
      </c>
      <c r="AD333" t="inlineStr"/>
      <c r="AE333" t="n">
        <v>9.699999999999999</v>
      </c>
      <c r="AF333" t="inlineStr"/>
      <c r="AG333" t="inlineStr"/>
      <c r="AH333" t="inlineStr"/>
      <c r="AI333" t="n">
        <v>7.9</v>
      </c>
      <c r="AJ333" t="n">
        <v>16.33</v>
      </c>
    </row>
    <row r="334">
      <c r="A334" t="inlineStr">
        <is>
          <t>Donghua University</t>
        </is>
      </c>
      <c r="B334" t="inlineStr">
        <is>
          <t>China</t>
        </is>
      </c>
      <c r="C334" t="inlineStr">
        <is>
          <t>851-900</t>
        </is>
      </c>
      <c r="D334" t="inlineStr"/>
      <c r="E334" t="n">
        <v>3.8</v>
      </c>
      <c r="F334" t="n">
        <v>1.6</v>
      </c>
      <c r="G334" t="n">
        <v>25.5</v>
      </c>
      <c r="H334" t="n">
        <v>47.3</v>
      </c>
      <c r="I334" t="n">
        <v>2.2</v>
      </c>
      <c r="J334" t="n">
        <v>3.1</v>
      </c>
      <c r="K334" t="n">
        <v>31.1</v>
      </c>
      <c r="L334" t="n">
        <v>3.7</v>
      </c>
      <c r="M334" t="n">
        <v>1.1</v>
      </c>
      <c r="N334" t="inlineStr">
        <is>
          <t>501–600</t>
        </is>
      </c>
      <c r="O334" t="inlineStr">
        <is>
          <t>41.9–45.3</t>
        </is>
      </c>
      <c r="P334" t="n">
        <v>27.8</v>
      </c>
      <c r="Q334" t="n">
        <v>22.1</v>
      </c>
      <c r="R334" t="n">
        <v>72.8</v>
      </c>
      <c r="S334" t="n">
        <v>85.3</v>
      </c>
      <c r="T334" t="n">
        <v>39.9</v>
      </c>
      <c r="U334" t="inlineStr">
        <is>
          <t>23,099</t>
        </is>
      </c>
      <c r="V334" t="n">
        <v>14.7</v>
      </c>
      <c r="W334" t="inlineStr">
        <is>
          <t>6%</t>
        </is>
      </c>
      <c r="X334" t="inlineStr">
        <is>
          <t>44 : 56</t>
        </is>
      </c>
      <c r="Y334" t="n">
        <v>851</v>
      </c>
      <c r="Z334" t="n">
        <v>501</v>
      </c>
      <c r="AA334" t="n">
        <v>43.59999999999999</v>
      </c>
      <c r="AB334" t="inlineStr">
        <is>
          <t>U0333</t>
        </is>
      </c>
      <c r="AC334" t="inlineStr">
        <is>
          <t>CH</t>
        </is>
      </c>
      <c r="AD334" t="n">
        <v>43.59999999999999</v>
      </c>
      <c r="AE334" t="n">
        <v>47.3</v>
      </c>
      <c r="AF334" t="n">
        <v>14.7</v>
      </c>
      <c r="AG334" t="inlineStr">
        <is>
          <t>1:14.7</t>
        </is>
      </c>
      <c r="AH334" t="inlineStr">
        <is>
          <t>6%</t>
        </is>
      </c>
      <c r="AI334" t="n">
        <v>3.8</v>
      </c>
      <c r="AJ334" t="n">
        <v>28.96</v>
      </c>
    </row>
    <row r="335">
      <c r="A335" t="inlineStr">
        <is>
          <t>Doshisha University</t>
        </is>
      </c>
      <c r="B335" t="inlineStr">
        <is>
          <t>Japan</t>
        </is>
      </c>
      <c r="C335" t="inlineStr">
        <is>
          <t>1201-1400</t>
        </is>
      </c>
      <c r="D335" t="inlineStr"/>
      <c r="E335" t="n">
        <v>8.6</v>
      </c>
      <c r="F335" t="n">
        <v>11.4</v>
      </c>
      <c r="G335" t="n">
        <v>5.2</v>
      </c>
      <c r="H335" t="n">
        <v>1.8</v>
      </c>
      <c r="I335" t="n">
        <v>17.6</v>
      </c>
      <c r="J335" t="n">
        <v>3.7</v>
      </c>
      <c r="K335" t="n">
        <v>18.7</v>
      </c>
      <c r="L335" t="n">
        <v>19.1</v>
      </c>
      <c r="M335" t="n">
        <v>1</v>
      </c>
      <c r="N335" t="inlineStr">
        <is>
          <t>1501+</t>
        </is>
      </c>
      <c r="O335" t="inlineStr">
        <is>
          <t>9.7–22.7</t>
        </is>
      </c>
      <c r="P335" t="n">
        <v>17.9</v>
      </c>
      <c r="Q335" t="n">
        <v>10.9</v>
      </c>
      <c r="R335" t="n">
        <v>11.1</v>
      </c>
      <c r="S335" t="n">
        <v>30.7</v>
      </c>
      <c r="T335" t="n">
        <v>35.5</v>
      </c>
      <c r="U335" t="inlineStr">
        <is>
          <t>27,624</t>
        </is>
      </c>
      <c r="V335" t="n">
        <v>18.6</v>
      </c>
      <c r="W335" t="inlineStr">
        <is>
          <t>4%</t>
        </is>
      </c>
      <c r="X335" t="inlineStr">
        <is>
          <t>42 : 58</t>
        </is>
      </c>
      <c r="Y335" t="n">
        <v>1201</v>
      </c>
      <c r="Z335" t="n">
        <v>1501</v>
      </c>
      <c r="AA335" t="n">
        <v>16.2</v>
      </c>
      <c r="AB335" t="inlineStr">
        <is>
          <t>U0334</t>
        </is>
      </c>
      <c r="AC335" t="inlineStr">
        <is>
          <t>JA</t>
        </is>
      </c>
      <c r="AD335" t="n">
        <v>16.2</v>
      </c>
      <c r="AE335" t="n">
        <v>1.8</v>
      </c>
      <c r="AF335" t="n">
        <v>18.6</v>
      </c>
      <c r="AG335" t="inlineStr">
        <is>
          <t>1:18.6</t>
        </is>
      </c>
      <c r="AH335" t="inlineStr">
        <is>
          <t>4%</t>
        </is>
      </c>
      <c r="AI335" t="n">
        <v>8.6</v>
      </c>
      <c r="AJ335" t="n">
        <v>8.24</v>
      </c>
    </row>
    <row r="336">
      <c r="A336" t="inlineStr">
        <is>
          <t>Dow University of Health Sciences</t>
        </is>
      </c>
      <c r="B336" t="inlineStr">
        <is>
          <t>Pakistan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1201–1500</t>
        </is>
      </c>
      <c r="O336" t="inlineStr">
        <is>
          <t>22.8–28.2</t>
        </is>
      </c>
      <c r="P336" t="n">
        <v>24.2</v>
      </c>
      <c r="Q336" t="n">
        <v>10</v>
      </c>
      <c r="R336" t="n">
        <v>46.5</v>
      </c>
      <c r="S336" t="n">
        <v>18.7</v>
      </c>
      <c r="T336" t="n">
        <v>43.2</v>
      </c>
      <c r="U336" t="inlineStr">
        <is>
          <t>11,555</t>
        </is>
      </c>
      <c r="V336" t="n">
        <v>7.7</v>
      </c>
      <c r="W336" t="inlineStr">
        <is>
          <t>3%</t>
        </is>
      </c>
      <c r="X336" t="inlineStr">
        <is>
          <t>63 : 37</t>
        </is>
      </c>
      <c r="Y336" t="inlineStr"/>
      <c r="Z336" t="n">
        <v>1201</v>
      </c>
      <c r="AA336" t="n">
        <v>25.5</v>
      </c>
      <c r="AB336" t="inlineStr">
        <is>
          <t>U0335</t>
        </is>
      </c>
      <c r="AC336" t="inlineStr">
        <is>
          <t>PA</t>
        </is>
      </c>
      <c r="AD336" t="n">
        <v>25.5</v>
      </c>
      <c r="AE336" t="n">
        <v>46.5</v>
      </c>
      <c r="AF336" t="n">
        <v>7.7</v>
      </c>
      <c r="AG336" t="inlineStr">
        <is>
          <t>1:7.7</t>
        </is>
      </c>
      <c r="AH336" t="inlineStr">
        <is>
          <t>3%</t>
        </is>
      </c>
      <c r="AI336" t="inlineStr"/>
      <c r="AJ336" t="n">
        <v>23.17</v>
      </c>
    </row>
    <row r="337">
      <c r="A337" t="inlineStr">
        <is>
          <t>Dr B.R. Ambedkar National Institute of Technology Jalandhar</t>
        </is>
      </c>
      <c r="B337" t="inlineStr">
        <is>
          <t>India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1001–1200</t>
        </is>
      </c>
      <c r="O337" t="inlineStr">
        <is>
          <t>28.3–32.6</t>
        </is>
      </c>
      <c r="P337" t="n">
        <v>25.4</v>
      </c>
      <c r="Q337" t="n">
        <v>13.2</v>
      </c>
      <c r="R337" t="n">
        <v>54.6</v>
      </c>
      <c r="S337" t="n">
        <v>22.2</v>
      </c>
      <c r="T337" t="n">
        <v>17.8</v>
      </c>
      <c r="U337" t="inlineStr">
        <is>
          <t>5,462</t>
        </is>
      </c>
      <c r="V337" t="n">
        <v>24.1</v>
      </c>
      <c r="W337" t="inlineStr">
        <is>
          <t>1%</t>
        </is>
      </c>
      <c r="X337" t="inlineStr">
        <is>
          <t>36 : 64</t>
        </is>
      </c>
      <c r="Y337" t="inlineStr"/>
      <c r="Z337" t="n">
        <v>1001</v>
      </c>
      <c r="AA337" t="n">
        <v>30.45</v>
      </c>
      <c r="AB337" t="inlineStr">
        <is>
          <t>U0336</t>
        </is>
      </c>
      <c r="AC337" t="inlineStr">
        <is>
          <t>IN</t>
        </is>
      </c>
      <c r="AD337" t="n">
        <v>30.45</v>
      </c>
      <c r="AE337" t="n">
        <v>54.6</v>
      </c>
      <c r="AF337" t="n">
        <v>24.1</v>
      </c>
      <c r="AG337" t="inlineStr">
        <is>
          <t>1:24.1</t>
        </is>
      </c>
      <c r="AH337" t="inlineStr">
        <is>
          <t>1%</t>
        </is>
      </c>
      <c r="AI337" t="inlineStr"/>
      <c r="AJ337" t="n">
        <v>21.16</v>
      </c>
    </row>
    <row r="338">
      <c r="A338" t="inlineStr">
        <is>
          <t>Drexel University</t>
        </is>
      </c>
      <c r="B338" t="inlineStr">
        <is>
          <t>United States</t>
        </is>
      </c>
      <c r="C338" t="inlineStr">
        <is>
          <t>721-730</t>
        </is>
      </c>
      <c r="D338" t="inlineStr"/>
      <c r="E338" t="n">
        <v>8.1</v>
      </c>
      <c r="F338" t="n">
        <v>4.5</v>
      </c>
      <c r="G338" t="n">
        <v>22.4</v>
      </c>
      <c r="H338" t="n">
        <v>28.7</v>
      </c>
      <c r="I338" t="n">
        <v>12.6</v>
      </c>
      <c r="J338" t="n">
        <v>23.8</v>
      </c>
      <c r="K338" t="n">
        <v>73.40000000000001</v>
      </c>
      <c r="L338" t="n">
        <v>25.1</v>
      </c>
      <c r="M338" t="n">
        <v>8.300000000000001</v>
      </c>
      <c r="N338" t="inlineStr">
        <is>
          <t>301–350</t>
        </is>
      </c>
      <c r="O338" t="inlineStr">
        <is>
          <t>51.1–53.0</t>
        </is>
      </c>
      <c r="P338" t="n">
        <v>44.1</v>
      </c>
      <c r="Q338" t="n">
        <v>26</v>
      </c>
      <c r="R338" t="n">
        <v>79.59999999999999</v>
      </c>
      <c r="S338" t="n">
        <v>75.59999999999999</v>
      </c>
      <c r="T338" t="n">
        <v>62.2</v>
      </c>
      <c r="U338" t="inlineStr">
        <is>
          <t>16,910</t>
        </is>
      </c>
      <c r="V338" t="n">
        <v>11</v>
      </c>
      <c r="W338" t="inlineStr">
        <is>
          <t>15%</t>
        </is>
      </c>
      <c r="X338" t="inlineStr">
        <is>
          <t>51 : 49</t>
        </is>
      </c>
      <c r="Y338" t="n">
        <v>721</v>
      </c>
      <c r="Z338" t="n">
        <v>301</v>
      </c>
      <c r="AA338" t="n">
        <v>52.05</v>
      </c>
      <c r="AB338" t="inlineStr">
        <is>
          <t>U0337</t>
        </is>
      </c>
      <c r="AC338" t="inlineStr">
        <is>
          <t>UN</t>
        </is>
      </c>
      <c r="AD338" t="n">
        <v>52.05</v>
      </c>
      <c r="AE338" t="n">
        <v>28.7</v>
      </c>
      <c r="AF338" t="n">
        <v>11</v>
      </c>
      <c r="AG338" t="inlineStr">
        <is>
          <t>1:11.0</t>
        </is>
      </c>
      <c r="AH338" t="inlineStr">
        <is>
          <t>15%</t>
        </is>
      </c>
      <c r="AI338" t="n">
        <v>8.1</v>
      </c>
      <c r="AJ338" t="n">
        <v>30.76</v>
      </c>
    </row>
    <row r="339">
      <c r="A339" t="inlineStr">
        <is>
          <t>Dublin City University</t>
        </is>
      </c>
      <c r="B339" t="inlineStr">
        <is>
          <t>Ireland</t>
        </is>
      </c>
      <c r="C339" t="inlineStr">
        <is>
          <t>421</t>
        </is>
      </c>
      <c r="D339" t="n">
        <v>28.3</v>
      </c>
      <c r="E339" t="n">
        <v>20.1</v>
      </c>
      <c r="F339" t="n">
        <v>26</v>
      </c>
      <c r="G339" t="n">
        <v>25.8</v>
      </c>
      <c r="H339" t="n">
        <v>10.7</v>
      </c>
      <c r="I339" t="n">
        <v>75</v>
      </c>
      <c r="J339" t="n">
        <v>22.6</v>
      </c>
      <c r="K339" t="n">
        <v>75.40000000000001</v>
      </c>
      <c r="L339" t="n">
        <v>35.3</v>
      </c>
      <c r="M339" t="n">
        <v>82.5</v>
      </c>
      <c r="N339" t="inlineStr">
        <is>
          <t>401–500</t>
        </is>
      </c>
      <c r="O339" t="inlineStr">
        <is>
          <t>45.4–49.0</t>
        </is>
      </c>
      <c r="P339" t="n">
        <v>24.5</v>
      </c>
      <c r="Q339" t="n">
        <v>35.2</v>
      </c>
      <c r="R339" t="n">
        <v>77.09999999999999</v>
      </c>
      <c r="S339" t="n">
        <v>62.8</v>
      </c>
      <c r="T339" t="n">
        <v>73.90000000000001</v>
      </c>
      <c r="U339" t="inlineStr">
        <is>
          <t>14,325</t>
        </is>
      </c>
      <c r="V339" t="n">
        <v>26.1</v>
      </c>
      <c r="W339" t="inlineStr">
        <is>
          <t>12%</t>
        </is>
      </c>
      <c r="X339" t="inlineStr">
        <is>
          <t>58 : 42</t>
        </is>
      </c>
      <c r="Y339" t="n">
        <v>421</v>
      </c>
      <c r="Z339" t="n">
        <v>401</v>
      </c>
      <c r="AA339" t="n">
        <v>47.2</v>
      </c>
      <c r="AB339" t="inlineStr">
        <is>
          <t>U0338</t>
        </is>
      </c>
      <c r="AC339" t="inlineStr">
        <is>
          <t>IR</t>
        </is>
      </c>
      <c r="AD339" t="n">
        <v>28.3</v>
      </c>
      <c r="AE339" t="n">
        <v>10.7</v>
      </c>
      <c r="AF339" t="n">
        <v>26.1</v>
      </c>
      <c r="AG339" t="inlineStr">
        <is>
          <t>1:26.1</t>
        </is>
      </c>
      <c r="AH339" t="inlineStr">
        <is>
          <t>12%</t>
        </is>
      </c>
      <c r="AI339" t="n">
        <v>20.1</v>
      </c>
      <c r="AJ339" t="n">
        <v>32.96</v>
      </c>
    </row>
    <row r="340">
      <c r="A340" t="inlineStr">
        <is>
          <t>Duke University</t>
        </is>
      </c>
      <c r="B340" t="inlineStr">
        <is>
          <t>United States</t>
        </is>
      </c>
      <c r="C340" t="inlineStr">
        <is>
          <t>61</t>
        </is>
      </c>
      <c r="D340" t="n">
        <v>70.8</v>
      </c>
      <c r="E340" t="n">
        <v>86</v>
      </c>
      <c r="F340" t="n">
        <v>74.7</v>
      </c>
      <c r="G340" t="n">
        <v>100</v>
      </c>
      <c r="H340" t="n">
        <v>35.1</v>
      </c>
      <c r="I340" t="n">
        <v>16.3</v>
      </c>
      <c r="J340" t="n">
        <v>61</v>
      </c>
      <c r="K340" t="n">
        <v>93.3</v>
      </c>
      <c r="L340" t="n">
        <v>85.5</v>
      </c>
      <c r="M340" t="n">
        <v>75</v>
      </c>
      <c r="N340" t="inlineStr">
        <is>
          <t>26</t>
        </is>
      </c>
      <c r="O340" t="inlineStr">
        <is>
          <t>83.9</t>
        </is>
      </c>
      <c r="P340" t="n">
        <v>79.3</v>
      </c>
      <c r="Q340" t="n">
        <v>76.09999999999999</v>
      </c>
      <c r="R340" t="n">
        <v>96.2</v>
      </c>
      <c r="S340" t="n">
        <v>100</v>
      </c>
      <c r="T340" t="n">
        <v>74.8</v>
      </c>
      <c r="U340" t="inlineStr">
        <is>
          <t>15,527</t>
        </is>
      </c>
      <c r="V340" t="n">
        <v>3.9</v>
      </c>
      <c r="W340" t="inlineStr">
        <is>
          <t>18%</t>
        </is>
      </c>
      <c r="X340" t="inlineStr">
        <is>
          <t>52 : 48</t>
        </is>
      </c>
      <c r="Y340" t="n">
        <v>61</v>
      </c>
      <c r="Z340" t="n">
        <v>26</v>
      </c>
      <c r="AA340" t="n">
        <v>83.90000000000001</v>
      </c>
      <c r="AB340" t="inlineStr">
        <is>
          <t>U0339</t>
        </is>
      </c>
      <c r="AC340" t="inlineStr">
        <is>
          <t>UN</t>
        </is>
      </c>
      <c r="AD340" t="n">
        <v>70.8</v>
      </c>
      <c r="AE340" t="n">
        <v>35.1</v>
      </c>
      <c r="AF340" t="n">
        <v>3.9</v>
      </c>
      <c r="AG340" t="inlineStr">
        <is>
          <t>1:3.9</t>
        </is>
      </c>
      <c r="AH340" t="inlineStr">
        <is>
          <t>18%</t>
        </is>
      </c>
      <c r="AI340" t="n">
        <v>86</v>
      </c>
      <c r="AJ340" t="n">
        <v>62</v>
      </c>
    </row>
    <row r="341">
      <c r="A341" t="inlineStr">
        <is>
          <t>Dumlupinar University</t>
        </is>
      </c>
      <c r="B341" t="inlineStr">
        <is>
          <t>Turkey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1501+</t>
        </is>
      </c>
      <c r="O341" t="inlineStr">
        <is>
          <t>9.7–22.7</t>
        </is>
      </c>
      <c r="P341" t="n">
        <v>10.9</v>
      </c>
      <c r="Q341" t="n">
        <v>7.8</v>
      </c>
      <c r="R341" t="n">
        <v>23.3</v>
      </c>
      <c r="S341" t="n">
        <v>19.8</v>
      </c>
      <c r="T341" t="n">
        <v>38.5</v>
      </c>
      <c r="U341" t="inlineStr">
        <is>
          <t>44,749</t>
        </is>
      </c>
      <c r="V341" t="n">
        <v>44.4</v>
      </c>
      <c r="W341" t="inlineStr">
        <is>
          <t>19%</t>
        </is>
      </c>
      <c r="X341" t="inlineStr">
        <is>
          <t>40 : 60</t>
        </is>
      </c>
      <c r="Y341" t="inlineStr"/>
      <c r="Z341" t="n">
        <v>1501</v>
      </c>
      <c r="AA341" t="n">
        <v>16.2</v>
      </c>
      <c r="AB341" t="inlineStr">
        <is>
          <t>U0340</t>
        </is>
      </c>
      <c r="AC341" t="inlineStr">
        <is>
          <t>TU</t>
        </is>
      </c>
      <c r="AD341" t="n">
        <v>16.2</v>
      </c>
      <c r="AE341" t="n">
        <v>23.3</v>
      </c>
      <c r="AF341" t="n">
        <v>44.4</v>
      </c>
      <c r="AG341" t="inlineStr">
        <is>
          <t>1:44.4</t>
        </is>
      </c>
      <c r="AH341" t="inlineStr">
        <is>
          <t>19%</t>
        </is>
      </c>
      <c r="AI341" t="inlineStr"/>
      <c r="AJ341" t="n">
        <v>13.85</v>
      </c>
    </row>
    <row r="342">
      <c r="A342" t="inlineStr">
        <is>
          <t>Dunarea de Jos University of Galati</t>
        </is>
      </c>
      <c r="B342" t="inlineStr">
        <is>
          <t>Romania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>1501+</t>
        </is>
      </c>
      <c r="O342" t="inlineStr">
        <is>
          <t>9.7–22.7</t>
        </is>
      </c>
      <c r="P342" t="n">
        <v>19.8</v>
      </c>
      <c r="Q342" t="n">
        <v>9.199999999999999</v>
      </c>
      <c r="R342" t="n">
        <v>17.5</v>
      </c>
      <c r="S342" t="n">
        <v>16.4</v>
      </c>
      <c r="T342" t="n">
        <v>46.1</v>
      </c>
      <c r="U342" t="inlineStr">
        <is>
          <t>12,481</t>
        </is>
      </c>
      <c r="V342" t="n">
        <v>16</v>
      </c>
      <c r="W342" t="inlineStr">
        <is>
          <t>22%</t>
        </is>
      </c>
      <c r="X342" t="inlineStr">
        <is>
          <t>58 : 42</t>
        </is>
      </c>
      <c r="Y342" t="inlineStr"/>
      <c r="Z342" t="n">
        <v>1501</v>
      </c>
      <c r="AA342" t="n">
        <v>16.2</v>
      </c>
      <c r="AB342" t="inlineStr">
        <is>
          <t>U0341</t>
        </is>
      </c>
      <c r="AC342" t="inlineStr">
        <is>
          <t>RO</t>
        </is>
      </c>
      <c r="AD342" t="n">
        <v>16.2</v>
      </c>
      <c r="AE342" t="n">
        <v>17.5</v>
      </c>
      <c r="AF342" t="n">
        <v>16</v>
      </c>
      <c r="AG342" t="inlineStr">
        <is>
          <t>1:16.0</t>
        </is>
      </c>
      <c r="AH342" t="inlineStr">
        <is>
          <t>22%</t>
        </is>
      </c>
      <c r="AI342" t="inlineStr"/>
      <c r="AJ342" t="n">
        <v>14.67</v>
      </c>
    </row>
    <row r="343">
      <c r="A343" t="inlineStr">
        <is>
          <t>Durban University of Technology</t>
        </is>
      </c>
      <c r="B343" t="inlineStr">
        <is>
          <t>South Africa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1001–1200</t>
        </is>
      </c>
      <c r="O343" t="inlineStr">
        <is>
          <t>28.3–32.6</t>
        </is>
      </c>
      <c r="P343" t="n">
        <v>17.3</v>
      </c>
      <c r="Q343" t="n">
        <v>11.8</v>
      </c>
      <c r="R343" t="n">
        <v>62</v>
      </c>
      <c r="S343" t="n">
        <v>18.4</v>
      </c>
      <c r="T343" t="n">
        <v>46.5</v>
      </c>
      <c r="U343" t="inlineStr">
        <is>
          <t>27,163</t>
        </is>
      </c>
      <c r="V343" t="n">
        <v>35.3</v>
      </c>
      <c r="W343" t="inlineStr">
        <is>
          <t>1%</t>
        </is>
      </c>
      <c r="X343" t="inlineStr">
        <is>
          <t>55 : 45</t>
        </is>
      </c>
      <c r="Y343" t="inlineStr"/>
      <c r="Z343" t="n">
        <v>1001</v>
      </c>
      <c r="AA343" t="n">
        <v>30.45</v>
      </c>
      <c r="AB343" t="inlineStr">
        <is>
          <t>U0342</t>
        </is>
      </c>
      <c r="AC343" t="inlineStr">
        <is>
          <t>SO</t>
        </is>
      </c>
      <c r="AD343" t="n">
        <v>30.45</v>
      </c>
      <c r="AE343" t="n">
        <v>62</v>
      </c>
      <c r="AF343" t="n">
        <v>35.3</v>
      </c>
      <c r="AG343" t="inlineStr">
        <is>
          <t>1:35.3</t>
        </is>
      </c>
      <c r="AH343" t="inlineStr">
        <is>
          <t>1%</t>
        </is>
      </c>
      <c r="AI343" t="inlineStr"/>
      <c r="AJ343" t="n">
        <v>29.61</v>
      </c>
    </row>
    <row r="344">
      <c r="A344" t="inlineStr">
        <is>
          <t>Durham University</t>
        </is>
      </c>
      <c r="B344" t="inlineStr">
        <is>
          <t>United Kingdom</t>
        </is>
      </c>
      <c r="C344" t="inlineStr">
        <is>
          <t>89</t>
        </is>
      </c>
      <c r="D344" t="n">
        <v>61.7</v>
      </c>
      <c r="E344" t="n">
        <v>59.6</v>
      </c>
      <c r="F344" t="n">
        <v>83.90000000000001</v>
      </c>
      <c r="G344" t="n">
        <v>26.3</v>
      </c>
      <c r="H344" t="n">
        <v>40.9</v>
      </c>
      <c r="I344" t="n">
        <v>97.3</v>
      </c>
      <c r="J344" t="n">
        <v>84.90000000000001</v>
      </c>
      <c r="K344" t="n">
        <v>89.7</v>
      </c>
      <c r="L344" t="n">
        <v>39.4</v>
      </c>
      <c r="M344" t="n">
        <v>98.59999999999999</v>
      </c>
      <c r="N344" t="inlineStr">
        <is>
          <t>174</t>
        </is>
      </c>
      <c r="O344" t="inlineStr">
        <is>
          <t>60.6</t>
        </is>
      </c>
      <c r="P344" t="n">
        <v>43.5</v>
      </c>
      <c r="Q344" t="n">
        <v>44.5</v>
      </c>
      <c r="R344" t="n">
        <v>83.5</v>
      </c>
      <c r="S344" t="n">
        <v>65.59999999999999</v>
      </c>
      <c r="T344" t="n">
        <v>95.8</v>
      </c>
      <c r="U344" t="inlineStr">
        <is>
          <t>19,575</t>
        </is>
      </c>
      <c r="V344" t="n">
        <v>14</v>
      </c>
      <c r="W344" t="inlineStr">
        <is>
          <t>32%</t>
        </is>
      </c>
      <c r="X344" t="inlineStr">
        <is>
          <t>54 : 46</t>
        </is>
      </c>
      <c r="Y344" t="n">
        <v>89</v>
      </c>
      <c r="Z344" t="n">
        <v>174</v>
      </c>
      <c r="AA344" t="n">
        <v>60.6</v>
      </c>
      <c r="AB344" t="inlineStr">
        <is>
          <t>U0343</t>
        </is>
      </c>
      <c r="AC344" t="inlineStr">
        <is>
          <t>UN</t>
        </is>
      </c>
      <c r="AD344" t="n">
        <v>61.7</v>
      </c>
      <c r="AE344" t="n">
        <v>40.9</v>
      </c>
      <c r="AF344" t="n">
        <v>14</v>
      </c>
      <c r="AG344" t="inlineStr">
        <is>
          <t>1:14.0</t>
        </is>
      </c>
      <c r="AH344" t="inlineStr">
        <is>
          <t>32%</t>
        </is>
      </c>
      <c r="AI344" t="n">
        <v>59.6</v>
      </c>
      <c r="AJ344" t="n">
        <v>52.28</v>
      </c>
    </row>
    <row r="345">
      <c r="A345" t="inlineStr">
        <is>
          <t>Duy Tan University</t>
        </is>
      </c>
      <c r="B345" t="inlineStr">
        <is>
          <t>Vietnam</t>
        </is>
      </c>
      <c r="C345" t="inlineStr">
        <is>
          <t>495</t>
        </is>
      </c>
      <c r="D345" t="n">
        <v>24.4</v>
      </c>
      <c r="E345" t="n">
        <v>11.9</v>
      </c>
      <c r="F345" t="n">
        <v>25.3</v>
      </c>
      <c r="G345" t="n">
        <v>3.9</v>
      </c>
      <c r="H345" t="n">
        <v>49</v>
      </c>
      <c r="I345" t="n">
        <v>37.7</v>
      </c>
      <c r="J345" t="n">
        <v>1.4</v>
      </c>
      <c r="K345" t="n">
        <v>83.5</v>
      </c>
      <c r="L345" t="n">
        <v>4.4</v>
      </c>
      <c r="M345" t="n">
        <v>29</v>
      </c>
      <c r="N345" t="inlineStr">
        <is>
          <t>601–800</t>
        </is>
      </c>
      <c r="O345" t="inlineStr">
        <is>
          <t>37.0–41.8</t>
        </is>
      </c>
      <c r="P345" t="n">
        <v>12.1</v>
      </c>
      <c r="Q345" t="n">
        <v>14.2</v>
      </c>
      <c r="R345" t="n">
        <v>87.5</v>
      </c>
      <c r="S345" t="n">
        <v>17.4</v>
      </c>
      <c r="T345" t="n">
        <v>52.5</v>
      </c>
      <c r="U345" t="inlineStr">
        <is>
          <t>23,951</t>
        </is>
      </c>
      <c r="V345" t="n">
        <v>24.3</v>
      </c>
      <c r="W345" t="inlineStr">
        <is>
          <t>0%</t>
        </is>
      </c>
      <c r="X345" t="inlineStr">
        <is>
          <t>57 : 43</t>
        </is>
      </c>
      <c r="Y345" t="n">
        <v>495</v>
      </c>
      <c r="Z345" t="n">
        <v>601</v>
      </c>
      <c r="AA345" t="n">
        <v>39.4</v>
      </c>
      <c r="AB345" t="inlineStr">
        <is>
          <t>U0344</t>
        </is>
      </c>
      <c r="AC345" t="inlineStr">
        <is>
          <t>VI</t>
        </is>
      </c>
      <c r="AD345" t="n">
        <v>24.4</v>
      </c>
      <c r="AE345" t="n">
        <v>49</v>
      </c>
      <c r="AF345" t="n">
        <v>24.3</v>
      </c>
      <c r="AG345" t="inlineStr">
        <is>
          <t>1:24.3</t>
        </is>
      </c>
      <c r="AH345" t="inlineStr">
        <is>
          <t>0%</t>
        </is>
      </c>
      <c r="AI345" t="n">
        <v>11.9</v>
      </c>
      <c r="AJ345" t="n">
        <v>28.38</v>
      </c>
    </row>
    <row r="346">
      <c r="A346" t="inlineStr">
        <is>
          <t>Duzce University</t>
        </is>
      </c>
      <c r="B346" t="inlineStr">
        <is>
          <t>Turkey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1201–1500</t>
        </is>
      </c>
      <c r="O346" t="inlineStr">
        <is>
          <t>22.8–28.2</t>
        </is>
      </c>
      <c r="P346" t="n">
        <v>15.5</v>
      </c>
      <c r="Q346" t="n">
        <v>19.9</v>
      </c>
      <c r="R346" t="n">
        <v>44.7</v>
      </c>
      <c r="S346" t="n">
        <v>50.7</v>
      </c>
      <c r="T346" t="n">
        <v>30.2</v>
      </c>
      <c r="U346" t="inlineStr">
        <is>
          <t>21,641</t>
        </is>
      </c>
      <c r="V346" t="n">
        <v>33.4</v>
      </c>
      <c r="W346" t="inlineStr">
        <is>
          <t>9%</t>
        </is>
      </c>
      <c r="X346" t="inlineStr">
        <is>
          <t>44 : 56</t>
        </is>
      </c>
      <c r="Y346" t="inlineStr"/>
      <c r="Z346" t="n">
        <v>1201</v>
      </c>
      <c r="AA346" t="n">
        <v>25.5</v>
      </c>
      <c r="AB346" t="inlineStr">
        <is>
          <t>U0345</t>
        </is>
      </c>
      <c r="AC346" t="inlineStr">
        <is>
          <t>TU</t>
        </is>
      </c>
      <c r="AD346" t="n">
        <v>25.5</v>
      </c>
      <c r="AE346" t="n">
        <v>44.7</v>
      </c>
      <c r="AF346" t="n">
        <v>33.4</v>
      </c>
      <c r="AG346" t="inlineStr">
        <is>
          <t>1:33.4</t>
        </is>
      </c>
      <c r="AH346" t="inlineStr">
        <is>
          <t>9%</t>
        </is>
      </c>
      <c r="AI346" t="inlineStr"/>
      <c r="AJ346" t="n">
        <v>24.67</v>
      </c>
    </row>
    <row r="347">
      <c r="A347" t="inlineStr">
        <is>
          <t>Eötvös Loránd University</t>
        </is>
      </c>
      <c r="B347" t="inlineStr">
        <is>
          <t>Hungary</t>
        </is>
      </c>
      <c r="C347" t="inlineStr">
        <is>
          <t>564</t>
        </is>
      </c>
      <c r="D347" t="n">
        <v>22.1</v>
      </c>
      <c r="E347" t="n">
        <v>23.3</v>
      </c>
      <c r="F347" t="n">
        <v>22.6</v>
      </c>
      <c r="G347" t="n">
        <v>10.7</v>
      </c>
      <c r="H347" t="n">
        <v>6.1</v>
      </c>
      <c r="I347" t="n">
        <v>5.2</v>
      </c>
      <c r="J347" t="n">
        <v>11</v>
      </c>
      <c r="K347" t="n">
        <v>71.3</v>
      </c>
      <c r="L347" t="n">
        <v>60.9</v>
      </c>
      <c r="M347" t="n">
        <v>61.9</v>
      </c>
      <c r="N347" t="inlineStr">
        <is>
          <t>801–1000</t>
        </is>
      </c>
      <c r="O347" t="inlineStr">
        <is>
          <t>32.7–36.9</t>
        </is>
      </c>
      <c r="P347" t="n">
        <v>28.6</v>
      </c>
      <c r="Q347" t="n">
        <v>19.2</v>
      </c>
      <c r="R347" t="n">
        <v>57.3</v>
      </c>
      <c r="S347" t="n">
        <v>33.4</v>
      </c>
      <c r="T347" t="n">
        <v>51.3</v>
      </c>
      <c r="U347" t="inlineStr">
        <is>
          <t>30,414</t>
        </is>
      </c>
      <c r="V347" t="n">
        <v>17.8</v>
      </c>
      <c r="W347" t="inlineStr">
        <is>
          <t>11%</t>
        </is>
      </c>
      <c r="X347" t="inlineStr">
        <is>
          <t>61 : 39</t>
        </is>
      </c>
      <c r="Y347" t="n">
        <v>564</v>
      </c>
      <c r="Z347" t="n">
        <v>801</v>
      </c>
      <c r="AA347" t="n">
        <v>34.8</v>
      </c>
      <c r="AB347" t="inlineStr">
        <is>
          <t>U0346</t>
        </is>
      </c>
      <c r="AC347" t="inlineStr">
        <is>
          <t>HU</t>
        </is>
      </c>
      <c r="AD347" t="n">
        <v>22.1</v>
      </c>
      <c r="AE347" t="n">
        <v>6.1</v>
      </c>
      <c r="AF347" t="n">
        <v>17.8</v>
      </c>
      <c r="AG347" t="inlineStr">
        <is>
          <t>1:17.8</t>
        </is>
      </c>
      <c r="AH347" t="inlineStr">
        <is>
          <t>11%</t>
        </is>
      </c>
      <c r="AI347" t="n">
        <v>23.3</v>
      </c>
      <c r="AJ347" t="n">
        <v>17.71</v>
      </c>
    </row>
    <row r="348">
      <c r="A348" t="inlineStr">
        <is>
          <t>EAFIT University</t>
        </is>
      </c>
      <c r="B348" t="inlineStr">
        <is>
          <t>Colombia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1501+</t>
        </is>
      </c>
      <c r="O348" t="inlineStr">
        <is>
          <t>9.7–22.7</t>
        </is>
      </c>
      <c r="P348" t="n">
        <v>17</v>
      </c>
      <c r="Q348" t="n">
        <v>11</v>
      </c>
      <c r="R348" t="n">
        <v>16.5</v>
      </c>
      <c r="S348" t="n">
        <v>16.5</v>
      </c>
      <c r="T348" t="n">
        <v>44.7</v>
      </c>
      <c r="U348" t="inlineStr">
        <is>
          <t>11,298</t>
        </is>
      </c>
      <c r="V348" t="n">
        <v>18.8</v>
      </c>
      <c r="W348" t="inlineStr">
        <is>
          <t>1%</t>
        </is>
      </c>
      <c r="X348" t="inlineStr">
        <is>
          <t>44 : 56</t>
        </is>
      </c>
      <c r="Y348" t="inlineStr"/>
      <c r="Z348" t="n">
        <v>1501</v>
      </c>
      <c r="AA348" t="n">
        <v>16.2</v>
      </c>
      <c r="AB348" t="inlineStr">
        <is>
          <t>U0347</t>
        </is>
      </c>
      <c r="AC348" t="inlineStr">
        <is>
          <t>CO</t>
        </is>
      </c>
      <c r="AD348" t="n">
        <v>16.2</v>
      </c>
      <c r="AE348" t="n">
        <v>16.5</v>
      </c>
      <c r="AF348" t="n">
        <v>18.8</v>
      </c>
      <c r="AG348" t="inlineStr">
        <is>
          <t>1:18.8</t>
        </is>
      </c>
      <c r="AH348" t="inlineStr">
        <is>
          <t>1%</t>
        </is>
      </c>
      <c r="AI348" t="inlineStr"/>
      <c r="AJ348" t="n">
        <v>14.97</v>
      </c>
    </row>
    <row r="349">
      <c r="A349" t="inlineStr">
        <is>
          <t>East China Normal University</t>
        </is>
      </c>
      <c r="B349" t="inlineStr">
        <is>
          <t>China</t>
        </is>
      </c>
      <c r="C349" t="inlineStr">
        <is>
          <t>501</t>
        </is>
      </c>
      <c r="D349" t="n">
        <v>24.1</v>
      </c>
      <c r="E349" t="n">
        <v>13.3</v>
      </c>
      <c r="F349" t="n">
        <v>4.7</v>
      </c>
      <c r="G349" t="n">
        <v>16.2</v>
      </c>
      <c r="H349" t="n">
        <v>63.5</v>
      </c>
      <c r="I349" t="n">
        <v>24.1</v>
      </c>
      <c r="J349" t="n">
        <v>9</v>
      </c>
      <c r="K349" t="n">
        <v>72</v>
      </c>
      <c r="L349" t="n">
        <v>9</v>
      </c>
      <c r="M349" t="n">
        <v>6.8</v>
      </c>
      <c r="N349" t="inlineStr">
        <is>
          <t>301–350</t>
        </is>
      </c>
      <c r="O349" t="inlineStr">
        <is>
          <t>51.1–53.0</t>
        </is>
      </c>
      <c r="P349" t="n">
        <v>42.7</v>
      </c>
      <c r="Q349" t="n">
        <v>35.1</v>
      </c>
      <c r="R349" t="n">
        <v>76.3</v>
      </c>
      <c r="S349" t="n">
        <v>66.3</v>
      </c>
      <c r="T349" t="n">
        <v>56.4</v>
      </c>
      <c r="U349" t="inlineStr">
        <is>
          <t>28,787</t>
        </is>
      </c>
      <c r="V349" t="n">
        <v>14.1</v>
      </c>
      <c r="W349" t="inlineStr">
        <is>
          <t>8%</t>
        </is>
      </c>
      <c r="X349" t="inlineStr">
        <is>
          <t>64 : 36</t>
        </is>
      </c>
      <c r="Y349" t="n">
        <v>501</v>
      </c>
      <c r="Z349" t="n">
        <v>301</v>
      </c>
      <c r="AA349" t="n">
        <v>52.05</v>
      </c>
      <c r="AB349" t="inlineStr">
        <is>
          <t>U0348</t>
        </is>
      </c>
      <c r="AC349" t="inlineStr">
        <is>
          <t>CH</t>
        </is>
      </c>
      <c r="AD349" t="n">
        <v>24.1</v>
      </c>
      <c r="AE349" t="n">
        <v>63.5</v>
      </c>
      <c r="AF349" t="n">
        <v>14.1</v>
      </c>
      <c r="AG349" t="inlineStr">
        <is>
          <t>1:14.1</t>
        </is>
      </c>
      <c r="AH349" t="inlineStr">
        <is>
          <t>8%</t>
        </is>
      </c>
      <c r="AI349" t="n">
        <v>13.3</v>
      </c>
      <c r="AJ349" t="n">
        <v>44.67</v>
      </c>
    </row>
    <row r="350">
      <c r="A350" t="inlineStr">
        <is>
          <t>East China University of Science and Technology</t>
        </is>
      </c>
      <c r="B350" t="inlineStr">
        <is>
          <t>China</t>
        </is>
      </c>
      <c r="C350" t="inlineStr">
        <is>
          <t>641-650</t>
        </is>
      </c>
      <c r="D350" t="inlineStr"/>
      <c r="E350" t="n">
        <v>6.9</v>
      </c>
      <c r="F350" t="n">
        <v>3.4</v>
      </c>
      <c r="G350" t="n">
        <v>11.8</v>
      </c>
      <c r="H350" t="n">
        <v>69.7</v>
      </c>
      <c r="I350" t="n">
        <v>2.5</v>
      </c>
      <c r="J350" t="n">
        <v>1.7</v>
      </c>
      <c r="K350" t="n">
        <v>39.6</v>
      </c>
      <c r="L350" t="n">
        <v>10.5</v>
      </c>
      <c r="M350" t="n">
        <v>2.5</v>
      </c>
      <c r="N350" t="inlineStr">
        <is>
          <t>601–800</t>
        </is>
      </c>
      <c r="O350" t="inlineStr">
        <is>
          <t>37.0–41.8</t>
        </is>
      </c>
      <c r="P350" t="n">
        <v>29.9</v>
      </c>
      <c r="Q350" t="n">
        <v>25.8</v>
      </c>
      <c r="R350" t="n">
        <v>60.2</v>
      </c>
      <c r="S350" t="n">
        <v>87.09999999999999</v>
      </c>
      <c r="T350" t="n">
        <v>23.2</v>
      </c>
      <c r="U350" t="inlineStr">
        <is>
          <t>30,974</t>
        </is>
      </c>
      <c r="V350" t="n">
        <v>18</v>
      </c>
      <c r="W350" t="inlineStr">
        <is>
          <t>2%</t>
        </is>
      </c>
      <c r="X350" t="inlineStr">
        <is>
          <t>44 : 56</t>
        </is>
      </c>
      <c r="Y350" t="n">
        <v>641</v>
      </c>
      <c r="Z350" t="n">
        <v>601</v>
      </c>
      <c r="AA350" t="n">
        <v>39.4</v>
      </c>
      <c r="AB350" t="inlineStr">
        <is>
          <t>U0349</t>
        </is>
      </c>
      <c r="AC350" t="inlineStr">
        <is>
          <t>CH</t>
        </is>
      </c>
      <c r="AD350" t="n">
        <v>39.4</v>
      </c>
      <c r="AE350" t="n">
        <v>69.7</v>
      </c>
      <c r="AF350" t="n">
        <v>18</v>
      </c>
      <c r="AG350" t="inlineStr">
        <is>
          <t>1:18.0</t>
        </is>
      </c>
      <c r="AH350" t="inlineStr">
        <is>
          <t>2%</t>
        </is>
      </c>
      <c r="AI350" t="n">
        <v>6.9</v>
      </c>
      <c r="AJ350" t="n">
        <v>33.65</v>
      </c>
    </row>
    <row r="351">
      <c r="A351" t="inlineStr">
        <is>
          <t>East West University</t>
        </is>
      </c>
      <c r="B351" t="inlineStr">
        <is>
          <t>Bangladesh</t>
        </is>
      </c>
      <c r="C351" t="inlineStr">
        <is>
          <t>1401+</t>
        </is>
      </c>
      <c r="D351" t="inlineStr"/>
      <c r="E351" t="n">
        <v>6.8</v>
      </c>
      <c r="F351" t="n">
        <v>12.8</v>
      </c>
      <c r="G351" t="n">
        <v>2.8</v>
      </c>
      <c r="H351" t="n">
        <v>2.4</v>
      </c>
      <c r="I351" t="n">
        <v>1.4</v>
      </c>
      <c r="J351" t="n">
        <v>1</v>
      </c>
      <c r="K351" t="n">
        <v>7.4</v>
      </c>
      <c r="L351" t="n">
        <v>3.9</v>
      </c>
      <c r="M351" t="n">
        <v>1.1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1401</v>
      </c>
      <c r="Z351" t="inlineStr"/>
      <c r="AA351" t="inlineStr"/>
      <c r="AB351" t="inlineStr">
        <is>
          <t>U0350</t>
        </is>
      </c>
      <c r="AC351" t="inlineStr">
        <is>
          <t>BA</t>
        </is>
      </c>
      <c r="AD351" t="inlineStr"/>
      <c r="AE351" t="n">
        <v>2.4</v>
      </c>
      <c r="AF351" t="inlineStr"/>
      <c r="AG351" t="inlineStr"/>
      <c r="AH351" t="inlineStr"/>
      <c r="AI351" t="n">
        <v>6.8</v>
      </c>
      <c r="AJ351" t="n">
        <v>14.12</v>
      </c>
    </row>
    <row r="352">
      <c r="A352" t="inlineStr">
        <is>
          <t>Eastern Mediterranean University</t>
        </is>
      </c>
      <c r="B352" t="inlineStr">
        <is>
          <t>Northern Cyprus</t>
        </is>
      </c>
      <c r="C352" t="inlineStr">
        <is>
          <t>611-620</t>
        </is>
      </c>
      <c r="D352" t="inlineStr"/>
      <c r="E352" t="n">
        <v>5.6</v>
      </c>
      <c r="F352" t="n">
        <v>2.1</v>
      </c>
      <c r="G352" t="n">
        <v>3.5</v>
      </c>
      <c r="H352" t="n">
        <v>26.5</v>
      </c>
      <c r="I352" t="n">
        <v>90.09999999999999</v>
      </c>
      <c r="J352" t="n">
        <v>100</v>
      </c>
      <c r="K352" t="n">
        <v>55.2</v>
      </c>
      <c r="L352" t="n">
        <v>24.1</v>
      </c>
      <c r="M352" t="n">
        <v>1.8</v>
      </c>
      <c r="N352" t="inlineStr">
        <is>
          <t>601–800</t>
        </is>
      </c>
      <c r="O352" t="inlineStr">
        <is>
          <t>37.0–41.8</t>
        </is>
      </c>
      <c r="P352" t="n">
        <v>26</v>
      </c>
      <c r="Q352" t="n">
        <v>15.2</v>
      </c>
      <c r="R352" t="n">
        <v>73.8</v>
      </c>
      <c r="S352" t="n">
        <v>35.9</v>
      </c>
      <c r="T352" t="n">
        <v>75.5</v>
      </c>
      <c r="U352" t="inlineStr">
        <is>
          <t>13,809</t>
        </is>
      </c>
      <c r="V352" t="n">
        <v>25.4</v>
      </c>
      <c r="W352" t="inlineStr">
        <is>
          <t>75%</t>
        </is>
      </c>
      <c r="X352" t="inlineStr">
        <is>
          <t>44 : 56</t>
        </is>
      </c>
      <c r="Y352" t="n">
        <v>611</v>
      </c>
      <c r="Z352" t="n">
        <v>601</v>
      </c>
      <c r="AA352" t="n">
        <v>39.4</v>
      </c>
      <c r="AB352" t="inlineStr">
        <is>
          <t>U0351</t>
        </is>
      </c>
      <c r="AC352" t="inlineStr">
        <is>
          <t>NO</t>
        </is>
      </c>
      <c r="AD352" t="n">
        <v>39.4</v>
      </c>
      <c r="AE352" t="n">
        <v>26.5</v>
      </c>
      <c r="AF352" t="n">
        <v>25.4</v>
      </c>
      <c r="AG352" t="inlineStr">
        <is>
          <t>1:25.4</t>
        </is>
      </c>
      <c r="AH352" t="inlineStr">
        <is>
          <t>75%</t>
        </is>
      </c>
      <c r="AI352" t="n">
        <v>5.6</v>
      </c>
      <c r="AJ352" t="n">
        <v>27.65</v>
      </c>
    </row>
    <row r="353">
      <c r="A353" t="inlineStr">
        <is>
          <t>Eberhard Karls Universität Tübingen</t>
        </is>
      </c>
      <c r="B353" t="inlineStr">
        <is>
          <t>Germany</t>
        </is>
      </c>
      <c r="C353" t="inlineStr">
        <is>
          <t>222</t>
        </is>
      </c>
      <c r="D353" t="n">
        <v>43.7</v>
      </c>
      <c r="E353" t="n">
        <v>46</v>
      </c>
      <c r="F353" t="n">
        <v>30.7</v>
      </c>
      <c r="G353" t="n">
        <v>87.09999999999999</v>
      </c>
      <c r="H353" t="n">
        <v>20.5</v>
      </c>
      <c r="I353" t="n">
        <v>76.09999999999999</v>
      </c>
      <c r="J353" t="n">
        <v>26.2</v>
      </c>
      <c r="K353" t="n">
        <v>93.8</v>
      </c>
      <c r="L353" t="n">
        <v>30.9</v>
      </c>
      <c r="M353" t="n">
        <v>33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222</v>
      </c>
      <c r="Z353" t="inlineStr"/>
      <c r="AA353" t="inlineStr"/>
      <c r="AB353" t="inlineStr">
        <is>
          <t>U0352</t>
        </is>
      </c>
      <c r="AC353" t="inlineStr">
        <is>
          <t>GE</t>
        </is>
      </c>
      <c r="AD353" t="n">
        <v>43.7</v>
      </c>
      <c r="AE353" t="n">
        <v>20.5</v>
      </c>
      <c r="AF353" t="inlineStr"/>
      <c r="AG353" t="inlineStr"/>
      <c r="AH353" t="inlineStr"/>
      <c r="AI353" t="n">
        <v>46</v>
      </c>
      <c r="AJ353" t="n">
        <v>19.6</v>
      </c>
    </row>
    <row r="354">
      <c r="A354" t="inlineStr">
        <is>
          <t>Ecole des Ponts ParisTech</t>
        </is>
      </c>
      <c r="B354" t="inlineStr">
        <is>
          <t>France</t>
        </is>
      </c>
      <c r="C354" t="inlineStr">
        <is>
          <t>205</t>
        </is>
      </c>
      <c r="D354" t="n">
        <v>45.8</v>
      </c>
      <c r="E354" t="n">
        <v>8.9</v>
      </c>
      <c r="F354" t="n">
        <v>58.5</v>
      </c>
      <c r="G354" t="n">
        <v>99</v>
      </c>
      <c r="H354" t="n">
        <v>62.6</v>
      </c>
      <c r="I354" t="n">
        <v>43.5</v>
      </c>
      <c r="J354" t="n">
        <v>96.5</v>
      </c>
      <c r="K354" t="n">
        <v>37.3</v>
      </c>
      <c r="L354" t="n">
        <v>59.5</v>
      </c>
      <c r="M354" t="n">
        <v>10.8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205</v>
      </c>
      <c r="Z354" t="inlineStr"/>
      <c r="AA354" t="inlineStr"/>
      <c r="AB354" t="inlineStr">
        <is>
          <t>U0353</t>
        </is>
      </c>
      <c r="AC354" t="inlineStr">
        <is>
          <t>FR</t>
        </is>
      </c>
      <c r="AD354" t="n">
        <v>45.8</v>
      </c>
      <c r="AE354" t="n">
        <v>62.6</v>
      </c>
      <c r="AF354" t="inlineStr"/>
      <c r="AG354" t="inlineStr"/>
      <c r="AH354" t="inlineStr"/>
      <c r="AI354" t="n">
        <v>8.9</v>
      </c>
      <c r="AJ354" t="n">
        <v>32.36</v>
      </c>
    </row>
    <row r="355">
      <c r="A355" t="inlineStr">
        <is>
          <t>Edge Hill University</t>
        </is>
      </c>
      <c r="B355" t="inlineStr">
        <is>
          <t>United Kingdom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1001–1200</t>
        </is>
      </c>
      <c r="O355" t="inlineStr">
        <is>
          <t>28.3–32.6</t>
        </is>
      </c>
      <c r="P355" t="n">
        <v>18.1</v>
      </c>
      <c r="Q355" t="n">
        <v>13.8</v>
      </c>
      <c r="R355" t="n">
        <v>55.6</v>
      </c>
      <c r="S355" t="n">
        <v>22</v>
      </c>
      <c r="T355" t="n">
        <v>54.7</v>
      </c>
      <c r="U355" t="inlineStr">
        <is>
          <t>11,910</t>
        </is>
      </c>
      <c r="V355" t="n">
        <v>16.4</v>
      </c>
      <c r="W355" t="inlineStr">
        <is>
          <t>6%</t>
        </is>
      </c>
      <c r="X355" t="inlineStr">
        <is>
          <t>70 : 30</t>
        </is>
      </c>
      <c r="Y355" t="inlineStr"/>
      <c r="Z355" t="n">
        <v>1001</v>
      </c>
      <c r="AA355" t="n">
        <v>30.45</v>
      </c>
      <c r="AB355" t="inlineStr">
        <is>
          <t>U0354</t>
        </is>
      </c>
      <c r="AC355" t="inlineStr">
        <is>
          <t>UN</t>
        </is>
      </c>
      <c r="AD355" t="n">
        <v>30.45</v>
      </c>
      <c r="AE355" t="n">
        <v>55.6</v>
      </c>
      <c r="AF355" t="n">
        <v>16.4</v>
      </c>
      <c r="AG355" t="inlineStr">
        <is>
          <t>1:16.4</t>
        </is>
      </c>
      <c r="AH355" t="inlineStr">
        <is>
          <t>6%</t>
        </is>
      </c>
      <c r="AI355" t="inlineStr"/>
      <c r="AJ355" t="n">
        <v>30.7</v>
      </c>
    </row>
    <row r="356">
      <c r="A356" t="inlineStr">
        <is>
          <t>Edinburgh Napier University</t>
        </is>
      </c>
      <c r="B356" t="inlineStr">
        <is>
          <t>United Kingdom</t>
        </is>
      </c>
      <c r="C356" t="inlineStr">
        <is>
          <t>801-850</t>
        </is>
      </c>
      <c r="D356" t="inlineStr"/>
      <c r="E356" t="n">
        <v>5</v>
      </c>
      <c r="F356" t="n">
        <v>5</v>
      </c>
      <c r="G356" t="n">
        <v>4</v>
      </c>
      <c r="H356" t="n">
        <v>11.8</v>
      </c>
      <c r="I356" t="n">
        <v>77.5</v>
      </c>
      <c r="J356" t="n">
        <v>86</v>
      </c>
      <c r="K356" t="n">
        <v>60.1</v>
      </c>
      <c r="L356" t="n">
        <v>4.9</v>
      </c>
      <c r="M356" t="n">
        <v>2.2</v>
      </c>
      <c r="N356" t="inlineStr">
        <is>
          <t>501–600</t>
        </is>
      </c>
      <c r="O356" t="inlineStr">
        <is>
          <t>41.9–45.3</t>
        </is>
      </c>
      <c r="P356" t="n">
        <v>18.1</v>
      </c>
      <c r="Q356" t="n">
        <v>18.4</v>
      </c>
      <c r="R356" t="n">
        <v>77.90000000000001</v>
      </c>
      <c r="S356" t="n">
        <v>47.7</v>
      </c>
      <c r="T356" t="n">
        <v>93.7</v>
      </c>
      <c r="U356" t="inlineStr">
        <is>
          <t>12,415</t>
        </is>
      </c>
      <c r="V356" t="n">
        <v>22.4</v>
      </c>
      <c r="W356" t="inlineStr">
        <is>
          <t>34%</t>
        </is>
      </c>
      <c r="X356" t="inlineStr">
        <is>
          <t>52 : 48</t>
        </is>
      </c>
      <c r="Y356" t="n">
        <v>801</v>
      </c>
      <c r="Z356" t="n">
        <v>501</v>
      </c>
      <c r="AA356" t="n">
        <v>43.59999999999999</v>
      </c>
      <c r="AB356" t="inlineStr">
        <is>
          <t>U0355</t>
        </is>
      </c>
      <c r="AC356" t="inlineStr">
        <is>
          <t>UN</t>
        </is>
      </c>
      <c r="AD356" t="n">
        <v>43.59999999999999</v>
      </c>
      <c r="AE356" t="n">
        <v>11.8</v>
      </c>
      <c r="AF356" t="n">
        <v>22.4</v>
      </c>
      <c r="AG356" t="inlineStr">
        <is>
          <t>1:22.4</t>
        </is>
      </c>
      <c r="AH356" t="inlineStr">
        <is>
          <t>34%</t>
        </is>
      </c>
      <c r="AI356" t="n">
        <v>5</v>
      </c>
      <c r="AJ356" t="n">
        <v>29.27</v>
      </c>
    </row>
    <row r="357">
      <c r="A357" t="inlineStr">
        <is>
          <t xml:space="preserve">Edith Cowan University </t>
        </is>
      </c>
      <c r="B357" t="inlineStr">
        <is>
          <t>Australia</t>
        </is>
      </c>
      <c r="C357" t="inlineStr">
        <is>
          <t>516</t>
        </is>
      </c>
      <c r="D357" t="n">
        <v>23.6</v>
      </c>
      <c r="E357" t="n">
        <v>8.5</v>
      </c>
      <c r="F357" t="n">
        <v>6.8</v>
      </c>
      <c r="G357" t="n">
        <v>4.8</v>
      </c>
      <c r="H357" t="n">
        <v>49.8</v>
      </c>
      <c r="I357" t="n">
        <v>78.5</v>
      </c>
      <c r="J357" t="n">
        <v>57.7</v>
      </c>
      <c r="K357" t="n">
        <v>64.5</v>
      </c>
      <c r="L357" t="n">
        <v>4.7</v>
      </c>
      <c r="M357" t="n">
        <v>5.8</v>
      </c>
      <c r="N357" t="inlineStr">
        <is>
          <t>351–400</t>
        </is>
      </c>
      <c r="O357" t="inlineStr">
        <is>
          <t>49.1–51.0</t>
        </is>
      </c>
      <c r="P357" t="n">
        <v>23.7</v>
      </c>
      <c r="Q357" t="n">
        <v>26.2</v>
      </c>
      <c r="R357" t="n">
        <v>86.90000000000001</v>
      </c>
      <c r="S357" t="n">
        <v>69.2</v>
      </c>
      <c r="T357" t="n">
        <v>87.59999999999999</v>
      </c>
      <c r="U357" t="inlineStr">
        <is>
          <t>17,965</t>
        </is>
      </c>
      <c r="V357" t="n">
        <v>29.8</v>
      </c>
      <c r="W357" t="inlineStr">
        <is>
          <t>24%</t>
        </is>
      </c>
      <c r="X357" t="inlineStr">
        <is>
          <t>62 : 38</t>
        </is>
      </c>
      <c r="Y357" t="n">
        <v>516</v>
      </c>
      <c r="Z357" t="n">
        <v>351</v>
      </c>
      <c r="AA357" t="n">
        <v>50.05</v>
      </c>
      <c r="AB357" t="inlineStr">
        <is>
          <t>U0356</t>
        </is>
      </c>
      <c r="AC357" t="inlineStr">
        <is>
          <t>AU</t>
        </is>
      </c>
      <c r="AD357" t="n">
        <v>23.6</v>
      </c>
      <c r="AE357" t="n">
        <v>49.8</v>
      </c>
      <c r="AF357" t="n">
        <v>29.8</v>
      </c>
      <c r="AG357" t="inlineStr">
        <is>
          <t>1:29.8</t>
        </is>
      </c>
      <c r="AH357" t="inlineStr">
        <is>
          <t>24%</t>
        </is>
      </c>
      <c r="AI357" t="n">
        <v>8.5</v>
      </c>
      <c r="AJ357" t="n">
        <v>43.4</v>
      </c>
    </row>
    <row r="358">
      <c r="A358" t="inlineStr">
        <is>
          <t>Effat University</t>
        </is>
      </c>
      <c r="B358" t="inlineStr">
        <is>
          <t>Saudi Arabia</t>
        </is>
      </c>
      <c r="C358" t="inlineStr">
        <is>
          <t>721-730</t>
        </is>
      </c>
      <c r="D358" t="inlineStr"/>
      <c r="E358" t="n">
        <v>3.8</v>
      </c>
      <c r="F358" t="n">
        <v>2.6</v>
      </c>
      <c r="G358" t="n">
        <v>23.1</v>
      </c>
      <c r="H358" t="n">
        <v>17.6</v>
      </c>
      <c r="I358" t="n">
        <v>100</v>
      </c>
      <c r="J358" t="n">
        <v>98.3</v>
      </c>
      <c r="K358" t="n">
        <v>15.9</v>
      </c>
      <c r="L358" t="n">
        <v>3.3</v>
      </c>
      <c r="M358" t="n">
        <v>1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721</v>
      </c>
      <c r="Z358" t="inlineStr"/>
      <c r="AA358" t="inlineStr"/>
      <c r="AB358" t="inlineStr">
        <is>
          <t>U0357</t>
        </is>
      </c>
      <c r="AC358" t="inlineStr">
        <is>
          <t>SA</t>
        </is>
      </c>
      <c r="AD358" t="inlineStr"/>
      <c r="AE358" t="n">
        <v>17.6</v>
      </c>
      <c r="AF358" t="inlineStr"/>
      <c r="AG358" t="inlineStr"/>
      <c r="AH358" t="inlineStr"/>
      <c r="AI358" t="n">
        <v>3.8</v>
      </c>
      <c r="AJ358" t="n">
        <v>18.72</v>
      </c>
    </row>
    <row r="359">
      <c r="A359" t="inlineStr">
        <is>
          <t>EGE UNIVERSITY</t>
        </is>
      </c>
      <c r="B359" t="inlineStr">
        <is>
          <t>Turkey</t>
        </is>
      </c>
      <c r="C359" t="inlineStr">
        <is>
          <t>1001-1200</t>
        </is>
      </c>
      <c r="D359" t="inlineStr"/>
      <c r="E359" t="n">
        <v>10</v>
      </c>
      <c r="F359" t="n">
        <v>13.6</v>
      </c>
      <c r="G359" t="n">
        <v>15.8</v>
      </c>
      <c r="H359" t="n">
        <v>3.2</v>
      </c>
      <c r="I359" t="n">
        <v>1.3</v>
      </c>
      <c r="J359" t="n">
        <v>7.8</v>
      </c>
      <c r="K359" t="n">
        <v>68.59999999999999</v>
      </c>
      <c r="L359" t="n">
        <v>2.1</v>
      </c>
      <c r="M359" t="n">
        <v>1.4</v>
      </c>
      <c r="N359" t="inlineStr">
        <is>
          <t>1201–1500</t>
        </is>
      </c>
      <c r="O359" t="inlineStr">
        <is>
          <t>22.8–28.2</t>
        </is>
      </c>
      <c r="P359" t="n">
        <v>32.7</v>
      </c>
      <c r="Q359" t="n">
        <v>16.7</v>
      </c>
      <c r="R359" t="n">
        <v>30.4</v>
      </c>
      <c r="S359" t="n">
        <v>63.4</v>
      </c>
      <c r="T359" t="n">
        <v>25.7</v>
      </c>
      <c r="U359" t="inlineStr">
        <is>
          <t>31,178</t>
        </is>
      </c>
      <c r="V359" t="n">
        <v>20.3</v>
      </c>
      <c r="W359" t="inlineStr">
        <is>
          <t>4%</t>
        </is>
      </c>
      <c r="X359" t="inlineStr">
        <is>
          <t>54 : 46</t>
        </is>
      </c>
      <c r="Y359" t="n">
        <v>1001</v>
      </c>
      <c r="Z359" t="n">
        <v>1201</v>
      </c>
      <c r="AA359" t="n">
        <v>25.5</v>
      </c>
      <c r="AB359" t="inlineStr">
        <is>
          <t>U0358</t>
        </is>
      </c>
      <c r="AC359" t="inlineStr">
        <is>
          <t>TU</t>
        </is>
      </c>
      <c r="AD359" t="n">
        <v>25.5</v>
      </c>
      <c r="AE359" t="n">
        <v>3.2</v>
      </c>
      <c r="AF359" t="n">
        <v>20.3</v>
      </c>
      <c r="AG359" t="inlineStr">
        <is>
          <t>1:20.3</t>
        </is>
      </c>
      <c r="AH359" t="inlineStr">
        <is>
          <t>4%</t>
        </is>
      </c>
      <c r="AI359" t="n">
        <v>10</v>
      </c>
      <c r="AJ359" t="n">
        <v>9.33</v>
      </c>
    </row>
    <row r="360">
      <c r="A360" t="inlineStr">
        <is>
          <t>Egypt-Japan University of Science and Technology (E-JUST)</t>
        </is>
      </c>
      <c r="B360" t="inlineStr">
        <is>
          <t>Egypt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601–800</t>
        </is>
      </c>
      <c r="O360" t="inlineStr">
        <is>
          <t>37.0–41.8</t>
        </is>
      </c>
      <c r="P360" t="n">
        <v>34.2</v>
      </c>
      <c r="Q360" t="n">
        <v>27.6</v>
      </c>
      <c r="R360" t="n">
        <v>62.4</v>
      </c>
      <c r="S360" t="n">
        <v>27.7</v>
      </c>
      <c r="T360" t="n">
        <v>51.5</v>
      </c>
      <c r="U360" t="inlineStr">
        <is>
          <t>1,751</t>
        </is>
      </c>
      <c r="V360" t="n">
        <v>18.4</v>
      </c>
      <c r="W360" t="inlineStr">
        <is>
          <t>3%</t>
        </is>
      </c>
      <c r="X360" t="inlineStr">
        <is>
          <t>32 : 68</t>
        </is>
      </c>
      <c r="Y360" t="inlineStr"/>
      <c r="Z360" t="n">
        <v>601</v>
      </c>
      <c r="AA360" t="n">
        <v>39.4</v>
      </c>
      <c r="AB360" t="inlineStr">
        <is>
          <t>U0359</t>
        </is>
      </c>
      <c r="AC360" t="inlineStr">
        <is>
          <t>EG</t>
        </is>
      </c>
      <c r="AD360" t="n">
        <v>39.4</v>
      </c>
      <c r="AE360" t="n">
        <v>62.4</v>
      </c>
      <c r="AF360" t="n">
        <v>18.4</v>
      </c>
      <c r="AG360" t="inlineStr">
        <is>
          <t>1:18.4</t>
        </is>
      </c>
      <c r="AH360" t="inlineStr">
        <is>
          <t>3%</t>
        </is>
      </c>
      <c r="AI360" t="inlineStr"/>
      <c r="AJ360" t="n">
        <v>39.22</v>
      </c>
    </row>
    <row r="361">
      <c r="A361" t="inlineStr">
        <is>
          <t>Ehime University</t>
        </is>
      </c>
      <c r="B361" t="inlineStr">
        <is>
          <t>Japan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1201–1500</t>
        </is>
      </c>
      <c r="O361" t="inlineStr">
        <is>
          <t>22.8–28.2</t>
        </is>
      </c>
      <c r="P361" t="n">
        <v>24.3</v>
      </c>
      <c r="Q361" t="n">
        <v>14.9</v>
      </c>
      <c r="R361" t="n">
        <v>27.9</v>
      </c>
      <c r="S361" t="n">
        <v>54</v>
      </c>
      <c r="T361" t="n">
        <v>32.1</v>
      </c>
      <c r="U361" t="inlineStr">
        <is>
          <t>9,101</t>
        </is>
      </c>
      <c r="V361" t="n">
        <v>11.3</v>
      </c>
      <c r="W361" t="inlineStr">
        <is>
          <t>2%</t>
        </is>
      </c>
      <c r="X361" t="inlineStr">
        <is>
          <t>39 : 61</t>
        </is>
      </c>
      <c r="Y361" t="inlineStr"/>
      <c r="Z361" t="n">
        <v>1201</v>
      </c>
      <c r="AA361" t="n">
        <v>25.5</v>
      </c>
      <c r="AB361" t="inlineStr">
        <is>
          <t>U0360</t>
        </is>
      </c>
      <c r="AC361" t="inlineStr">
        <is>
          <t>JA</t>
        </is>
      </c>
      <c r="AD361" t="n">
        <v>25.5</v>
      </c>
      <c r="AE361" t="n">
        <v>27.9</v>
      </c>
      <c r="AF361" t="n">
        <v>11.3</v>
      </c>
      <c r="AG361" t="inlineStr">
        <is>
          <t>1:11.3</t>
        </is>
      </c>
      <c r="AH361" t="inlineStr">
        <is>
          <t>2%</t>
        </is>
      </c>
      <c r="AI361" t="inlineStr"/>
      <c r="AJ361" t="n">
        <v>17.42</v>
      </c>
    </row>
    <row r="362">
      <c r="A362" t="inlineStr">
        <is>
          <t>Eindhoven University of Technology</t>
        </is>
      </c>
      <c r="B362" t="inlineStr">
        <is>
          <t>Netherlands</t>
        </is>
      </c>
      <c r="C362" t="inlineStr">
        <is>
          <t>136</t>
        </is>
      </c>
      <c r="D362" t="n">
        <v>54</v>
      </c>
      <c r="E362" t="n">
        <v>28.7</v>
      </c>
      <c r="F362" t="n">
        <v>72.09999999999999</v>
      </c>
      <c r="G362" t="n">
        <v>35.7</v>
      </c>
      <c r="H362" t="n">
        <v>79.3</v>
      </c>
      <c r="I362" t="n">
        <v>100</v>
      </c>
      <c r="J362" t="n">
        <v>82.7</v>
      </c>
      <c r="K362" t="n">
        <v>70.8</v>
      </c>
      <c r="L362" t="n">
        <v>24.2</v>
      </c>
      <c r="M362" t="n">
        <v>29.8</v>
      </c>
      <c r="N362">
        <f>168</f>
        <v/>
      </c>
      <c r="O362" t="inlineStr">
        <is>
          <t>60.8</t>
        </is>
      </c>
      <c r="P362" t="n">
        <v>47.4</v>
      </c>
      <c r="Q362" t="n">
        <v>51.5</v>
      </c>
      <c r="R362" t="n">
        <v>71.3</v>
      </c>
      <c r="S362" t="n">
        <v>100</v>
      </c>
      <c r="T362" t="n">
        <v>87.3</v>
      </c>
      <c r="U362" t="inlineStr">
        <is>
          <t>10,611</t>
        </is>
      </c>
      <c r="V362" t="n">
        <v>21.4</v>
      </c>
      <c r="W362" t="inlineStr">
        <is>
          <t>27%</t>
        </is>
      </c>
      <c r="X362" t="inlineStr"/>
      <c r="Y362" t="n">
        <v>136</v>
      </c>
      <c r="Z362" t="n">
        <v>168</v>
      </c>
      <c r="AA362" t="n">
        <v>60.8</v>
      </c>
      <c r="AB362" t="inlineStr">
        <is>
          <t>U0361</t>
        </is>
      </c>
      <c r="AC362" t="inlineStr">
        <is>
          <t>NE</t>
        </is>
      </c>
      <c r="AD362" t="n">
        <v>54</v>
      </c>
      <c r="AE362" t="n">
        <v>79.3</v>
      </c>
      <c r="AF362" t="n">
        <v>21.4</v>
      </c>
      <c r="AG362" t="inlineStr">
        <is>
          <t>1:21.4</t>
        </is>
      </c>
      <c r="AH362" t="inlineStr">
        <is>
          <t>27%</t>
        </is>
      </c>
      <c r="AI362" t="n">
        <v>28.7</v>
      </c>
      <c r="AJ362" t="n">
        <v>65.53</v>
      </c>
    </row>
    <row r="363">
      <c r="A363" t="inlineStr">
        <is>
          <t>El Bosque University</t>
        </is>
      </c>
      <c r="B363" t="inlineStr">
        <is>
          <t>Colombia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1501+</t>
        </is>
      </c>
      <c r="O363" t="inlineStr">
        <is>
          <t>9.7–22.7</t>
        </is>
      </c>
      <c r="P363" t="n">
        <v>23.7</v>
      </c>
      <c r="Q363" t="n">
        <v>9.300000000000001</v>
      </c>
      <c r="R363" t="n">
        <v>20</v>
      </c>
      <c r="S363" t="n">
        <v>16.9</v>
      </c>
      <c r="T363" t="n">
        <v>46.6</v>
      </c>
      <c r="U363" t="inlineStr">
        <is>
          <t>12,702</t>
        </is>
      </c>
      <c r="V363" t="n">
        <v>6.8</v>
      </c>
      <c r="W363" t="inlineStr">
        <is>
          <t>2%</t>
        </is>
      </c>
      <c r="X363" t="inlineStr">
        <is>
          <t>62 : 38</t>
        </is>
      </c>
      <c r="Y363" t="inlineStr"/>
      <c r="Z363" t="n">
        <v>1501</v>
      </c>
      <c r="AA363" t="n">
        <v>16.2</v>
      </c>
      <c r="AB363" t="inlineStr">
        <is>
          <t>U0362</t>
        </is>
      </c>
      <c r="AC363" t="inlineStr">
        <is>
          <t>CO</t>
        </is>
      </c>
      <c r="AD363" t="n">
        <v>16.2</v>
      </c>
      <c r="AE363" t="n">
        <v>20</v>
      </c>
      <c r="AF363" t="n">
        <v>6.8</v>
      </c>
      <c r="AG363" t="inlineStr">
        <is>
          <t>1:6.8</t>
        </is>
      </c>
      <c r="AH363" t="inlineStr">
        <is>
          <t>2%</t>
        </is>
      </c>
      <c r="AI363" t="inlineStr"/>
      <c r="AJ363" t="n">
        <v>15.6</v>
      </c>
    </row>
    <row r="364">
      <c r="A364" t="inlineStr">
        <is>
          <t>Emory University</t>
        </is>
      </c>
      <c r="B364" t="inlineStr">
        <is>
          <t>United States</t>
        </is>
      </c>
      <c r="C364" t="inlineStr">
        <is>
          <t>196</t>
        </is>
      </c>
      <c r="D364" t="n">
        <v>46.6</v>
      </c>
      <c r="E364" t="n">
        <v>25.2</v>
      </c>
      <c r="F364" t="n">
        <v>19</v>
      </c>
      <c r="G364" t="n">
        <v>93.8</v>
      </c>
      <c r="H364" t="n">
        <v>78.40000000000001</v>
      </c>
      <c r="I364" t="n">
        <v>52.2</v>
      </c>
      <c r="J364" t="n">
        <v>33.9</v>
      </c>
      <c r="K364" t="n">
        <v>85.59999999999999</v>
      </c>
      <c r="L364" t="n">
        <v>22.8</v>
      </c>
      <c r="M364" t="n">
        <v>37</v>
      </c>
      <c r="N364">
        <f>106</f>
        <v/>
      </c>
      <c r="O364" t="inlineStr">
        <is>
          <t>66.1</t>
        </is>
      </c>
      <c r="P364" t="n">
        <v>53.1</v>
      </c>
      <c r="Q364" t="n">
        <v>45.7</v>
      </c>
      <c r="R364" t="n">
        <v>95.5</v>
      </c>
      <c r="S364" t="n">
        <v>81.59999999999999</v>
      </c>
      <c r="T364" t="n">
        <v>69.3</v>
      </c>
      <c r="U364" t="inlineStr">
        <is>
          <t>13,127</t>
        </is>
      </c>
      <c r="V364" t="n">
        <v>4</v>
      </c>
      <c r="W364" t="inlineStr">
        <is>
          <t>19%</t>
        </is>
      </c>
      <c r="X364" t="inlineStr">
        <is>
          <t>61 : 39</t>
        </is>
      </c>
      <c r="Y364" t="n">
        <v>196</v>
      </c>
      <c r="Z364" t="n">
        <v>106</v>
      </c>
      <c r="AA364" t="n">
        <v>66.09999999999999</v>
      </c>
      <c r="AB364" t="inlineStr">
        <is>
          <t>U0363</t>
        </is>
      </c>
      <c r="AC364" t="inlineStr">
        <is>
          <t>UN</t>
        </is>
      </c>
      <c r="AD364" t="n">
        <v>46.6</v>
      </c>
      <c r="AE364" t="n">
        <v>78.40000000000001</v>
      </c>
      <c r="AF364" t="n">
        <v>4</v>
      </c>
      <c r="AG364" t="inlineStr">
        <is>
          <t>1:4.0</t>
        </is>
      </c>
      <c r="AH364" t="inlineStr">
        <is>
          <t>19%</t>
        </is>
      </c>
      <c r="AI364" t="n">
        <v>25.2</v>
      </c>
      <c r="AJ364" t="n">
        <v>57.86</v>
      </c>
    </row>
    <row r="365">
      <c r="A365" t="inlineStr">
        <is>
          <t>ENSTA Bretagne</t>
        </is>
      </c>
      <c r="B365" t="inlineStr">
        <is>
          <t>France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501–600</t>
        </is>
      </c>
      <c r="O365" t="inlineStr">
        <is>
          <t>41.9–45.3</t>
        </is>
      </c>
      <c r="P365" t="n">
        <v>39.4</v>
      </c>
      <c r="Q365" t="n">
        <v>28.6</v>
      </c>
      <c r="R365" t="n">
        <v>48.1</v>
      </c>
      <c r="S365" t="n">
        <v>75.5</v>
      </c>
      <c r="T365" t="n">
        <v>68.90000000000001</v>
      </c>
      <c r="U365" t="inlineStr">
        <is>
          <t>652</t>
        </is>
      </c>
      <c r="V365" t="n">
        <v>8.6</v>
      </c>
      <c r="W365" t="inlineStr">
        <is>
          <t>18%</t>
        </is>
      </c>
      <c r="X365" t="inlineStr">
        <is>
          <t>26 : 74</t>
        </is>
      </c>
      <c r="Y365" t="inlineStr"/>
      <c r="Z365" t="n">
        <v>501</v>
      </c>
      <c r="AA365" t="n">
        <v>43.59999999999999</v>
      </c>
      <c r="AB365" t="inlineStr">
        <is>
          <t>U0364</t>
        </is>
      </c>
      <c r="AC365" t="inlineStr">
        <is>
          <t>FR</t>
        </is>
      </c>
      <c r="AD365" t="n">
        <v>43.59999999999999</v>
      </c>
      <c r="AE365" t="n">
        <v>48.1</v>
      </c>
      <c r="AF365" t="n">
        <v>8.6</v>
      </c>
      <c r="AG365" t="inlineStr">
        <is>
          <t>1:8.6</t>
        </is>
      </c>
      <c r="AH365" t="inlineStr">
        <is>
          <t>18%</t>
        </is>
      </c>
      <c r="AI365" t="inlineStr"/>
      <c r="AJ365" t="n">
        <v>39.62</v>
      </c>
    </row>
    <row r="366">
      <c r="A366" t="inlineStr">
        <is>
          <t>EPFL</t>
        </is>
      </c>
      <c r="B366" t="inlineStr">
        <is>
          <t>Switzerland</t>
        </is>
      </c>
      <c r="C366" t="inlineStr">
        <is>
          <t>26</t>
        </is>
      </c>
      <c r="D366" t="n">
        <v>83.5</v>
      </c>
      <c r="E366" t="n">
        <v>84.2</v>
      </c>
      <c r="F366" t="n">
        <v>67.2</v>
      </c>
      <c r="G366" t="n">
        <v>91.2</v>
      </c>
      <c r="H366" t="n">
        <v>93.59999999999999</v>
      </c>
      <c r="I366" t="n">
        <v>100</v>
      </c>
      <c r="J366" t="n">
        <v>100</v>
      </c>
      <c r="K366" t="n">
        <v>81.7</v>
      </c>
      <c r="L366" t="n">
        <v>27.2</v>
      </c>
      <c r="M366" t="n">
        <v>86.7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26</v>
      </c>
      <c r="Z366" t="inlineStr"/>
      <c r="AA366" t="inlineStr"/>
      <c r="AB366" t="inlineStr">
        <is>
          <t>U0365</t>
        </is>
      </c>
      <c r="AC366" t="inlineStr">
        <is>
          <t>SW</t>
        </is>
      </c>
      <c r="AD366" t="n">
        <v>83.5</v>
      </c>
      <c r="AE366" t="n">
        <v>93.59999999999999</v>
      </c>
      <c r="AF366" t="inlineStr"/>
      <c r="AG366" t="inlineStr"/>
      <c r="AH366" t="inlineStr"/>
      <c r="AI366" t="n">
        <v>84.2</v>
      </c>
      <c r="AJ366" t="n">
        <v>41.75</v>
      </c>
    </row>
    <row r="367">
      <c r="A367" t="inlineStr">
        <is>
          <t xml:space="preserve">Erasmus University Rotterdam </t>
        </is>
      </c>
      <c r="B367" t="inlineStr">
        <is>
          <t>Netherlands</t>
        </is>
      </c>
      <c r="C367" t="inlineStr">
        <is>
          <t>158</t>
        </is>
      </c>
      <c r="D367" t="n">
        <v>51.5</v>
      </c>
      <c r="E367" t="n">
        <v>37</v>
      </c>
      <c r="F367" t="n">
        <v>58.2</v>
      </c>
      <c r="G367" t="n">
        <v>18.1</v>
      </c>
      <c r="H367" t="n">
        <v>63.3</v>
      </c>
      <c r="I367" t="n">
        <v>76</v>
      </c>
      <c r="J367" t="n">
        <v>70</v>
      </c>
      <c r="K367" t="n">
        <v>85.40000000000001</v>
      </c>
      <c r="L367" t="n">
        <v>89.3</v>
      </c>
      <c r="M367" t="n">
        <v>28.7</v>
      </c>
      <c r="N367">
        <f>99</f>
        <v/>
      </c>
      <c r="O367" t="inlineStr">
        <is>
          <t>66.7</t>
        </is>
      </c>
      <c r="P367" t="n">
        <v>38.5</v>
      </c>
      <c r="Q367" t="n">
        <v>54.1</v>
      </c>
      <c r="R367" t="n">
        <v>96.90000000000001</v>
      </c>
      <c r="S367" t="n">
        <v>94.7</v>
      </c>
      <c r="T367" t="n">
        <v>90.59999999999999</v>
      </c>
      <c r="U367" t="inlineStr">
        <is>
          <t>33,874</t>
        </is>
      </c>
      <c r="V367" t="n">
        <v>36</v>
      </c>
      <c r="W367" t="inlineStr">
        <is>
          <t>25%</t>
        </is>
      </c>
      <c r="X367" t="inlineStr">
        <is>
          <t>54 : 46</t>
        </is>
      </c>
      <c r="Y367" t="n">
        <v>158</v>
      </c>
      <c r="Z367" t="n">
        <v>99</v>
      </c>
      <c r="AA367" t="n">
        <v>66.7</v>
      </c>
      <c r="AB367" t="inlineStr">
        <is>
          <t>U0366</t>
        </is>
      </c>
      <c r="AC367" t="inlineStr">
        <is>
          <t>NE</t>
        </is>
      </c>
      <c r="AD367" t="n">
        <v>51.5</v>
      </c>
      <c r="AE367" t="n">
        <v>63.3</v>
      </c>
      <c r="AF367" t="n">
        <v>36</v>
      </c>
      <c r="AG367" t="inlineStr">
        <is>
          <t>1:36.0</t>
        </is>
      </c>
      <c r="AH367" t="inlineStr">
        <is>
          <t>25%</t>
        </is>
      </c>
      <c r="AI367" t="n">
        <v>37</v>
      </c>
      <c r="AJ367" t="n">
        <v>62.84</v>
      </c>
    </row>
    <row r="368">
      <c r="A368" t="inlineStr">
        <is>
          <t>Erciyes Üniversitesi</t>
        </is>
      </c>
      <c r="B368" t="inlineStr">
        <is>
          <t>Turkey</t>
        </is>
      </c>
      <c r="C368" t="inlineStr">
        <is>
          <t>1201-1400</t>
        </is>
      </c>
      <c r="D368" t="inlineStr"/>
      <c r="E368" t="n">
        <v>4.4</v>
      </c>
      <c r="F368" t="n">
        <v>3</v>
      </c>
      <c r="G368" t="n">
        <v>2</v>
      </c>
      <c r="H368" t="n">
        <v>5.3</v>
      </c>
      <c r="I368" t="n">
        <v>3.1</v>
      </c>
      <c r="J368" t="n">
        <v>5.7</v>
      </c>
      <c r="K368" t="n">
        <v>45.1</v>
      </c>
      <c r="L368" t="n">
        <v>1.7</v>
      </c>
      <c r="M368" t="n">
        <v>8.800000000000001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1201</v>
      </c>
      <c r="Z368" t="inlineStr"/>
      <c r="AA368" t="inlineStr"/>
      <c r="AB368" t="inlineStr">
        <is>
          <t>U0367</t>
        </is>
      </c>
      <c r="AC368" t="inlineStr">
        <is>
          <t>TU</t>
        </is>
      </c>
      <c r="AD368" t="inlineStr"/>
      <c r="AE368" t="n">
        <v>5.3</v>
      </c>
      <c r="AF368" t="inlineStr"/>
      <c r="AG368" t="inlineStr"/>
      <c r="AH368" t="inlineStr"/>
      <c r="AI368" t="n">
        <v>4.4</v>
      </c>
      <c r="AJ368" t="n">
        <v>14.99</v>
      </c>
    </row>
    <row r="369">
      <c r="A369" t="inlineStr">
        <is>
          <t>Erciyes University</t>
        </is>
      </c>
      <c r="B369" t="inlineStr">
        <is>
          <t>Turkey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1201–1500</t>
        </is>
      </c>
      <c r="O369" t="inlineStr">
        <is>
          <t>22.8–28.2</t>
        </is>
      </c>
      <c r="P369" t="n">
        <v>20.9</v>
      </c>
      <c r="Q369" t="n">
        <v>16.1</v>
      </c>
      <c r="R369" t="n">
        <v>36.1</v>
      </c>
      <c r="S369" t="n">
        <v>57</v>
      </c>
      <c r="T369" t="n">
        <v>29.3</v>
      </c>
      <c r="U369" t="inlineStr">
        <is>
          <t>51,907</t>
        </is>
      </c>
      <c r="V369" t="n">
        <v>37.2</v>
      </c>
      <c r="W369" t="inlineStr">
        <is>
          <t>6%</t>
        </is>
      </c>
      <c r="X369" t="inlineStr">
        <is>
          <t>46 : 54</t>
        </is>
      </c>
      <c r="Y369" t="inlineStr"/>
      <c r="Z369" t="n">
        <v>1201</v>
      </c>
      <c r="AA369" t="n">
        <v>25.5</v>
      </c>
      <c r="AB369" t="inlineStr">
        <is>
          <t>U0368</t>
        </is>
      </c>
      <c r="AC369" t="inlineStr">
        <is>
          <t>TU</t>
        </is>
      </c>
      <c r="AD369" t="n">
        <v>25.5</v>
      </c>
      <c r="AE369" t="n">
        <v>36.1</v>
      </c>
      <c r="AF369" t="n">
        <v>37.2</v>
      </c>
      <c r="AG369" t="inlineStr">
        <is>
          <t>1:37.2</t>
        </is>
      </c>
      <c r="AH369" t="inlineStr">
        <is>
          <t>6%</t>
        </is>
      </c>
      <c r="AI369" t="inlineStr"/>
      <c r="AJ369" t="n">
        <v>19.86</v>
      </c>
    </row>
    <row r="370">
      <c r="A370" t="inlineStr">
        <is>
          <t>Erzincan Binali Yıldırım University</t>
        </is>
      </c>
      <c r="B370" t="inlineStr">
        <is>
          <t>Turkey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1501+</t>
        </is>
      </c>
      <c r="O370" t="inlineStr">
        <is>
          <t>9.7–22.7</t>
        </is>
      </c>
      <c r="P370" t="n">
        <v>12</v>
      </c>
      <c r="Q370" t="n">
        <v>8.699999999999999</v>
      </c>
      <c r="R370" t="n">
        <v>37.6</v>
      </c>
      <c r="S370" t="n">
        <v>16.6</v>
      </c>
      <c r="T370" t="n">
        <v>23.7</v>
      </c>
      <c r="U370" t="inlineStr">
        <is>
          <t>24,096</t>
        </is>
      </c>
      <c r="V370" t="n">
        <v>21.9</v>
      </c>
      <c r="W370" t="inlineStr">
        <is>
          <t>4%</t>
        </is>
      </c>
      <c r="X370" t="inlineStr">
        <is>
          <t>49 : 51</t>
        </is>
      </c>
      <c r="Y370" t="inlineStr"/>
      <c r="Z370" t="n">
        <v>1501</v>
      </c>
      <c r="AA370" t="n">
        <v>16.2</v>
      </c>
      <c r="AB370" t="inlineStr">
        <is>
          <t>U0369</t>
        </is>
      </c>
      <c r="AC370" t="inlineStr">
        <is>
          <t>TU</t>
        </is>
      </c>
      <c r="AD370" t="n">
        <v>16.2</v>
      </c>
      <c r="AE370" t="n">
        <v>37.6</v>
      </c>
      <c r="AF370" t="n">
        <v>21.9</v>
      </c>
      <c r="AG370" t="inlineStr">
        <is>
          <t>1:21.9</t>
        </is>
      </c>
      <c r="AH370" t="inlineStr">
        <is>
          <t>4%</t>
        </is>
      </c>
      <c r="AI370" t="inlineStr"/>
      <c r="AJ370" t="n">
        <v>15.08</v>
      </c>
    </row>
    <row r="371">
      <c r="A371" t="inlineStr">
        <is>
          <t>Escuela Politécnica Nacional</t>
        </is>
      </c>
      <c r="B371" t="inlineStr">
        <is>
          <t>Ecuador</t>
        </is>
      </c>
      <c r="C371" t="inlineStr">
        <is>
          <t>1201-1400</t>
        </is>
      </c>
      <c r="D371" t="inlineStr"/>
      <c r="E371" t="n">
        <v>6.9</v>
      </c>
      <c r="F371" t="n">
        <v>9.199999999999999</v>
      </c>
      <c r="G371" t="n">
        <v>16.6</v>
      </c>
      <c r="H371" t="n">
        <v>3.4</v>
      </c>
      <c r="I371" t="n">
        <v>5</v>
      </c>
      <c r="J371" t="n">
        <v>1.6</v>
      </c>
      <c r="K371" t="n">
        <v>14.9</v>
      </c>
      <c r="L371" t="n">
        <v>5</v>
      </c>
      <c r="M371" t="n">
        <v>1.3</v>
      </c>
      <c r="N371" t="inlineStr">
        <is>
          <t>1501+</t>
        </is>
      </c>
      <c r="O371" t="inlineStr">
        <is>
          <t>9.7–22.7</t>
        </is>
      </c>
      <c r="P371" t="n">
        <v>18.2</v>
      </c>
      <c r="Q371" t="n">
        <v>9.4</v>
      </c>
      <c r="R371" t="n">
        <v>29</v>
      </c>
      <c r="S371" t="n">
        <v>18.6</v>
      </c>
      <c r="T371" t="n">
        <v>52.1</v>
      </c>
      <c r="U371" t="inlineStr">
        <is>
          <t>7,458</t>
        </is>
      </c>
      <c r="V371" t="n">
        <v>13.2</v>
      </c>
      <c r="W371" t="inlineStr">
        <is>
          <t>1%</t>
        </is>
      </c>
      <c r="X371" t="inlineStr">
        <is>
          <t>28 : 72</t>
        </is>
      </c>
      <c r="Y371" t="n">
        <v>1201</v>
      </c>
      <c r="Z371" t="n">
        <v>1501</v>
      </c>
      <c r="AA371" t="n">
        <v>16.2</v>
      </c>
      <c r="AB371" t="inlineStr">
        <is>
          <t>U0370</t>
        </is>
      </c>
      <c r="AC371" t="inlineStr">
        <is>
          <t>EC</t>
        </is>
      </c>
      <c r="AD371" t="n">
        <v>16.2</v>
      </c>
      <c r="AE371" t="n">
        <v>3.4</v>
      </c>
      <c r="AF371" t="n">
        <v>13.2</v>
      </c>
      <c r="AG371" t="inlineStr">
        <is>
          <t>1:13.2</t>
        </is>
      </c>
      <c r="AH371" t="inlineStr">
        <is>
          <t>1%</t>
        </is>
      </c>
      <c r="AI371" t="n">
        <v>6.9</v>
      </c>
      <c r="AJ371" t="n">
        <v>11.95</v>
      </c>
    </row>
    <row r="372">
      <c r="A372" t="inlineStr">
        <is>
          <t>Escuela Superior Politécnica del Litoral (ESPOL)</t>
        </is>
      </c>
      <c r="B372" t="inlineStr">
        <is>
          <t>Ecuador</t>
        </is>
      </c>
      <c r="C372" t="inlineStr">
        <is>
          <t>1001-1200</t>
        </is>
      </c>
      <c r="D372" t="inlineStr"/>
      <c r="E372" t="n">
        <v>14.3</v>
      </c>
      <c r="F372" t="n">
        <v>8.4</v>
      </c>
      <c r="G372" t="n">
        <v>22.4</v>
      </c>
      <c r="H372" t="n">
        <v>2.6</v>
      </c>
      <c r="I372" t="n">
        <v>12</v>
      </c>
      <c r="J372" t="n">
        <v>1.6</v>
      </c>
      <c r="K372" t="n">
        <v>27.5</v>
      </c>
      <c r="L372" t="n">
        <v>8.6</v>
      </c>
      <c r="M372" t="n">
        <v>22.7</v>
      </c>
      <c r="N372" t="inlineStr">
        <is>
          <t>1201–1500</t>
        </is>
      </c>
      <c r="O372" t="inlineStr">
        <is>
          <t>22.8–28.2</t>
        </is>
      </c>
      <c r="P372" t="n">
        <v>20.4</v>
      </c>
      <c r="Q372" t="n">
        <v>9.5</v>
      </c>
      <c r="R372" t="n">
        <v>32.3</v>
      </c>
      <c r="S372" t="n">
        <v>18.3</v>
      </c>
      <c r="T372" t="n">
        <v>56.4</v>
      </c>
      <c r="U372" t="inlineStr">
        <is>
          <t>10,271</t>
        </is>
      </c>
      <c r="V372" t="n">
        <v>10.4</v>
      </c>
      <c r="W372" t="inlineStr">
        <is>
          <t>1%</t>
        </is>
      </c>
      <c r="X372" t="inlineStr">
        <is>
          <t>39 : 61</t>
        </is>
      </c>
      <c r="Y372" t="n">
        <v>1001</v>
      </c>
      <c r="Z372" t="n">
        <v>1201</v>
      </c>
      <c r="AA372" t="n">
        <v>25.5</v>
      </c>
      <c r="AB372" t="inlineStr">
        <is>
          <t>U0371</t>
        </is>
      </c>
      <c r="AC372" t="inlineStr">
        <is>
          <t>EC</t>
        </is>
      </c>
      <c r="AD372" t="n">
        <v>25.5</v>
      </c>
      <c r="AE372" t="n">
        <v>2.6</v>
      </c>
      <c r="AF372" t="n">
        <v>10.4</v>
      </c>
      <c r="AG372" t="inlineStr">
        <is>
          <t>1:10.4</t>
        </is>
      </c>
      <c r="AH372" t="inlineStr">
        <is>
          <t>1%</t>
        </is>
      </c>
      <c r="AI372" t="n">
        <v>14.3</v>
      </c>
      <c r="AJ372" t="n">
        <v>12.8</v>
      </c>
    </row>
    <row r="373">
      <c r="A373" t="inlineStr">
        <is>
          <t>Eskişehir Osmangazi University</t>
        </is>
      </c>
      <c r="B373" t="inlineStr">
        <is>
          <t>Turkey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1501+</t>
        </is>
      </c>
      <c r="O373" t="inlineStr">
        <is>
          <t>9.7–22.7</t>
        </is>
      </c>
      <c r="P373" t="n">
        <v>21.5</v>
      </c>
      <c r="Q373" t="n">
        <v>16.6</v>
      </c>
      <c r="R373" t="n">
        <v>20.5</v>
      </c>
      <c r="S373" t="n">
        <v>19.2</v>
      </c>
      <c r="T373" t="n">
        <v>27</v>
      </c>
      <c r="U373" t="inlineStr">
        <is>
          <t>30,301</t>
        </is>
      </c>
      <c r="V373" t="n">
        <v>17.5</v>
      </c>
      <c r="W373" t="inlineStr">
        <is>
          <t>7%</t>
        </is>
      </c>
      <c r="X373" t="inlineStr">
        <is>
          <t>45 : 55</t>
        </is>
      </c>
      <c r="Y373" t="inlineStr"/>
      <c r="Z373" t="n">
        <v>1501</v>
      </c>
      <c r="AA373" t="n">
        <v>16.2</v>
      </c>
      <c r="AB373" t="inlineStr">
        <is>
          <t>U0372</t>
        </is>
      </c>
      <c r="AC373" t="inlineStr">
        <is>
          <t>TU</t>
        </is>
      </c>
      <c r="AD373" t="n">
        <v>16.2</v>
      </c>
      <c r="AE373" t="n">
        <v>20.5</v>
      </c>
      <c r="AF373" t="n">
        <v>17.5</v>
      </c>
      <c r="AG373" t="inlineStr">
        <is>
          <t>1:17.5</t>
        </is>
      </c>
      <c r="AH373" t="inlineStr">
        <is>
          <t>7%</t>
        </is>
      </c>
      <c r="AI373" t="inlineStr"/>
      <c r="AJ373" t="n">
        <v>14.83</v>
      </c>
    </row>
    <row r="374">
      <c r="A374" t="inlineStr">
        <is>
          <t>Essex, University of</t>
        </is>
      </c>
      <c r="B374" t="inlineStr">
        <is>
          <t>United Kingdom</t>
        </is>
      </c>
      <c r="C374" t="inlineStr">
        <is>
          <t>472</t>
        </is>
      </c>
      <c r="D374" t="n">
        <v>25.3</v>
      </c>
      <c r="E374" t="n">
        <v>15.5</v>
      </c>
      <c r="F374" t="n">
        <v>5.2</v>
      </c>
      <c r="G374" t="n">
        <v>12.7</v>
      </c>
      <c r="H374" t="n">
        <v>22.6</v>
      </c>
      <c r="I374" t="n">
        <v>99.8</v>
      </c>
      <c r="J374" t="n">
        <v>98.59999999999999</v>
      </c>
      <c r="K374" t="n">
        <v>75.09999999999999</v>
      </c>
      <c r="L374" t="n">
        <v>14</v>
      </c>
      <c r="M374" t="n">
        <v>13.2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472</v>
      </c>
      <c r="Z374" t="inlineStr"/>
      <c r="AA374" t="inlineStr"/>
      <c r="AB374" t="inlineStr">
        <is>
          <t>U0373</t>
        </is>
      </c>
      <c r="AC374" t="inlineStr">
        <is>
          <t>UN</t>
        </is>
      </c>
      <c r="AD374" t="n">
        <v>25.3</v>
      </c>
      <c r="AE374" t="n">
        <v>22.6</v>
      </c>
      <c r="AF374" t="inlineStr"/>
      <c r="AG374" t="inlineStr"/>
      <c r="AH374" t="inlineStr"/>
      <c r="AI374" t="n">
        <v>15.5</v>
      </c>
      <c r="AJ374" t="n">
        <v>20.24</v>
      </c>
    </row>
    <row r="375">
      <c r="A375" t="inlineStr">
        <is>
          <t>ETH Zurich</t>
        </is>
      </c>
      <c r="B375" t="inlineStr">
        <is>
          <t>Switzerland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11</t>
        </is>
      </c>
      <c r="O375" t="inlineStr">
        <is>
          <t>93.1</t>
        </is>
      </c>
      <c r="P375" t="n">
        <v>87.59999999999999</v>
      </c>
      <c r="Q375" t="n">
        <v>96.8</v>
      </c>
      <c r="R375" t="n">
        <v>95.59999999999999</v>
      </c>
      <c r="S375" t="n">
        <v>82.90000000000001</v>
      </c>
      <c r="T375" t="n">
        <v>95.59999999999999</v>
      </c>
      <c r="U375" t="inlineStr">
        <is>
          <t>22,619</t>
        </is>
      </c>
      <c r="V375" t="n">
        <v>15.4</v>
      </c>
      <c r="W375" t="inlineStr">
        <is>
          <t>43%</t>
        </is>
      </c>
      <c r="X375" t="inlineStr">
        <is>
          <t>33 : 67</t>
        </is>
      </c>
      <c r="Y375" t="inlineStr"/>
      <c r="Z375" t="n">
        <v>11</v>
      </c>
      <c r="AA375" t="n">
        <v>93.09999999999999</v>
      </c>
      <c r="AB375" t="inlineStr">
        <is>
          <t>U0374</t>
        </is>
      </c>
      <c r="AC375" t="inlineStr">
        <is>
          <t>SW</t>
        </is>
      </c>
      <c r="AD375" t="n">
        <v>93.09999999999999</v>
      </c>
      <c r="AE375" t="n">
        <v>95.59999999999999</v>
      </c>
      <c r="AF375" t="n">
        <v>15.4</v>
      </c>
      <c r="AG375" t="inlineStr">
        <is>
          <t>1:15.4</t>
        </is>
      </c>
      <c r="AH375" t="inlineStr">
        <is>
          <t>43%</t>
        </is>
      </c>
      <c r="AI375" t="inlineStr"/>
      <c r="AJ375" t="n">
        <v>96.22</v>
      </c>
    </row>
    <row r="376">
      <c r="A376" t="inlineStr">
        <is>
          <t>ETH Zurich - Swiss Federal Institute of Technology</t>
        </is>
      </c>
      <c r="B376" t="inlineStr">
        <is>
          <t>Switzerland</t>
        </is>
      </c>
      <c r="C376" t="inlineStr">
        <is>
          <t>7</t>
        </is>
      </c>
      <c r="D376" t="n">
        <v>93.90000000000001</v>
      </c>
      <c r="E376" t="n">
        <v>98.8</v>
      </c>
      <c r="F376" t="n">
        <v>87.2</v>
      </c>
      <c r="G376" t="n">
        <v>65.90000000000001</v>
      </c>
      <c r="H376" t="n">
        <v>97.90000000000001</v>
      </c>
      <c r="I376" t="n">
        <v>100</v>
      </c>
      <c r="J376" t="n">
        <v>98.59999999999999</v>
      </c>
      <c r="K376" t="n">
        <v>95.7</v>
      </c>
      <c r="L376" t="n">
        <v>90.5</v>
      </c>
      <c r="M376" t="n">
        <v>98.8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7</v>
      </c>
      <c r="Z376" t="inlineStr"/>
      <c r="AA376" t="inlineStr"/>
      <c r="AB376" t="inlineStr">
        <is>
          <t>U0375</t>
        </is>
      </c>
      <c r="AC376" t="inlineStr">
        <is>
          <t>SW</t>
        </is>
      </c>
      <c r="AD376" t="n">
        <v>93.90000000000001</v>
      </c>
      <c r="AE376" t="n">
        <v>97.90000000000001</v>
      </c>
      <c r="AF376" t="inlineStr"/>
      <c r="AG376" t="inlineStr"/>
      <c r="AH376" t="inlineStr"/>
      <c r="AI376" t="n">
        <v>98.8</v>
      </c>
      <c r="AJ376" t="n">
        <v>43.06</v>
      </c>
    </row>
    <row r="377">
      <c r="A377" t="inlineStr">
        <is>
          <t>European University of Madrid</t>
        </is>
      </c>
      <c r="B377" t="inlineStr">
        <is>
          <t>Spain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1001–1200</t>
        </is>
      </c>
      <c r="O377" t="inlineStr">
        <is>
          <t>28.3–32.6</t>
        </is>
      </c>
      <c r="P377" t="n">
        <v>21.5</v>
      </c>
      <c r="Q377" t="n">
        <v>10.9</v>
      </c>
      <c r="R377" t="n">
        <v>54.3</v>
      </c>
      <c r="S377" t="n">
        <v>17.7</v>
      </c>
      <c r="T377" t="n">
        <v>61.7</v>
      </c>
      <c r="U377" t="inlineStr">
        <is>
          <t>11,416</t>
        </is>
      </c>
      <c r="V377" t="n">
        <v>12</v>
      </c>
      <c r="W377" t="inlineStr">
        <is>
          <t>30%</t>
        </is>
      </c>
      <c r="X377" t="inlineStr">
        <is>
          <t>50 : 50</t>
        </is>
      </c>
      <c r="Y377" t="inlineStr"/>
      <c r="Z377" t="n">
        <v>1001</v>
      </c>
      <c r="AA377" t="n">
        <v>30.45</v>
      </c>
      <c r="AB377" t="inlineStr">
        <is>
          <t>U0376</t>
        </is>
      </c>
      <c r="AC377" t="inlineStr">
        <is>
          <t>SP</t>
        </is>
      </c>
      <c r="AD377" t="n">
        <v>30.45</v>
      </c>
      <c r="AE377" t="n">
        <v>54.3</v>
      </c>
      <c r="AF377" t="n">
        <v>12</v>
      </c>
      <c r="AG377" t="inlineStr">
        <is>
          <t>1:12.0</t>
        </is>
      </c>
      <c r="AH377" t="inlineStr">
        <is>
          <t>30%</t>
        </is>
      </c>
      <c r="AI377" t="inlineStr"/>
      <c r="AJ377" t="n">
        <v>30.48</v>
      </c>
    </row>
    <row r="378">
      <c r="A378" t="inlineStr">
        <is>
          <t>Ewha Womans University</t>
        </is>
      </c>
      <c r="B378" t="inlineStr">
        <is>
          <t>South Korea</t>
        </is>
      </c>
      <c r="C378" t="inlineStr">
        <is>
          <t>511</t>
        </is>
      </c>
      <c r="D378" t="n">
        <v>23.8</v>
      </c>
      <c r="E378" t="n">
        <v>22.1</v>
      </c>
      <c r="F378" t="n">
        <v>21.2</v>
      </c>
      <c r="G378" t="n">
        <v>76.3</v>
      </c>
      <c r="H378" t="n">
        <v>6.9</v>
      </c>
      <c r="I378" t="n">
        <v>7</v>
      </c>
      <c r="J378" t="n">
        <v>24.4</v>
      </c>
      <c r="K378" t="n">
        <v>31.3</v>
      </c>
      <c r="L378" t="n">
        <v>23</v>
      </c>
      <c r="M378" t="n">
        <v>34.2</v>
      </c>
      <c r="N378" t="inlineStr">
        <is>
          <t>601–800</t>
        </is>
      </c>
      <c r="O378" t="inlineStr">
        <is>
          <t>37.0–41.8</t>
        </is>
      </c>
      <c r="P378" t="n">
        <v>37.6</v>
      </c>
      <c r="Q378" t="n">
        <v>35.3</v>
      </c>
      <c r="R378" t="n">
        <v>44.5</v>
      </c>
      <c r="S378" t="n">
        <v>82.8</v>
      </c>
      <c r="T378" t="n">
        <v>49.6</v>
      </c>
      <c r="U378" t="inlineStr">
        <is>
          <t>13,999</t>
        </is>
      </c>
      <c r="V378" t="n">
        <v>16.7</v>
      </c>
      <c r="W378" t="inlineStr">
        <is>
          <t>15%</t>
        </is>
      </c>
      <c r="X378" t="inlineStr">
        <is>
          <t>100 : 0</t>
        </is>
      </c>
      <c r="Y378" t="n">
        <v>511</v>
      </c>
      <c r="Z378" t="n">
        <v>601</v>
      </c>
      <c r="AA378" t="n">
        <v>39.4</v>
      </c>
      <c r="AB378" t="inlineStr">
        <is>
          <t>U0377</t>
        </is>
      </c>
      <c r="AC378" t="inlineStr">
        <is>
          <t>SO</t>
        </is>
      </c>
      <c r="AD378" t="n">
        <v>23.8</v>
      </c>
      <c r="AE378" t="n">
        <v>6.9</v>
      </c>
      <c r="AF378" t="n">
        <v>16.7</v>
      </c>
      <c r="AG378" t="inlineStr">
        <is>
          <t>1:16.7</t>
        </is>
      </c>
      <c r="AH378" t="inlineStr">
        <is>
          <t>15%</t>
        </is>
      </c>
      <c r="AI378" t="n">
        <v>22.1</v>
      </c>
      <c r="AJ378" t="n">
        <v>25.98</v>
      </c>
    </row>
    <row r="379">
      <c r="A379" t="inlineStr">
        <is>
          <t>Far Eastern Federal University</t>
        </is>
      </c>
      <c r="B379" t="inlineStr">
        <is>
          <t>Russian Federation</t>
        </is>
      </c>
      <c r="C379" t="inlineStr">
        <is>
          <t>631-640</t>
        </is>
      </c>
      <c r="D379" t="inlineStr"/>
      <c r="E379" t="n">
        <v>12.8</v>
      </c>
      <c r="F379" t="n">
        <v>5.5</v>
      </c>
      <c r="G379" t="n">
        <v>96.7</v>
      </c>
      <c r="H379" t="n">
        <v>1.7</v>
      </c>
      <c r="I379" t="n">
        <v>10.8</v>
      </c>
      <c r="J379" t="n">
        <v>63.1</v>
      </c>
      <c r="K379" t="n">
        <v>41.7</v>
      </c>
      <c r="L379" t="n">
        <v>5.1</v>
      </c>
      <c r="M379" t="n">
        <v>1.1</v>
      </c>
      <c r="N379" t="inlineStr">
        <is>
          <t>1201–1500</t>
        </is>
      </c>
      <c r="O379" t="inlineStr">
        <is>
          <t>22.8–28.2</t>
        </is>
      </c>
      <c r="P379" t="n">
        <v>31.5</v>
      </c>
      <c r="Q379" t="n">
        <v>19.6</v>
      </c>
      <c r="R379" t="n">
        <v>21</v>
      </c>
      <c r="S379" t="n">
        <v>26.6</v>
      </c>
      <c r="T379" t="n">
        <v>62.7</v>
      </c>
      <c r="U379" t="inlineStr">
        <is>
          <t>15,631</t>
        </is>
      </c>
      <c r="V379" t="n">
        <v>12.9</v>
      </c>
      <c r="W379" t="inlineStr">
        <is>
          <t>21%</t>
        </is>
      </c>
      <c r="X379" t="inlineStr">
        <is>
          <t>59 : 41</t>
        </is>
      </c>
      <c r="Y379" t="n">
        <v>631</v>
      </c>
      <c r="Z379" t="n">
        <v>1201</v>
      </c>
      <c r="AA379" t="n">
        <v>25.5</v>
      </c>
      <c r="AB379" t="inlineStr">
        <is>
          <t>U0378</t>
        </is>
      </c>
      <c r="AC379" t="inlineStr">
        <is>
          <t>RU</t>
        </is>
      </c>
      <c r="AD379" t="n">
        <v>25.5</v>
      </c>
      <c r="AE379" t="n">
        <v>1.7</v>
      </c>
      <c r="AF379" t="n">
        <v>12.9</v>
      </c>
      <c r="AG379" t="inlineStr">
        <is>
          <t>1:12.9</t>
        </is>
      </c>
      <c r="AH379" t="inlineStr">
        <is>
          <t>21%</t>
        </is>
      </c>
      <c r="AI379" t="n">
        <v>12.8</v>
      </c>
      <c r="AJ379" t="n">
        <v>19.34</v>
      </c>
    </row>
    <row r="380">
      <c r="A380" t="inlineStr">
        <is>
          <t>Fayoum University</t>
        </is>
      </c>
      <c r="B380" t="inlineStr">
        <is>
          <t>Egypt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1001–1200</t>
        </is>
      </c>
      <c r="O380" t="inlineStr">
        <is>
          <t>28.3–32.6</t>
        </is>
      </c>
      <c r="P380" t="n">
        <v>15.9</v>
      </c>
      <c r="Q380" t="n">
        <v>11.9</v>
      </c>
      <c r="R380" t="n">
        <v>65.5</v>
      </c>
      <c r="S380" t="n">
        <v>24.9</v>
      </c>
      <c r="T380" t="n">
        <v>46.4</v>
      </c>
      <c r="U380" t="inlineStr">
        <is>
          <t>46,689</t>
        </is>
      </c>
      <c r="V380" t="n">
        <v>18</v>
      </c>
      <c r="W380" t="inlineStr">
        <is>
          <t>0%</t>
        </is>
      </c>
      <c r="X380" t="inlineStr">
        <is>
          <t>62 : 38</t>
        </is>
      </c>
      <c r="Y380" t="inlineStr"/>
      <c r="Z380" t="n">
        <v>1001</v>
      </c>
      <c r="AA380" t="n">
        <v>30.45</v>
      </c>
      <c r="AB380" t="inlineStr">
        <is>
          <t>U0379</t>
        </is>
      </c>
      <c r="AC380" t="inlineStr">
        <is>
          <t>EG</t>
        </is>
      </c>
      <c r="AD380" t="n">
        <v>30.45</v>
      </c>
      <c r="AE380" t="n">
        <v>65.5</v>
      </c>
      <c r="AF380" t="n">
        <v>18</v>
      </c>
      <c r="AG380" t="inlineStr">
        <is>
          <t>1:18.0</t>
        </is>
      </c>
      <c r="AH380" t="inlineStr">
        <is>
          <t>0%</t>
        </is>
      </c>
      <c r="AI380" t="inlineStr"/>
      <c r="AJ380" t="n">
        <v>30.7</v>
      </c>
    </row>
    <row r="381">
      <c r="A381" t="inlineStr">
        <is>
          <t>Federal Rural University of Pernambuco</t>
        </is>
      </c>
      <c r="B381" t="inlineStr">
        <is>
          <t>Brazil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1501+</t>
        </is>
      </c>
      <c r="O381" t="inlineStr">
        <is>
          <t>9.7–22.7</t>
        </is>
      </c>
      <c r="P381" t="n">
        <v>25</v>
      </c>
      <c r="Q381" t="n">
        <v>11</v>
      </c>
      <c r="R381" t="n">
        <v>19.1</v>
      </c>
      <c r="S381" t="n">
        <v>20</v>
      </c>
      <c r="T381" t="n">
        <v>23.4</v>
      </c>
      <c r="U381" t="inlineStr">
        <is>
          <t>14,347</t>
        </is>
      </c>
      <c r="V381" t="n">
        <v>12.3</v>
      </c>
      <c r="W381" t="inlineStr">
        <is>
          <t>0%</t>
        </is>
      </c>
      <c r="X381" t="inlineStr">
        <is>
          <t>49 : 51</t>
        </is>
      </c>
      <c r="Y381" t="inlineStr"/>
      <c r="Z381" t="n">
        <v>1501</v>
      </c>
      <c r="AA381" t="n">
        <v>16.2</v>
      </c>
      <c r="AB381" t="inlineStr">
        <is>
          <t>U0380</t>
        </is>
      </c>
      <c r="AC381" t="inlineStr">
        <is>
          <t>BR</t>
        </is>
      </c>
      <c r="AD381" t="n">
        <v>16.2</v>
      </c>
      <c r="AE381" t="n">
        <v>19.1</v>
      </c>
      <c r="AF381" t="n">
        <v>12.3</v>
      </c>
      <c r="AG381" t="inlineStr">
        <is>
          <t>1:12.3</t>
        </is>
      </c>
      <c r="AH381" t="inlineStr">
        <is>
          <t>0%</t>
        </is>
      </c>
      <c r="AI381" t="inlineStr"/>
      <c r="AJ381" t="n">
        <v>10.6</v>
      </c>
    </row>
    <row r="382">
      <c r="A382" t="inlineStr">
        <is>
          <t>Federal University of Agriculture, Abeokuta</t>
        </is>
      </c>
      <c r="B382" t="inlineStr">
        <is>
          <t>Nigeria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1501+</t>
        </is>
      </c>
      <c r="O382" t="inlineStr">
        <is>
          <t>9.7–22.7</t>
        </is>
      </c>
      <c r="P382" t="n">
        <v>15.6</v>
      </c>
      <c r="Q382" t="n">
        <v>8</v>
      </c>
      <c r="R382" t="n">
        <v>24.5</v>
      </c>
      <c r="S382" t="n">
        <v>17</v>
      </c>
      <c r="T382" t="n">
        <v>31.4</v>
      </c>
      <c r="U382" t="inlineStr">
        <is>
          <t>17,433</t>
        </is>
      </c>
      <c r="V382" t="n">
        <v>26.5</v>
      </c>
      <c r="W382" t="inlineStr">
        <is>
          <t>0%</t>
        </is>
      </c>
      <c r="X382" t="inlineStr">
        <is>
          <t>52 : 48</t>
        </is>
      </c>
      <c r="Y382" t="inlineStr"/>
      <c r="Z382" t="n">
        <v>1501</v>
      </c>
      <c r="AA382" t="n">
        <v>16.2</v>
      </c>
      <c r="AB382" t="inlineStr">
        <is>
          <t>U0381</t>
        </is>
      </c>
      <c r="AC382" t="inlineStr">
        <is>
          <t>NI</t>
        </is>
      </c>
      <c r="AD382" t="n">
        <v>16.2</v>
      </c>
      <c r="AE382" t="n">
        <v>24.5</v>
      </c>
      <c r="AF382" t="n">
        <v>26.5</v>
      </c>
      <c r="AG382" t="inlineStr">
        <is>
          <t>1:26.5</t>
        </is>
      </c>
      <c r="AH382" t="inlineStr">
        <is>
          <t>0%</t>
        </is>
      </c>
      <c r="AI382" t="inlineStr"/>
      <c r="AJ382" t="n">
        <v>12.6</v>
      </c>
    </row>
    <row r="383">
      <c r="A383" t="inlineStr">
        <is>
          <t>Federal University of Espírito Santo</t>
        </is>
      </c>
      <c r="B383" t="inlineStr">
        <is>
          <t>Brazil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1201–1500</t>
        </is>
      </c>
      <c r="O383" t="inlineStr">
        <is>
          <t>22.8–28.2</t>
        </is>
      </c>
      <c r="P383" t="n">
        <v>24.7</v>
      </c>
      <c r="Q383" t="n">
        <v>15.7</v>
      </c>
      <c r="R383" t="n">
        <v>25.1</v>
      </c>
      <c r="S383" t="n">
        <v>47.3</v>
      </c>
      <c r="T383" t="n">
        <v>28.8</v>
      </c>
      <c r="U383" t="inlineStr">
        <is>
          <t>24,728</t>
        </is>
      </c>
      <c r="V383" t="n">
        <v>13.3</v>
      </c>
      <c r="W383" t="inlineStr">
        <is>
          <t>1%</t>
        </is>
      </c>
      <c r="X383" t="inlineStr">
        <is>
          <t>55 : 45</t>
        </is>
      </c>
      <c r="Y383" t="inlineStr"/>
      <c r="Z383" t="n">
        <v>1201</v>
      </c>
      <c r="AA383" t="n">
        <v>25.5</v>
      </c>
      <c r="AB383" t="inlineStr">
        <is>
          <t>U0382</t>
        </is>
      </c>
      <c r="AC383" t="inlineStr">
        <is>
          <t>BR</t>
        </is>
      </c>
      <c r="AD383" t="n">
        <v>25.5</v>
      </c>
      <c r="AE383" t="n">
        <v>25.1</v>
      </c>
      <c r="AF383" t="n">
        <v>13.3</v>
      </c>
      <c r="AG383" t="inlineStr">
        <is>
          <t>1:13.3</t>
        </is>
      </c>
      <c r="AH383" t="inlineStr">
        <is>
          <t>1%</t>
        </is>
      </c>
      <c r="AI383" t="inlineStr"/>
      <c r="AJ383" t="n">
        <v>16.19</v>
      </c>
    </row>
    <row r="384">
      <c r="A384" t="inlineStr">
        <is>
          <t>Federal University of Goiás</t>
        </is>
      </c>
      <c r="B384" t="inlineStr">
        <is>
          <t>Brazil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1201–1500</t>
        </is>
      </c>
      <c r="O384" t="inlineStr">
        <is>
          <t>22.8–28.2</t>
        </is>
      </c>
      <c r="P384" t="n">
        <v>30</v>
      </c>
      <c r="Q384" t="n">
        <v>13.8</v>
      </c>
      <c r="R384" t="n">
        <v>26.2</v>
      </c>
      <c r="S384" t="n">
        <v>30.8</v>
      </c>
      <c r="T384" t="n">
        <v>27.7</v>
      </c>
      <c r="U384" t="inlineStr">
        <is>
          <t>25,332</t>
        </is>
      </c>
      <c r="V384" t="n">
        <v>13.3</v>
      </c>
      <c r="W384" t="inlineStr">
        <is>
          <t>1%</t>
        </is>
      </c>
      <c r="X384" t="inlineStr">
        <is>
          <t>50 : 50</t>
        </is>
      </c>
      <c r="Y384" t="inlineStr"/>
      <c r="Z384" t="n">
        <v>1201</v>
      </c>
      <c r="AA384" t="n">
        <v>25.5</v>
      </c>
      <c r="AB384" t="inlineStr">
        <is>
          <t>U0383</t>
        </is>
      </c>
      <c r="AC384" t="inlineStr">
        <is>
          <t>BR</t>
        </is>
      </c>
      <c r="AD384" t="n">
        <v>25.5</v>
      </c>
      <c r="AE384" t="n">
        <v>26.2</v>
      </c>
      <c r="AF384" t="n">
        <v>13.3</v>
      </c>
      <c r="AG384" t="inlineStr">
        <is>
          <t>1:13.3</t>
        </is>
      </c>
      <c r="AH384" t="inlineStr">
        <is>
          <t>1%</t>
        </is>
      </c>
      <c r="AI384" t="inlineStr"/>
      <c r="AJ384" t="n">
        <v>15.26</v>
      </c>
    </row>
    <row r="385">
      <c r="A385" t="inlineStr">
        <is>
          <t>Federal University of Itajubá</t>
        </is>
      </c>
      <c r="B385" t="inlineStr">
        <is>
          <t>Brazil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1501+</t>
        </is>
      </c>
      <c r="O385" t="inlineStr">
        <is>
          <t>9.7–22.7</t>
        </is>
      </c>
      <c r="P385" t="n">
        <v>17.7</v>
      </c>
      <c r="Q385" t="n">
        <v>9.6</v>
      </c>
      <c r="R385" t="n">
        <v>21.3</v>
      </c>
      <c r="S385" t="n">
        <v>20.5</v>
      </c>
      <c r="T385" t="n">
        <v>28</v>
      </c>
      <c r="U385" t="inlineStr">
        <is>
          <t>8,608</t>
        </is>
      </c>
      <c r="V385" t="n">
        <v>17.3</v>
      </c>
      <c r="W385" t="inlineStr">
        <is>
          <t>1%</t>
        </is>
      </c>
      <c r="X385" t="inlineStr">
        <is>
          <t>30 : 70</t>
        </is>
      </c>
      <c r="Y385" t="inlineStr"/>
      <c r="Z385" t="n">
        <v>1501</v>
      </c>
      <c r="AA385" t="n">
        <v>16.2</v>
      </c>
      <c r="AB385" t="inlineStr">
        <is>
          <t>U0384</t>
        </is>
      </c>
      <c r="AC385" t="inlineStr">
        <is>
          <t>BR</t>
        </is>
      </c>
      <c r="AD385" t="n">
        <v>16.2</v>
      </c>
      <c r="AE385" t="n">
        <v>21.3</v>
      </c>
      <c r="AF385" t="n">
        <v>17.3</v>
      </c>
      <c r="AG385" t="inlineStr">
        <is>
          <t>1:17.3</t>
        </is>
      </c>
      <c r="AH385" t="inlineStr">
        <is>
          <t>1%</t>
        </is>
      </c>
      <c r="AI385" t="inlineStr"/>
      <c r="AJ385" t="n">
        <v>11.65</v>
      </c>
    </row>
    <row r="386">
      <c r="A386" t="inlineStr">
        <is>
          <t>Federal University of Lavras</t>
        </is>
      </c>
      <c r="B386" t="inlineStr">
        <is>
          <t>Brazil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1201–1500</t>
        </is>
      </c>
      <c r="O386" t="inlineStr">
        <is>
          <t>22.8–28.2</t>
        </is>
      </c>
      <c r="P386" t="n">
        <v>27</v>
      </c>
      <c r="Q386" t="n">
        <v>16.8</v>
      </c>
      <c r="R386" t="n">
        <v>26.6</v>
      </c>
      <c r="S386" t="n">
        <v>29.3</v>
      </c>
      <c r="T386" t="n">
        <v>26.5</v>
      </c>
      <c r="U386" t="inlineStr">
        <is>
          <t>14,733</t>
        </is>
      </c>
      <c r="V386" t="n">
        <v>18.3</v>
      </c>
      <c r="W386" t="inlineStr">
        <is>
          <t>1%</t>
        </is>
      </c>
      <c r="X386" t="inlineStr">
        <is>
          <t>52 : 48</t>
        </is>
      </c>
      <c r="Y386" t="inlineStr"/>
      <c r="Z386" t="n">
        <v>1201</v>
      </c>
      <c r="AA386" t="n">
        <v>25.5</v>
      </c>
      <c r="AB386" t="inlineStr">
        <is>
          <t>U0385</t>
        </is>
      </c>
      <c r="AC386" t="inlineStr">
        <is>
          <t>BR</t>
        </is>
      </c>
      <c r="AD386" t="n">
        <v>25.5</v>
      </c>
      <c r="AE386" t="n">
        <v>26.6</v>
      </c>
      <c r="AF386" t="n">
        <v>18.3</v>
      </c>
      <c r="AG386" t="inlineStr">
        <is>
          <t>1:18.3</t>
        </is>
      </c>
      <c r="AH386" t="inlineStr">
        <is>
          <t>1%</t>
        </is>
      </c>
      <c r="AI386" t="inlineStr"/>
      <c r="AJ386" t="n">
        <v>16.67</v>
      </c>
    </row>
    <row r="387">
      <c r="A387" t="inlineStr">
        <is>
          <t>Federal University of Mato Grosso do Sul</t>
        </is>
      </c>
      <c r="B387" t="inlineStr">
        <is>
          <t>Brazil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1501+</t>
        </is>
      </c>
      <c r="O387" t="inlineStr">
        <is>
          <t>9.7–22.7</t>
        </is>
      </c>
      <c r="P387" t="n">
        <v>21.4</v>
      </c>
      <c r="Q387" t="n">
        <v>11.7</v>
      </c>
      <c r="R387" t="n">
        <v>22.3</v>
      </c>
      <c r="S387" t="n">
        <v>33</v>
      </c>
      <c r="T387" t="n">
        <v>28.9</v>
      </c>
      <c r="U387" t="inlineStr">
        <is>
          <t>26,725</t>
        </is>
      </c>
      <c r="V387" t="n">
        <v>15</v>
      </c>
      <c r="W387" t="inlineStr">
        <is>
          <t>1%</t>
        </is>
      </c>
      <c r="X387" t="inlineStr">
        <is>
          <t>55 : 45</t>
        </is>
      </c>
      <c r="Y387" t="inlineStr"/>
      <c r="Z387" t="n">
        <v>1501</v>
      </c>
      <c r="AA387" t="n">
        <v>16.2</v>
      </c>
      <c r="AB387" t="inlineStr">
        <is>
          <t>U0386</t>
        </is>
      </c>
      <c r="AC387" t="inlineStr">
        <is>
          <t>BR</t>
        </is>
      </c>
      <c r="AD387" t="n">
        <v>16.2</v>
      </c>
      <c r="AE387" t="n">
        <v>22.3</v>
      </c>
      <c r="AF387" t="n">
        <v>15</v>
      </c>
      <c r="AG387" t="inlineStr">
        <is>
          <t>1:15.0</t>
        </is>
      </c>
      <c r="AH387" t="inlineStr">
        <is>
          <t>1%</t>
        </is>
      </c>
      <c r="AI387" t="inlineStr"/>
      <c r="AJ387" t="n">
        <v>13.27</v>
      </c>
    </row>
    <row r="388">
      <c r="A388" t="inlineStr">
        <is>
          <t>Federal University of Minas Gerais</t>
        </is>
      </c>
      <c r="B388" t="inlineStr">
        <is>
          <t>Brazil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>
        <is>
          <t>801–1000</t>
        </is>
      </c>
      <c r="O388" t="inlineStr">
        <is>
          <t>32.7–36.9</t>
        </is>
      </c>
      <c r="P388" t="n">
        <v>40.2</v>
      </c>
      <c r="Q388" t="n">
        <v>23.3</v>
      </c>
      <c r="R388" t="n">
        <v>43.3</v>
      </c>
      <c r="S388" t="n">
        <v>50.8</v>
      </c>
      <c r="T388" t="n">
        <v>33.4</v>
      </c>
      <c r="U388" t="inlineStr">
        <is>
          <t>42,080</t>
        </is>
      </c>
      <c r="V388" t="n">
        <v>13.5</v>
      </c>
      <c r="W388" t="inlineStr">
        <is>
          <t>1%</t>
        </is>
      </c>
      <c r="X388" t="inlineStr">
        <is>
          <t>53 : 47</t>
        </is>
      </c>
      <c r="Y388" t="inlineStr"/>
      <c r="Z388" t="n">
        <v>801</v>
      </c>
      <c r="AA388" t="n">
        <v>34.8</v>
      </c>
      <c r="AB388" t="inlineStr">
        <is>
          <t>U0387</t>
        </is>
      </c>
      <c r="AC388" t="inlineStr">
        <is>
          <t>BR</t>
        </is>
      </c>
      <c r="AD388" t="n">
        <v>34.8</v>
      </c>
      <c r="AE388" t="n">
        <v>43.3</v>
      </c>
      <c r="AF388" t="n">
        <v>13.5</v>
      </c>
      <c r="AG388" t="inlineStr">
        <is>
          <t>1:13.5</t>
        </is>
      </c>
      <c r="AH388" t="inlineStr">
        <is>
          <t>1%</t>
        </is>
      </c>
      <c r="AI388" t="inlineStr"/>
      <c r="AJ388" t="n">
        <v>26.8</v>
      </c>
    </row>
    <row r="389">
      <c r="A389" t="inlineStr">
        <is>
          <t>Federal University of Pará</t>
        </is>
      </c>
      <c r="B389" t="inlineStr">
        <is>
          <t>Brazil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1501+</t>
        </is>
      </c>
      <c r="O389" t="inlineStr">
        <is>
          <t>9.7–22.7</t>
        </is>
      </c>
      <c r="P389" t="n">
        <v>22.6</v>
      </c>
      <c r="Q389" t="n">
        <v>11.7</v>
      </c>
      <c r="R389" t="n">
        <v>21.3</v>
      </c>
      <c r="S389" t="n">
        <v>21.7</v>
      </c>
      <c r="T389" t="n">
        <v>26.8</v>
      </c>
      <c r="U389" t="inlineStr">
        <is>
          <t>46,837</t>
        </is>
      </c>
      <c r="V389" t="n">
        <v>17.7</v>
      </c>
      <c r="W389" t="inlineStr">
        <is>
          <t>0%</t>
        </is>
      </c>
      <c r="X389" t="inlineStr">
        <is>
          <t>52 : 48</t>
        </is>
      </c>
      <c r="Y389" t="inlineStr"/>
      <c r="Z389" t="n">
        <v>1501</v>
      </c>
      <c r="AA389" t="n">
        <v>16.2</v>
      </c>
      <c r="AB389" t="inlineStr">
        <is>
          <t>U0388</t>
        </is>
      </c>
      <c r="AC389" t="inlineStr">
        <is>
          <t>BR</t>
        </is>
      </c>
      <c r="AD389" t="n">
        <v>16.2</v>
      </c>
      <c r="AE389" t="n">
        <v>21.3</v>
      </c>
      <c r="AF389" t="n">
        <v>17.7</v>
      </c>
      <c r="AG389" t="inlineStr">
        <is>
          <t>1:17.7</t>
        </is>
      </c>
      <c r="AH389" t="inlineStr">
        <is>
          <t>0%</t>
        </is>
      </c>
      <c r="AI389" t="inlineStr"/>
      <c r="AJ389" t="n">
        <v>12.46</v>
      </c>
    </row>
    <row r="390">
      <c r="A390" t="inlineStr">
        <is>
          <t>Federal University of Pernambuco</t>
        </is>
      </c>
      <c r="B390" t="inlineStr">
        <is>
          <t>Brazil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1201–1500</t>
        </is>
      </c>
      <c r="O390" t="inlineStr">
        <is>
          <t>22.8–28.2</t>
        </is>
      </c>
      <c r="P390" t="n">
        <v>30.7</v>
      </c>
      <c r="Q390" t="n">
        <v>13.3</v>
      </c>
      <c r="R390" t="n">
        <v>25.1</v>
      </c>
      <c r="S390" t="n">
        <v>40.2</v>
      </c>
      <c r="T390" t="n">
        <v>25.7</v>
      </c>
      <c r="U390" t="inlineStr">
        <is>
          <t>34,549</t>
        </is>
      </c>
      <c r="V390" t="n">
        <v>12.8</v>
      </c>
      <c r="W390" t="inlineStr">
        <is>
          <t>0%</t>
        </is>
      </c>
      <c r="X390" t="inlineStr">
        <is>
          <t>51 : 49</t>
        </is>
      </c>
      <c r="Y390" t="inlineStr"/>
      <c r="Z390" t="n">
        <v>1201</v>
      </c>
      <c r="AA390" t="n">
        <v>25.5</v>
      </c>
      <c r="AB390" t="inlineStr">
        <is>
          <t>U0389</t>
        </is>
      </c>
      <c r="AC390" t="inlineStr">
        <is>
          <t>BR</t>
        </is>
      </c>
      <c r="AD390" t="n">
        <v>25.5</v>
      </c>
      <c r="AE390" t="n">
        <v>25.1</v>
      </c>
      <c r="AF390" t="n">
        <v>12.8</v>
      </c>
      <c r="AG390" t="inlineStr">
        <is>
          <t>1:12.8</t>
        </is>
      </c>
      <c r="AH390" t="inlineStr">
        <is>
          <t>0%</t>
        </is>
      </c>
      <c r="AI390" t="inlineStr"/>
      <c r="AJ390" t="n">
        <v>14.18</v>
      </c>
    </row>
    <row r="391">
      <c r="A391" t="inlineStr">
        <is>
          <t>Federal University of Rio de Janeiro</t>
        </is>
      </c>
      <c r="B391" t="inlineStr">
        <is>
          <t>Brazil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601–800</t>
        </is>
      </c>
      <c r="O391" t="inlineStr">
        <is>
          <t>37.0–41.8</t>
        </is>
      </c>
      <c r="P391" t="n">
        <v>41.8</v>
      </c>
      <c r="Q391" t="n">
        <v>36</v>
      </c>
      <c r="R391" t="n">
        <v>36.7</v>
      </c>
      <c r="S391" t="n">
        <v>81</v>
      </c>
      <c r="T391" t="n">
        <v>35.9</v>
      </c>
      <c r="U391" t="inlineStr">
        <is>
          <t>52,534</t>
        </is>
      </c>
      <c r="V391" t="n">
        <v>13.5</v>
      </c>
      <c r="W391" t="inlineStr">
        <is>
          <t>1%</t>
        </is>
      </c>
      <c r="X391" t="inlineStr">
        <is>
          <t>55 : 45</t>
        </is>
      </c>
      <c r="Y391" t="inlineStr"/>
      <c r="Z391" t="n">
        <v>601</v>
      </c>
      <c r="AA391" t="n">
        <v>39.4</v>
      </c>
      <c r="AB391" t="inlineStr">
        <is>
          <t>U0390</t>
        </is>
      </c>
      <c r="AC391" t="inlineStr">
        <is>
          <t>BR</t>
        </is>
      </c>
      <c r="AD391" t="n">
        <v>39.4</v>
      </c>
      <c r="AE391" t="n">
        <v>36.7</v>
      </c>
      <c r="AF391" t="n">
        <v>13.5</v>
      </c>
      <c r="AG391" t="inlineStr">
        <is>
          <t>1:13.5</t>
        </is>
      </c>
      <c r="AH391" t="inlineStr">
        <is>
          <t>1%</t>
        </is>
      </c>
      <c r="AI391" t="inlineStr"/>
      <c r="AJ391" t="n">
        <v>32.06</v>
      </c>
    </row>
    <row r="392">
      <c r="A392" t="inlineStr">
        <is>
          <t>Federal University of Rio Grande do Norte (UFRN)</t>
        </is>
      </c>
      <c r="B392" t="inlineStr">
        <is>
          <t>Brazil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1201–1500</t>
        </is>
      </c>
      <c r="O392" t="inlineStr">
        <is>
          <t>22.8–28.2</t>
        </is>
      </c>
      <c r="P392" t="n">
        <v>25.3</v>
      </c>
      <c r="Q392" t="n">
        <v>11.3</v>
      </c>
      <c r="R392" t="n">
        <v>30.6</v>
      </c>
      <c r="S392" t="n">
        <v>24.8</v>
      </c>
      <c r="T392" t="n">
        <v>31.3</v>
      </c>
      <c r="U392" t="inlineStr">
        <is>
          <t>42,906</t>
        </is>
      </c>
      <c r="V392" t="n">
        <v>16.7</v>
      </c>
      <c r="W392" t="inlineStr">
        <is>
          <t>0%</t>
        </is>
      </c>
      <c r="X392" t="inlineStr">
        <is>
          <t>40 : 60</t>
        </is>
      </c>
      <c r="Y392" t="inlineStr"/>
      <c r="Z392" t="n">
        <v>1201</v>
      </c>
      <c r="AA392" t="n">
        <v>25.5</v>
      </c>
      <c r="AB392" t="inlineStr">
        <is>
          <t>U0391</t>
        </is>
      </c>
      <c r="AC392" t="inlineStr">
        <is>
          <t>BR</t>
        </is>
      </c>
      <c r="AD392" t="n">
        <v>25.5</v>
      </c>
      <c r="AE392" t="n">
        <v>30.6</v>
      </c>
      <c r="AF392" t="n">
        <v>16.7</v>
      </c>
      <c r="AG392" t="inlineStr">
        <is>
          <t>1:16.7</t>
        </is>
      </c>
      <c r="AH392" t="inlineStr">
        <is>
          <t>0%</t>
        </is>
      </c>
      <c r="AI392" t="inlineStr"/>
      <c r="AJ392" t="n">
        <v>16.16</v>
      </c>
    </row>
    <row r="393">
      <c r="A393" t="inlineStr">
        <is>
          <t>Federal University of São Carlos</t>
        </is>
      </c>
      <c r="B393" t="inlineStr">
        <is>
          <t>Brazil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1001–1200</t>
        </is>
      </c>
      <c r="O393" t="inlineStr">
        <is>
          <t>28.3–32.6</t>
        </is>
      </c>
      <c r="P393" t="n">
        <v>33.4</v>
      </c>
      <c r="Q393" t="n">
        <v>19.8</v>
      </c>
      <c r="R393" t="n">
        <v>33.5</v>
      </c>
      <c r="S393" t="n">
        <v>44.8</v>
      </c>
      <c r="T393" t="n">
        <v>29.5</v>
      </c>
      <c r="U393" t="inlineStr">
        <is>
          <t>21,119</t>
        </is>
      </c>
      <c r="V393" t="n">
        <v>16.1</v>
      </c>
      <c r="W393" t="inlineStr">
        <is>
          <t>1%</t>
        </is>
      </c>
      <c r="X393" t="inlineStr">
        <is>
          <t>51 : 49</t>
        </is>
      </c>
      <c r="Y393" t="inlineStr"/>
      <c r="Z393" t="n">
        <v>1001</v>
      </c>
      <c r="AA393" t="n">
        <v>30.45</v>
      </c>
      <c r="AB393" t="inlineStr">
        <is>
          <t>U0392</t>
        </is>
      </c>
      <c r="AC393" t="inlineStr">
        <is>
          <t>BR</t>
        </is>
      </c>
      <c r="AD393" t="n">
        <v>30.45</v>
      </c>
      <c r="AE393" t="n">
        <v>33.5</v>
      </c>
      <c r="AF393" t="n">
        <v>16.1</v>
      </c>
      <c r="AG393" t="inlineStr">
        <is>
          <t>1:16.1</t>
        </is>
      </c>
      <c r="AH393" t="inlineStr">
        <is>
          <t>1%</t>
        </is>
      </c>
      <c r="AI393" t="inlineStr"/>
      <c r="AJ393" t="n">
        <v>21.06</v>
      </c>
    </row>
    <row r="394">
      <c r="A394" t="inlineStr">
        <is>
          <t>Federal University of Santa Maria</t>
        </is>
      </c>
      <c r="B394" t="inlineStr">
        <is>
          <t>Brazil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1201–1500</t>
        </is>
      </c>
      <c r="O394" t="inlineStr">
        <is>
          <t>22.8–28.2</t>
        </is>
      </c>
      <c r="P394" t="n">
        <v>31.5</v>
      </c>
      <c r="Q394" t="n">
        <v>13</v>
      </c>
      <c r="R394" t="n">
        <v>36.8</v>
      </c>
      <c r="S394" t="n">
        <v>24.1</v>
      </c>
      <c r="T394" t="n">
        <v>25</v>
      </c>
      <c r="U394" t="inlineStr">
        <is>
          <t>28,741</t>
        </is>
      </c>
      <c r="V394" t="n">
        <v>14.6</v>
      </c>
      <c r="W394" t="inlineStr">
        <is>
          <t>1%</t>
        </is>
      </c>
      <c r="X394" t="inlineStr">
        <is>
          <t>54 : 46</t>
        </is>
      </c>
      <c r="Y394" t="inlineStr"/>
      <c r="Z394" t="n">
        <v>1201</v>
      </c>
      <c r="AA394" t="n">
        <v>25.5</v>
      </c>
      <c r="AB394" t="inlineStr">
        <is>
          <t>U0393</t>
        </is>
      </c>
      <c r="AC394" t="inlineStr">
        <is>
          <t>BR</t>
        </is>
      </c>
      <c r="AD394" t="n">
        <v>25.5</v>
      </c>
      <c r="AE394" t="n">
        <v>36.8</v>
      </c>
      <c r="AF394" t="n">
        <v>14.6</v>
      </c>
      <c r="AG394" t="inlineStr">
        <is>
          <t>1:14.6</t>
        </is>
      </c>
      <c r="AH394" t="inlineStr">
        <is>
          <t>1%</t>
        </is>
      </c>
      <c r="AI394" t="inlineStr"/>
      <c r="AJ394" t="n">
        <v>17.4</v>
      </c>
    </row>
    <row r="395">
      <c r="A395" t="inlineStr">
        <is>
          <t>Federal University of Technology Akure</t>
        </is>
      </c>
      <c r="B395" t="inlineStr">
        <is>
          <t>Nigeria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1001–1200</t>
        </is>
      </c>
      <c r="O395" t="inlineStr">
        <is>
          <t>28.3–32.6</t>
        </is>
      </c>
      <c r="P395" t="n">
        <v>24.8</v>
      </c>
      <c r="Q395" t="n">
        <v>11.1</v>
      </c>
      <c r="R395" t="n">
        <v>50.6</v>
      </c>
      <c r="S395" t="n">
        <v>18.2</v>
      </c>
      <c r="T395" t="n">
        <v>40.4</v>
      </c>
      <c r="U395" t="inlineStr">
        <is>
          <t>19,711</t>
        </is>
      </c>
      <c r="V395" t="n">
        <v>24.5</v>
      </c>
      <c r="W395" t="inlineStr">
        <is>
          <t>0%</t>
        </is>
      </c>
      <c r="X395" t="inlineStr">
        <is>
          <t>26 : 74</t>
        </is>
      </c>
      <c r="Y395" t="inlineStr"/>
      <c r="Z395" t="n">
        <v>1001</v>
      </c>
      <c r="AA395" t="n">
        <v>30.45</v>
      </c>
      <c r="AB395" t="inlineStr">
        <is>
          <t>U0394</t>
        </is>
      </c>
      <c r="AC395" t="inlineStr">
        <is>
          <t>NI</t>
        </is>
      </c>
      <c r="AD395" t="n">
        <v>30.45</v>
      </c>
      <c r="AE395" t="n">
        <v>50.6</v>
      </c>
      <c r="AF395" t="n">
        <v>24.5</v>
      </c>
      <c r="AG395" t="inlineStr">
        <is>
          <t>1:24.5</t>
        </is>
      </c>
      <c r="AH395" t="inlineStr">
        <is>
          <t>0%</t>
        </is>
      </c>
      <c r="AI395" t="inlineStr"/>
      <c r="AJ395" t="n">
        <v>24.31</v>
      </c>
    </row>
    <row r="396">
      <c r="A396" t="inlineStr">
        <is>
          <t>Federal University of Toulouse Midi-Pyrénées</t>
        </is>
      </c>
      <c r="B396" t="inlineStr">
        <is>
          <t>France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401–500</t>
        </is>
      </c>
      <c r="O396" t="inlineStr">
        <is>
          <t>45.4–49.0</t>
        </is>
      </c>
      <c r="P396" t="n">
        <v>29.4</v>
      </c>
      <c r="Q396" t="n">
        <v>30.2</v>
      </c>
      <c r="R396" t="n">
        <v>65.7</v>
      </c>
      <c r="S396" t="n">
        <v>70.2</v>
      </c>
      <c r="T396" t="n">
        <v>72.59999999999999</v>
      </c>
      <c r="U396" t="inlineStr">
        <is>
          <t>111,949</t>
        </is>
      </c>
      <c r="V396" t="n">
        <v>22.9</v>
      </c>
      <c r="W396" t="inlineStr">
        <is>
          <t>15%</t>
        </is>
      </c>
      <c r="X396" t="inlineStr">
        <is>
          <t>56 : 44</t>
        </is>
      </c>
      <c r="Y396" t="inlineStr"/>
      <c r="Z396" t="n">
        <v>401</v>
      </c>
      <c r="AA396" t="n">
        <v>47.2</v>
      </c>
      <c r="AB396" t="inlineStr">
        <is>
          <t>U0395</t>
        </is>
      </c>
      <c r="AC396" t="inlineStr">
        <is>
          <t>FR</t>
        </is>
      </c>
      <c r="AD396" t="n">
        <v>47.2</v>
      </c>
      <c r="AE396" t="n">
        <v>65.7</v>
      </c>
      <c r="AF396" t="n">
        <v>22.9</v>
      </c>
      <c r="AG396" t="inlineStr">
        <is>
          <t>1:22.9</t>
        </is>
      </c>
      <c r="AH396" t="inlineStr">
        <is>
          <t>15%</t>
        </is>
      </c>
      <c r="AI396" t="inlineStr"/>
      <c r="AJ396" t="n">
        <v>46.69</v>
      </c>
    </row>
    <row r="397">
      <c r="A397" t="inlineStr">
        <is>
          <t>Federal University of Uberlândia</t>
        </is>
      </c>
      <c r="B397" t="inlineStr">
        <is>
          <t>Brazil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1201–1500</t>
        </is>
      </c>
      <c r="O397" t="inlineStr">
        <is>
          <t>22.8–28.2</t>
        </is>
      </c>
      <c r="P397" t="n">
        <v>23.3</v>
      </c>
      <c r="Q397" t="n">
        <v>12.7</v>
      </c>
      <c r="R397" t="n">
        <v>36.1</v>
      </c>
      <c r="S397" t="n">
        <v>29.8</v>
      </c>
      <c r="T397" t="n">
        <v>24.4</v>
      </c>
      <c r="U397" t="inlineStr">
        <is>
          <t>25,700</t>
        </is>
      </c>
      <c r="V397" t="n">
        <v>14.1</v>
      </c>
      <c r="W397" t="inlineStr">
        <is>
          <t>1%</t>
        </is>
      </c>
      <c r="X397" t="inlineStr">
        <is>
          <t>52 : 48</t>
        </is>
      </c>
      <c r="Y397" t="inlineStr"/>
      <c r="Z397" t="n">
        <v>1201</v>
      </c>
      <c r="AA397" t="n">
        <v>25.5</v>
      </c>
      <c r="AB397" t="inlineStr">
        <is>
          <t>U0396</t>
        </is>
      </c>
      <c r="AC397" t="inlineStr">
        <is>
          <t>BR</t>
        </is>
      </c>
      <c r="AD397" t="n">
        <v>25.5</v>
      </c>
      <c r="AE397" t="n">
        <v>36.1</v>
      </c>
      <c r="AF397" t="n">
        <v>14.1</v>
      </c>
      <c r="AG397" t="inlineStr">
        <is>
          <t>1:14.1</t>
        </is>
      </c>
      <c r="AH397" t="inlineStr">
        <is>
          <t>1%</t>
        </is>
      </c>
      <c r="AI397" t="inlineStr"/>
      <c r="AJ397" t="n">
        <v>16.89</v>
      </c>
    </row>
    <row r="398">
      <c r="A398" t="inlineStr">
        <is>
          <t>Federal University of Viçosa</t>
        </is>
      </c>
      <c r="B398" t="inlineStr">
        <is>
          <t>Brazil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1201–1500</t>
        </is>
      </c>
      <c r="O398" t="inlineStr">
        <is>
          <t>22.8–28.2</t>
        </is>
      </c>
      <c r="P398" t="n">
        <v>32.2</v>
      </c>
      <c r="Q398" t="n">
        <v>14.5</v>
      </c>
      <c r="R398" t="n">
        <v>23</v>
      </c>
      <c r="S398" t="n">
        <v>26.6</v>
      </c>
      <c r="T398" t="n">
        <v>24.5</v>
      </c>
      <c r="U398" t="inlineStr">
        <is>
          <t>17,866</t>
        </is>
      </c>
      <c r="V398" t="n">
        <v>9.699999999999999</v>
      </c>
      <c r="W398" t="inlineStr">
        <is>
          <t>2%</t>
        </is>
      </c>
      <c r="X398" t="inlineStr">
        <is>
          <t>55 : 45</t>
        </is>
      </c>
      <c r="Y398" t="inlineStr"/>
      <c r="Z398" t="n">
        <v>1201</v>
      </c>
      <c r="AA398" t="n">
        <v>25.5</v>
      </c>
      <c r="AB398" t="inlineStr">
        <is>
          <t>U0397</t>
        </is>
      </c>
      <c r="AC398" t="inlineStr">
        <is>
          <t>BR</t>
        </is>
      </c>
      <c r="AD398" t="n">
        <v>25.5</v>
      </c>
      <c r="AE398" t="n">
        <v>23</v>
      </c>
      <c r="AF398" t="n">
        <v>9.699999999999999</v>
      </c>
      <c r="AG398" t="inlineStr">
        <is>
          <t>1:9.7</t>
        </is>
      </c>
      <c r="AH398" t="inlineStr">
        <is>
          <t>2%</t>
        </is>
      </c>
      <c r="AI398" t="inlineStr"/>
      <c r="AJ398" t="n">
        <v>13.89</v>
      </c>
    </row>
    <row r="399">
      <c r="A399" t="inlineStr">
        <is>
          <t>Federation University Australia</t>
        </is>
      </c>
      <c r="B399" t="inlineStr">
        <is>
          <t>Australia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601–800</t>
        </is>
      </c>
      <c r="O399" t="inlineStr">
        <is>
          <t>37.0–41.8</t>
        </is>
      </c>
      <c r="P399" t="n">
        <v>20.9</v>
      </c>
      <c r="Q399" t="n">
        <v>17.2</v>
      </c>
      <c r="R399" t="n">
        <v>71.3</v>
      </c>
      <c r="S399" t="n">
        <v>41.7</v>
      </c>
      <c r="T399" t="n">
        <v>85.8</v>
      </c>
      <c r="U399" t="inlineStr">
        <is>
          <t>9,166</t>
        </is>
      </c>
      <c r="V399" t="n">
        <v>16.8</v>
      </c>
      <c r="W399" t="inlineStr">
        <is>
          <t>38%</t>
        </is>
      </c>
      <c r="X399" t="inlineStr">
        <is>
          <t>70 : 30</t>
        </is>
      </c>
      <c r="Y399" t="inlineStr"/>
      <c r="Z399" t="n">
        <v>601</v>
      </c>
      <c r="AA399" t="n">
        <v>39.4</v>
      </c>
      <c r="AB399" t="inlineStr">
        <is>
          <t>U0398</t>
        </is>
      </c>
      <c r="AC399" t="inlineStr">
        <is>
          <t>AU</t>
        </is>
      </c>
      <c r="AD399" t="n">
        <v>39.4</v>
      </c>
      <c r="AE399" t="n">
        <v>71.3</v>
      </c>
      <c r="AF399" t="n">
        <v>16.8</v>
      </c>
      <c r="AG399" t="inlineStr">
        <is>
          <t>1:16.8</t>
        </is>
      </c>
      <c r="AH399" t="inlineStr">
        <is>
          <t>38%</t>
        </is>
      </c>
      <c r="AI399" t="inlineStr"/>
      <c r="AJ399" t="n">
        <v>44.76</v>
      </c>
    </row>
    <row r="400">
      <c r="A400" t="inlineStr">
        <is>
          <t>Federico Santa María Technical University</t>
        </is>
      </c>
      <c r="B400" t="inlineStr">
        <is>
          <t>Chile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1201–1500</t>
        </is>
      </c>
      <c r="O400" t="inlineStr">
        <is>
          <t>22.8–28.2</t>
        </is>
      </c>
      <c r="P400" t="n">
        <v>12.3</v>
      </c>
      <c r="Q400" t="n">
        <v>10.8</v>
      </c>
      <c r="R400" t="n">
        <v>36.2</v>
      </c>
      <c r="S400" t="n">
        <v>32.3</v>
      </c>
      <c r="T400" t="n">
        <v>56.9</v>
      </c>
      <c r="U400" t="inlineStr">
        <is>
          <t>22,812</t>
        </is>
      </c>
      <c r="V400" t="n">
        <v>29.7</v>
      </c>
      <c r="W400" t="inlineStr">
        <is>
          <t>3%</t>
        </is>
      </c>
      <c r="X400" t="inlineStr">
        <is>
          <t>24 : 76</t>
        </is>
      </c>
      <c r="Y400" t="inlineStr"/>
      <c r="Z400" t="n">
        <v>1201</v>
      </c>
      <c r="AA400" t="n">
        <v>25.5</v>
      </c>
      <c r="AB400" t="inlineStr">
        <is>
          <t>U0399</t>
        </is>
      </c>
      <c r="AC400" t="inlineStr">
        <is>
          <t>CH</t>
        </is>
      </c>
      <c r="AD400" t="n">
        <v>25.5</v>
      </c>
      <c r="AE400" t="n">
        <v>36.2</v>
      </c>
      <c r="AF400" t="n">
        <v>29.7</v>
      </c>
      <c r="AG400" t="inlineStr">
        <is>
          <t>1:29.7</t>
        </is>
      </c>
      <c r="AH400" t="inlineStr">
        <is>
          <t>3%</t>
        </is>
      </c>
      <c r="AI400" t="inlineStr"/>
      <c r="AJ400" t="n">
        <v>23.78</v>
      </c>
    </row>
    <row r="401">
      <c r="A401" t="inlineStr">
        <is>
          <t>Feng Chia University</t>
        </is>
      </c>
      <c r="B401" t="inlineStr">
        <is>
          <t>Taiwan</t>
        </is>
      </c>
      <c r="C401" t="inlineStr">
        <is>
          <t>1201-1400</t>
        </is>
      </c>
      <c r="D401" t="inlineStr"/>
      <c r="E401" t="n">
        <v>10.8</v>
      </c>
      <c r="F401" t="n">
        <v>7.9</v>
      </c>
      <c r="G401" t="n">
        <v>4.4</v>
      </c>
      <c r="H401" t="n">
        <v>6.1</v>
      </c>
      <c r="I401" t="n">
        <v>3.4</v>
      </c>
      <c r="J401" t="n">
        <v>4.4</v>
      </c>
      <c r="K401" t="n">
        <v>11.2</v>
      </c>
      <c r="L401" t="n">
        <v>15.5</v>
      </c>
      <c r="M401" t="n">
        <v>16.7</v>
      </c>
      <c r="N401" t="inlineStr">
        <is>
          <t>1201–1500</t>
        </is>
      </c>
      <c r="O401" t="inlineStr">
        <is>
          <t>22.8–28.2</t>
        </is>
      </c>
      <c r="P401" t="n">
        <v>18.4</v>
      </c>
      <c r="Q401" t="n">
        <v>18.9</v>
      </c>
      <c r="R401" t="n">
        <v>25.5</v>
      </c>
      <c r="S401" t="n">
        <v>40.9</v>
      </c>
      <c r="T401" t="n">
        <v>37.7</v>
      </c>
      <c r="U401" t="inlineStr">
        <is>
          <t>19,770</t>
        </is>
      </c>
      <c r="V401" t="n">
        <v>23.3</v>
      </c>
      <c r="W401" t="inlineStr">
        <is>
          <t>7%</t>
        </is>
      </c>
      <c r="X401" t="inlineStr">
        <is>
          <t>40 : 60</t>
        </is>
      </c>
      <c r="Y401" t="n">
        <v>1201</v>
      </c>
      <c r="Z401" t="n">
        <v>1201</v>
      </c>
      <c r="AA401" t="n">
        <v>25.5</v>
      </c>
      <c r="AB401" t="inlineStr">
        <is>
          <t>U0400</t>
        </is>
      </c>
      <c r="AC401" t="inlineStr">
        <is>
          <t>TA</t>
        </is>
      </c>
      <c r="AD401" t="n">
        <v>25.5</v>
      </c>
      <c r="AE401" t="n">
        <v>6.1</v>
      </c>
      <c r="AF401" t="n">
        <v>23.3</v>
      </c>
      <c r="AG401" t="inlineStr">
        <is>
          <t>1:23.3</t>
        </is>
      </c>
      <c r="AH401" t="inlineStr">
        <is>
          <t>7%</t>
        </is>
      </c>
      <c r="AI401" t="n">
        <v>10.8</v>
      </c>
      <c r="AJ401" t="n">
        <v>14.26</v>
      </c>
    </row>
    <row r="402">
      <c r="A402" t="inlineStr">
        <is>
          <t>Ferdowsi University of Mashhad</t>
        </is>
      </c>
      <c r="B402" t="inlineStr">
        <is>
          <t>Iran</t>
        </is>
      </c>
      <c r="C402" t="inlineStr">
        <is>
          <t>951-1000</t>
        </is>
      </c>
      <c r="D402" t="inlineStr"/>
      <c r="E402" t="n">
        <v>7</v>
      </c>
      <c r="F402" t="n">
        <v>6</v>
      </c>
      <c r="G402" t="n">
        <v>3.5</v>
      </c>
      <c r="H402" t="n">
        <v>28.2</v>
      </c>
      <c r="I402" t="n">
        <v>1.3</v>
      </c>
      <c r="J402" t="n">
        <v>7.1</v>
      </c>
      <c r="K402" t="n">
        <v>71.7</v>
      </c>
      <c r="L402" t="n">
        <v>5.2</v>
      </c>
      <c r="M402" t="n">
        <v>1.7</v>
      </c>
      <c r="N402" t="inlineStr">
        <is>
          <t>801–1000</t>
        </is>
      </c>
      <c r="O402" t="inlineStr">
        <is>
          <t>32.7–36.9</t>
        </is>
      </c>
      <c r="P402" t="n">
        <v>28.6</v>
      </c>
      <c r="Q402" t="n">
        <v>26.8</v>
      </c>
      <c r="R402" t="n">
        <v>48.2</v>
      </c>
      <c r="S402" t="n">
        <v>45.4</v>
      </c>
      <c r="T402" t="n">
        <v>38.6</v>
      </c>
      <c r="U402" t="inlineStr">
        <is>
          <t>25,009</t>
        </is>
      </c>
      <c r="V402" t="n">
        <v>30.5</v>
      </c>
      <c r="W402" t="inlineStr">
        <is>
          <t>11%</t>
        </is>
      </c>
      <c r="X402" t="inlineStr">
        <is>
          <t>54 : 46</t>
        </is>
      </c>
      <c r="Y402" t="n">
        <v>951</v>
      </c>
      <c r="Z402" t="n">
        <v>801</v>
      </c>
      <c r="AA402" t="n">
        <v>34.8</v>
      </c>
      <c r="AB402" t="inlineStr">
        <is>
          <t>U0401</t>
        </is>
      </c>
      <c r="AC402" t="inlineStr">
        <is>
          <t>IR</t>
        </is>
      </c>
      <c r="AD402" t="n">
        <v>34.8</v>
      </c>
      <c r="AE402" t="n">
        <v>28.2</v>
      </c>
      <c r="AF402" t="n">
        <v>30.5</v>
      </c>
      <c r="AG402" t="inlineStr">
        <is>
          <t>1:30.5</t>
        </is>
      </c>
      <c r="AH402" t="inlineStr">
        <is>
          <t>11%</t>
        </is>
      </c>
      <c r="AI402" t="n">
        <v>7</v>
      </c>
      <c r="AJ402" t="n">
        <v>25.32</v>
      </c>
    </row>
    <row r="403">
      <c r="A403" t="inlineStr">
        <is>
          <t>Ferhat Abbas Sétif University 1</t>
        </is>
      </c>
      <c r="B403" t="inlineStr">
        <is>
          <t>Algeria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1201–1500</t>
        </is>
      </c>
      <c r="O403" t="inlineStr">
        <is>
          <t>22.8–28.2</t>
        </is>
      </c>
      <c r="P403" t="n">
        <v>17.2</v>
      </c>
      <c r="Q403" t="n">
        <v>8.5</v>
      </c>
      <c r="R403" t="n">
        <v>50.6</v>
      </c>
      <c r="S403" t="n">
        <v>17.7</v>
      </c>
      <c r="T403" t="n">
        <v>39.6</v>
      </c>
      <c r="U403" t="inlineStr">
        <is>
          <t>34,779</t>
        </is>
      </c>
      <c r="V403" t="n">
        <v>22.8</v>
      </c>
      <c r="W403" t="inlineStr">
        <is>
          <t>1%</t>
        </is>
      </c>
      <c r="X403" t="inlineStr">
        <is>
          <t>60 : 40</t>
        </is>
      </c>
      <c r="Y403" t="inlineStr"/>
      <c r="Z403" t="n">
        <v>1201</v>
      </c>
      <c r="AA403" t="n">
        <v>25.5</v>
      </c>
      <c r="AB403" t="inlineStr">
        <is>
          <t>U0402</t>
        </is>
      </c>
      <c r="AC403" t="inlineStr">
        <is>
          <t>AL</t>
        </is>
      </c>
      <c r="AD403" t="n">
        <v>25.5</v>
      </c>
      <c r="AE403" t="n">
        <v>50.6</v>
      </c>
      <c r="AF403" t="n">
        <v>22.8</v>
      </c>
      <c r="AG403" t="inlineStr">
        <is>
          <t>1:22.8</t>
        </is>
      </c>
      <c r="AH403" t="inlineStr">
        <is>
          <t>1%</t>
        </is>
      </c>
      <c r="AI403" t="inlineStr"/>
      <c r="AJ403" t="n">
        <v>22.76</v>
      </c>
    </row>
    <row r="404">
      <c r="A404" t="inlineStr">
        <is>
          <t>Financial University under the Government of the Russian Federation</t>
        </is>
      </c>
      <c r="B404" t="inlineStr">
        <is>
          <t>Russian Federation</t>
        </is>
      </c>
      <c r="C404" t="inlineStr">
        <is>
          <t>951-1000</t>
        </is>
      </c>
      <c r="D404" t="inlineStr"/>
      <c r="E404" t="n">
        <v>5.3</v>
      </c>
      <c r="F404" t="n">
        <v>9.9</v>
      </c>
      <c r="G404" t="n">
        <v>39.3</v>
      </c>
      <c r="H404" t="n">
        <v>1.6</v>
      </c>
      <c r="I404" t="n">
        <v>4.7</v>
      </c>
      <c r="J404" t="n">
        <v>19.4</v>
      </c>
      <c r="K404" t="n">
        <v>32.4</v>
      </c>
      <c r="L404" t="n">
        <v>47.7</v>
      </c>
      <c r="M404" t="n">
        <v>5.1</v>
      </c>
      <c r="N404" t="inlineStr">
        <is>
          <t>1001–1200</t>
        </is>
      </c>
      <c r="O404" t="inlineStr">
        <is>
          <t>28.3–32.6</t>
        </is>
      </c>
      <c r="P404" t="n">
        <v>26.7</v>
      </c>
      <c r="Q404" t="n">
        <v>18</v>
      </c>
      <c r="R404" t="n">
        <v>50.3</v>
      </c>
      <c r="S404" t="n">
        <v>30.9</v>
      </c>
      <c r="T404" t="n">
        <v>34.5</v>
      </c>
      <c r="U404" t="inlineStr">
        <is>
          <t>16,580</t>
        </is>
      </c>
      <c r="V404" t="n">
        <v>13</v>
      </c>
      <c r="W404" t="inlineStr">
        <is>
          <t>9%</t>
        </is>
      </c>
      <c r="X404" t="inlineStr">
        <is>
          <t>51 : 49</t>
        </is>
      </c>
      <c r="Y404" t="n">
        <v>951</v>
      </c>
      <c r="Z404" t="n">
        <v>1001</v>
      </c>
      <c r="AA404" t="n">
        <v>30.45</v>
      </c>
      <c r="AB404" t="inlineStr">
        <is>
          <t>U0403</t>
        </is>
      </c>
      <c r="AC404" t="inlineStr">
        <is>
          <t>RU</t>
        </is>
      </c>
      <c r="AD404" t="n">
        <v>30.45</v>
      </c>
      <c r="AE404" t="n">
        <v>1.6</v>
      </c>
      <c r="AF404" t="n">
        <v>13</v>
      </c>
      <c r="AG404" t="inlineStr">
        <is>
          <t>1:13.0</t>
        </is>
      </c>
      <c r="AH404" t="inlineStr">
        <is>
          <t>9%</t>
        </is>
      </c>
      <c r="AI404" t="n">
        <v>5.3</v>
      </c>
      <c r="AJ404" t="n">
        <v>11.65</v>
      </c>
    </row>
    <row r="405">
      <c r="A405" t="inlineStr">
        <is>
          <t>Firat University</t>
        </is>
      </c>
      <c r="B405" t="inlineStr">
        <is>
          <t>Turkey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1001–1200</t>
        </is>
      </c>
      <c r="O405" t="inlineStr">
        <is>
          <t>28.3–32.6</t>
        </is>
      </c>
      <c r="P405" t="n">
        <v>19.2</v>
      </c>
      <c r="Q405" t="n">
        <v>10.3</v>
      </c>
      <c r="R405" t="n">
        <v>64.5</v>
      </c>
      <c r="S405" t="n">
        <v>19.7</v>
      </c>
      <c r="T405" t="n">
        <v>31.5</v>
      </c>
      <c r="U405" t="inlineStr">
        <is>
          <t>35,348</t>
        </is>
      </c>
      <c r="V405" t="n">
        <v>25.4</v>
      </c>
      <c r="W405" t="inlineStr">
        <is>
          <t>6%</t>
        </is>
      </c>
      <c r="X405" t="inlineStr">
        <is>
          <t>49 : 51</t>
        </is>
      </c>
      <c r="Y405" t="inlineStr"/>
      <c r="Z405" t="n">
        <v>1001</v>
      </c>
      <c r="AA405" t="n">
        <v>30.45</v>
      </c>
      <c r="AB405" t="inlineStr">
        <is>
          <t>U0404</t>
        </is>
      </c>
      <c r="AC405" t="inlineStr">
        <is>
          <t>TU</t>
        </is>
      </c>
      <c r="AD405" t="n">
        <v>30.45</v>
      </c>
      <c r="AE405" t="n">
        <v>64.5</v>
      </c>
      <c r="AF405" t="n">
        <v>25.4</v>
      </c>
      <c r="AG405" t="inlineStr">
        <is>
          <t>1:25.4</t>
        </is>
      </c>
      <c r="AH405" t="inlineStr">
        <is>
          <t>6%</t>
        </is>
      </c>
      <c r="AI405" t="inlineStr"/>
      <c r="AJ405" t="n">
        <v>25.95</v>
      </c>
    </row>
    <row r="406">
      <c r="A406" t="inlineStr">
        <is>
          <t>Flinders University</t>
        </is>
      </c>
      <c r="B406" t="inlineStr">
        <is>
          <t>Australia</t>
        </is>
      </c>
      <c r="C406" t="inlineStr">
        <is>
          <t>336</t>
        </is>
      </c>
      <c r="D406" t="n">
        <v>33.3</v>
      </c>
      <c r="E406" t="n">
        <v>13.5</v>
      </c>
      <c r="F406" t="n">
        <v>5.6</v>
      </c>
      <c r="G406" t="n">
        <v>7.2</v>
      </c>
      <c r="H406" t="n">
        <v>51.8</v>
      </c>
      <c r="I406" t="n">
        <v>97.2</v>
      </c>
      <c r="J406" t="n">
        <v>88.8</v>
      </c>
      <c r="K406" t="n">
        <v>80.8</v>
      </c>
      <c r="L406" t="n">
        <v>7.4</v>
      </c>
      <c r="M406" t="n">
        <v>87.40000000000001</v>
      </c>
      <c r="N406" t="inlineStr">
        <is>
          <t>301–350</t>
        </is>
      </c>
      <c r="O406" t="inlineStr">
        <is>
          <t>51.1–53.0</t>
        </is>
      </c>
      <c r="P406" t="n">
        <v>29.2</v>
      </c>
      <c r="Q406" t="n">
        <v>35.4</v>
      </c>
      <c r="R406" t="n">
        <v>78.40000000000001</v>
      </c>
      <c r="S406" t="n">
        <v>71</v>
      </c>
      <c r="T406" t="n">
        <v>88.90000000000001</v>
      </c>
      <c r="U406" t="inlineStr">
        <is>
          <t>17,422</t>
        </is>
      </c>
      <c r="V406" t="n">
        <v>29.4</v>
      </c>
      <c r="W406" t="inlineStr">
        <is>
          <t>33%</t>
        </is>
      </c>
      <c r="X406" t="inlineStr">
        <is>
          <t>66 : 34</t>
        </is>
      </c>
      <c r="Y406" t="n">
        <v>336</v>
      </c>
      <c r="Z406" t="n">
        <v>301</v>
      </c>
      <c r="AA406" t="n">
        <v>52.05</v>
      </c>
      <c r="AB406" t="inlineStr">
        <is>
          <t>U0405</t>
        </is>
      </c>
      <c r="AC406" t="inlineStr">
        <is>
          <t>AU</t>
        </is>
      </c>
      <c r="AD406" t="n">
        <v>33.3</v>
      </c>
      <c r="AE406" t="n">
        <v>51.8</v>
      </c>
      <c r="AF406" t="n">
        <v>29.4</v>
      </c>
      <c r="AG406" t="inlineStr">
        <is>
          <t>1:29.4</t>
        </is>
      </c>
      <c r="AH406" t="inlineStr">
        <is>
          <t>33%</t>
        </is>
      </c>
      <c r="AI406" t="n">
        <v>13.5</v>
      </c>
      <c r="AJ406" t="n">
        <v>49.14</v>
      </c>
    </row>
    <row r="407">
      <c r="A407" t="inlineStr">
        <is>
          <t>Florida Agricultural and Mechanical University</t>
        </is>
      </c>
      <c r="B407" t="inlineStr">
        <is>
          <t>United States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>
        <is>
          <t>1001–1200</t>
        </is>
      </c>
      <c r="O407" t="inlineStr">
        <is>
          <t>28.3–32.6</t>
        </is>
      </c>
      <c r="P407" t="n">
        <v>33.4</v>
      </c>
      <c r="Q407" t="n">
        <v>16.7</v>
      </c>
      <c r="R407" t="n">
        <v>39.8</v>
      </c>
      <c r="S407" t="n">
        <v>37.3</v>
      </c>
      <c r="T407" t="n">
        <v>50.3</v>
      </c>
      <c r="U407" t="inlineStr">
        <is>
          <t>8,850</t>
        </is>
      </c>
      <c r="V407" t="n">
        <v>15.7</v>
      </c>
      <c r="W407" t="inlineStr">
        <is>
          <t>1%</t>
        </is>
      </c>
      <c r="X407" t="inlineStr">
        <is>
          <t>67 : 33</t>
        </is>
      </c>
      <c r="Y407" t="inlineStr"/>
      <c r="Z407" t="n">
        <v>1001</v>
      </c>
      <c r="AA407" t="n">
        <v>30.45</v>
      </c>
      <c r="AB407" t="inlineStr">
        <is>
          <t>U0406</t>
        </is>
      </c>
      <c r="AC407" t="inlineStr">
        <is>
          <t>UN</t>
        </is>
      </c>
      <c r="AD407" t="n">
        <v>30.45</v>
      </c>
      <c r="AE407" t="n">
        <v>39.8</v>
      </c>
      <c r="AF407" t="n">
        <v>15.7</v>
      </c>
      <c r="AG407" t="inlineStr">
        <is>
          <t>1:15.7</t>
        </is>
      </c>
      <c r="AH407" t="inlineStr">
        <is>
          <t>1%</t>
        </is>
      </c>
      <c r="AI407" t="inlineStr"/>
      <c r="AJ407" t="n">
        <v>26.37</v>
      </c>
    </row>
    <row r="408">
      <c r="A408" t="inlineStr">
        <is>
          <t>Florida Atlantic University</t>
        </is>
      </c>
      <c r="B408" t="inlineStr">
        <is>
          <t>United States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801–1000</t>
        </is>
      </c>
      <c r="O408" t="inlineStr">
        <is>
          <t>32.7–36.9</t>
        </is>
      </c>
      <c r="P408" t="n">
        <v>22.5</v>
      </c>
      <c r="Q408" t="n">
        <v>21.9</v>
      </c>
      <c r="R408" t="n">
        <v>57.3</v>
      </c>
      <c r="S408" t="n">
        <v>57.6</v>
      </c>
      <c r="T408" t="n">
        <v>51.8</v>
      </c>
      <c r="U408" t="inlineStr">
        <is>
          <t>25,031</t>
        </is>
      </c>
      <c r="V408" t="n">
        <v>19.8</v>
      </c>
      <c r="W408" t="inlineStr">
        <is>
          <t>6%</t>
        </is>
      </c>
      <c r="X408" t="inlineStr">
        <is>
          <t>63 : 37</t>
        </is>
      </c>
      <c r="Y408" t="inlineStr"/>
      <c r="Z408" t="n">
        <v>801</v>
      </c>
      <c r="AA408" t="n">
        <v>34.8</v>
      </c>
      <c r="AB408" t="inlineStr">
        <is>
          <t>U0407</t>
        </is>
      </c>
      <c r="AC408" t="inlineStr">
        <is>
          <t>UN</t>
        </is>
      </c>
      <c r="AD408" t="n">
        <v>34.8</v>
      </c>
      <c r="AE408" t="n">
        <v>57.3</v>
      </c>
      <c r="AF408" t="n">
        <v>19.8</v>
      </c>
      <c r="AG408" t="inlineStr">
        <is>
          <t>1:19.8</t>
        </is>
      </c>
      <c r="AH408" t="inlineStr">
        <is>
          <t>6%</t>
        </is>
      </c>
      <c r="AI408" t="inlineStr"/>
      <c r="AJ408" t="n">
        <v>34.76</v>
      </c>
    </row>
    <row r="409">
      <c r="A409" t="inlineStr">
        <is>
          <t>Florida Atlantic University - Boca Raton</t>
        </is>
      </c>
      <c r="B409" t="inlineStr">
        <is>
          <t>United States</t>
        </is>
      </c>
      <c r="C409" t="inlineStr">
        <is>
          <t>1201-1400</t>
        </is>
      </c>
      <c r="D409" t="inlineStr"/>
      <c r="E409" t="n">
        <v>4.7</v>
      </c>
      <c r="F409" t="n">
        <v>6.2</v>
      </c>
      <c r="G409" t="n">
        <v>4.9</v>
      </c>
      <c r="H409" t="n">
        <v>9.5</v>
      </c>
      <c r="I409" t="n">
        <v>6.8</v>
      </c>
      <c r="J409" t="n">
        <v>4.4</v>
      </c>
      <c r="K409" t="n">
        <v>44.3</v>
      </c>
      <c r="L409" t="n">
        <v>5.8</v>
      </c>
      <c r="M409" t="n">
        <v>4.5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1201</v>
      </c>
      <c r="Z409" t="inlineStr"/>
      <c r="AA409" t="inlineStr"/>
      <c r="AB409" t="inlineStr">
        <is>
          <t>U0408</t>
        </is>
      </c>
      <c r="AC409" t="inlineStr">
        <is>
          <t>UN</t>
        </is>
      </c>
      <c r="AD409" t="inlineStr"/>
      <c r="AE409" t="n">
        <v>9.5</v>
      </c>
      <c r="AF409" t="inlineStr"/>
      <c r="AG409" t="inlineStr"/>
      <c r="AH409" t="inlineStr"/>
      <c r="AI409" t="n">
        <v>4.7</v>
      </c>
      <c r="AJ409" t="n">
        <v>16.27</v>
      </c>
    </row>
    <row r="410">
      <c r="A410" t="inlineStr">
        <is>
          <t>Florida Institute of Technology</t>
        </is>
      </c>
      <c r="B410" t="inlineStr">
        <is>
          <t>United States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801–1000</t>
        </is>
      </c>
      <c r="O410" t="inlineStr">
        <is>
          <t>32.7–36.9</t>
        </is>
      </c>
      <c r="P410" t="n">
        <v>29</v>
      </c>
      <c r="Q410" t="n">
        <v>16.4</v>
      </c>
      <c r="R410" t="n">
        <v>45.2</v>
      </c>
      <c r="S410" t="n">
        <v>54.8</v>
      </c>
      <c r="T410" t="n">
        <v>80.40000000000001</v>
      </c>
      <c r="U410" t="inlineStr">
        <is>
          <t>5,434</t>
        </is>
      </c>
      <c r="V410" t="n">
        <v>15.9</v>
      </c>
      <c r="W410" t="inlineStr">
        <is>
          <t>20%</t>
        </is>
      </c>
      <c r="X410" t="inlineStr">
        <is>
          <t>42 : 58</t>
        </is>
      </c>
      <c r="Y410" t="inlineStr"/>
      <c r="Z410" t="n">
        <v>801</v>
      </c>
      <c r="AA410" t="n">
        <v>34.8</v>
      </c>
      <c r="AB410" t="inlineStr">
        <is>
          <t>U0409</t>
        </is>
      </c>
      <c r="AC410" t="inlineStr">
        <is>
          <t>UN</t>
        </is>
      </c>
      <c r="AD410" t="n">
        <v>34.8</v>
      </c>
      <c r="AE410" t="n">
        <v>45.2</v>
      </c>
      <c r="AF410" t="n">
        <v>15.9</v>
      </c>
      <c r="AG410" t="inlineStr">
        <is>
          <t>1:15.9</t>
        </is>
      </c>
      <c r="AH410" t="inlineStr">
        <is>
          <t>20%</t>
        </is>
      </c>
      <c r="AI410" t="inlineStr"/>
      <c r="AJ410" t="n">
        <v>35.13</v>
      </c>
    </row>
    <row r="411">
      <c r="A411" t="inlineStr">
        <is>
          <t>Florida International University</t>
        </is>
      </c>
      <c r="B411" t="inlineStr">
        <is>
          <t>United States</t>
        </is>
      </c>
      <c r="C411" t="inlineStr">
        <is>
          <t>574</t>
        </is>
      </c>
      <c r="D411" t="n">
        <v>21.5</v>
      </c>
      <c r="E411" t="n">
        <v>15.3</v>
      </c>
      <c r="F411" t="n">
        <v>22.5</v>
      </c>
      <c r="G411" t="n">
        <v>11.8</v>
      </c>
      <c r="H411" t="n">
        <v>12.6</v>
      </c>
      <c r="I411" t="n">
        <v>20.3</v>
      </c>
      <c r="J411" t="n">
        <v>12.9</v>
      </c>
      <c r="K411" t="n">
        <v>86.7</v>
      </c>
      <c r="L411" t="n">
        <v>16.6</v>
      </c>
      <c r="M411" t="n">
        <v>81.2</v>
      </c>
      <c r="N411" t="inlineStr">
        <is>
          <t>401–500</t>
        </is>
      </c>
      <c r="O411" t="inlineStr">
        <is>
          <t>45.4–49.0</t>
        </is>
      </c>
      <c r="P411" t="n">
        <v>31</v>
      </c>
      <c r="Q411" t="n">
        <v>29.3</v>
      </c>
      <c r="R411" t="n">
        <v>74.2</v>
      </c>
      <c r="S411" t="n">
        <v>61.5</v>
      </c>
      <c r="T411" t="n">
        <v>51</v>
      </c>
      <c r="U411" t="inlineStr">
        <is>
          <t>35,006</t>
        </is>
      </c>
      <c r="V411" t="n">
        <v>22.4</v>
      </c>
      <c r="W411" t="inlineStr">
        <is>
          <t>9%</t>
        </is>
      </c>
      <c r="X411" t="inlineStr">
        <is>
          <t>60 : 40</t>
        </is>
      </c>
      <c r="Y411" t="n">
        <v>574</v>
      </c>
      <c r="Z411" t="n">
        <v>401</v>
      </c>
      <c r="AA411" t="n">
        <v>47.2</v>
      </c>
      <c r="AB411" t="inlineStr">
        <is>
          <t>U0410</t>
        </is>
      </c>
      <c r="AC411" t="inlineStr">
        <is>
          <t>UN</t>
        </is>
      </c>
      <c r="AD411" t="n">
        <v>21.5</v>
      </c>
      <c r="AE411" t="n">
        <v>12.6</v>
      </c>
      <c r="AF411" t="n">
        <v>22.4</v>
      </c>
      <c r="AG411" t="inlineStr">
        <is>
          <t>1:22.4</t>
        </is>
      </c>
      <c r="AH411" t="inlineStr">
        <is>
          <t>9%</t>
        </is>
      </c>
      <c r="AI411" t="n">
        <v>15.3</v>
      </c>
      <c r="AJ411" t="n">
        <v>24.9</v>
      </c>
    </row>
    <row r="412">
      <c r="A412" t="inlineStr">
        <is>
          <t>Florida State University</t>
        </is>
      </c>
      <c r="B412" t="inlineStr">
        <is>
          <t>United States</t>
        </is>
      </c>
      <c r="C412" t="inlineStr">
        <is>
          <t>573</t>
        </is>
      </c>
      <c r="D412" t="n">
        <v>21.6</v>
      </c>
      <c r="E412" t="n">
        <v>25.6</v>
      </c>
      <c r="F412" t="n">
        <v>18.1</v>
      </c>
      <c r="G412" t="n">
        <v>7.2</v>
      </c>
      <c r="H412" t="n">
        <v>24.8</v>
      </c>
      <c r="I412" t="n">
        <v>10</v>
      </c>
      <c r="J412" t="n">
        <v>4.2</v>
      </c>
      <c r="K412" t="n">
        <v>71.90000000000001</v>
      </c>
      <c r="L412" t="n">
        <v>18.4</v>
      </c>
      <c r="M412" t="n">
        <v>26.8</v>
      </c>
      <c r="N412" t="inlineStr">
        <is>
          <t>251–300</t>
        </is>
      </c>
      <c r="O412" t="inlineStr">
        <is>
          <t>53.1–55.8</t>
        </is>
      </c>
      <c r="P412" t="n">
        <v>38.2</v>
      </c>
      <c r="Q412" t="n">
        <v>38.6</v>
      </c>
      <c r="R412" t="n">
        <v>79.40000000000001</v>
      </c>
      <c r="S412" t="n">
        <v>68.2</v>
      </c>
      <c r="T412" t="n">
        <v>58.8</v>
      </c>
      <c r="U412" t="inlineStr">
        <is>
          <t>39,831</t>
        </is>
      </c>
      <c r="V412" t="n">
        <v>24.6</v>
      </c>
      <c r="W412" t="inlineStr">
        <is>
          <t>6%</t>
        </is>
      </c>
      <c r="X412" t="inlineStr">
        <is>
          <t>58 : 42</t>
        </is>
      </c>
      <c r="Y412" t="n">
        <v>573</v>
      </c>
      <c r="Z412" t="n">
        <v>251</v>
      </c>
      <c r="AA412" t="n">
        <v>54.45</v>
      </c>
      <c r="AB412" t="inlineStr">
        <is>
          <t>U0411</t>
        </is>
      </c>
      <c r="AC412" t="inlineStr">
        <is>
          <t>UN</t>
        </is>
      </c>
      <c r="AD412" t="n">
        <v>21.6</v>
      </c>
      <c r="AE412" t="n">
        <v>24.8</v>
      </c>
      <c r="AF412" t="n">
        <v>24.6</v>
      </c>
      <c r="AG412" t="inlineStr">
        <is>
          <t>1:24.6</t>
        </is>
      </c>
      <c r="AH412" t="inlineStr">
        <is>
          <t>6%</t>
        </is>
      </c>
      <c r="AI412" t="n">
        <v>25.6</v>
      </c>
      <c r="AJ412" t="n">
        <v>35.36</v>
      </c>
    </row>
    <row r="413">
      <c r="A413" t="inlineStr">
        <is>
          <t>Fluminense Federal University</t>
        </is>
      </c>
      <c r="B413" t="inlineStr">
        <is>
          <t>Brazil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>
        <is>
          <t>1501+</t>
        </is>
      </c>
      <c r="O413" t="inlineStr">
        <is>
          <t>9.7–22.7</t>
        </is>
      </c>
      <c r="P413" t="n">
        <v>21</v>
      </c>
      <c r="Q413" t="n">
        <v>13.1</v>
      </c>
      <c r="R413" t="n">
        <v>27.8</v>
      </c>
      <c r="S413" t="n">
        <v>22.5</v>
      </c>
      <c r="T413" t="n">
        <v>30.8</v>
      </c>
      <c r="U413" t="inlineStr">
        <is>
          <t>70,629</t>
        </is>
      </c>
      <c r="V413" t="n">
        <v>20.8</v>
      </c>
      <c r="W413" t="inlineStr">
        <is>
          <t>1%</t>
        </is>
      </c>
      <c r="X413" t="inlineStr">
        <is>
          <t>47 : 53</t>
        </is>
      </c>
      <c r="Y413" t="inlineStr"/>
      <c r="Z413" t="n">
        <v>1501</v>
      </c>
      <c r="AA413" t="n">
        <v>16.2</v>
      </c>
      <c r="AB413" t="inlineStr">
        <is>
          <t>U0412</t>
        </is>
      </c>
      <c r="AC413" t="inlineStr">
        <is>
          <t>BR</t>
        </is>
      </c>
      <c r="AD413" t="n">
        <v>16.2</v>
      </c>
      <c r="AE413" t="n">
        <v>27.8</v>
      </c>
      <c r="AF413" t="n">
        <v>20.8</v>
      </c>
      <c r="AG413" t="inlineStr">
        <is>
          <t>1:20.8</t>
        </is>
      </c>
      <c r="AH413" t="inlineStr">
        <is>
          <t>1%</t>
        </is>
      </c>
      <c r="AI413" t="inlineStr"/>
      <c r="AJ413" t="n">
        <v>16.13</v>
      </c>
    </row>
    <row r="414">
      <c r="A414" t="inlineStr">
        <is>
          <t xml:space="preserve">Fordham University </t>
        </is>
      </c>
      <c r="B414" t="inlineStr">
        <is>
          <t>United States</t>
        </is>
      </c>
      <c r="C414" t="inlineStr">
        <is>
          <t>1001-1200</t>
        </is>
      </c>
      <c r="D414" t="inlineStr"/>
      <c r="E414" t="n">
        <v>6.8</v>
      </c>
      <c r="F414" t="n">
        <v>8.300000000000001</v>
      </c>
      <c r="G414" t="n">
        <v>14.8</v>
      </c>
      <c r="H414" t="n">
        <v>5.4</v>
      </c>
      <c r="I414" t="n">
        <v>6.3</v>
      </c>
      <c r="J414" t="n">
        <v>13.9</v>
      </c>
      <c r="K414" t="n">
        <v>23.9</v>
      </c>
      <c r="L414" t="n">
        <v>29.1</v>
      </c>
      <c r="M414" t="n">
        <v>1.4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1001</v>
      </c>
      <c r="Z414" t="inlineStr"/>
      <c r="AA414" t="inlineStr"/>
      <c r="AB414" t="inlineStr">
        <is>
          <t>U0413</t>
        </is>
      </c>
      <c r="AC414" t="inlineStr">
        <is>
          <t>UN</t>
        </is>
      </c>
      <c r="AD414" t="inlineStr"/>
      <c r="AE414" t="n">
        <v>5.4</v>
      </c>
      <c r="AF414" t="inlineStr"/>
      <c r="AG414" t="inlineStr"/>
      <c r="AH414" t="inlineStr"/>
      <c r="AI414" t="n">
        <v>6.8</v>
      </c>
      <c r="AJ414" t="n">
        <v>15.02</v>
      </c>
    </row>
    <row r="415">
      <c r="A415" t="inlineStr">
        <is>
          <t>Free University of Berlin</t>
        </is>
      </c>
      <c r="B415" t="inlineStr">
        <is>
          <t>Germany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102</t>
        </is>
      </c>
      <c r="O415" t="inlineStr">
        <is>
          <t>66.5</t>
        </is>
      </c>
      <c r="P415" t="n">
        <v>52.1</v>
      </c>
      <c r="Q415" t="n">
        <v>59.7</v>
      </c>
      <c r="R415" t="n">
        <v>82.5</v>
      </c>
      <c r="S415" t="n">
        <v>71.59999999999999</v>
      </c>
      <c r="T415" t="n">
        <v>82.40000000000001</v>
      </c>
      <c r="U415" t="inlineStr">
        <is>
          <t>25,427</t>
        </is>
      </c>
      <c r="V415" t="n">
        <v>41.5</v>
      </c>
      <c r="W415" t="inlineStr">
        <is>
          <t>20%</t>
        </is>
      </c>
      <c r="X415" t="inlineStr">
        <is>
          <t>63 : 37</t>
        </is>
      </c>
      <c r="Y415" t="inlineStr"/>
      <c r="Z415" t="n">
        <v>102</v>
      </c>
      <c r="AA415" t="n">
        <v>66.5</v>
      </c>
      <c r="AB415" t="inlineStr">
        <is>
          <t>U0414</t>
        </is>
      </c>
      <c r="AC415" t="inlineStr">
        <is>
          <t>GE</t>
        </is>
      </c>
      <c r="AD415" t="n">
        <v>66.5</v>
      </c>
      <c r="AE415" t="n">
        <v>82.5</v>
      </c>
      <c r="AF415" t="n">
        <v>41.5</v>
      </c>
      <c r="AG415" t="inlineStr">
        <is>
          <t>1:41.5</t>
        </is>
      </c>
      <c r="AH415" t="inlineStr">
        <is>
          <t>20%</t>
        </is>
      </c>
      <c r="AI415" t="inlineStr"/>
      <c r="AJ415" t="n">
        <v>69.61</v>
      </c>
    </row>
    <row r="416">
      <c r="A416" t="inlineStr">
        <is>
          <t>Free University of Bozen-Bolzano</t>
        </is>
      </c>
      <c r="B416" t="inlineStr">
        <is>
          <t>Italy</t>
        </is>
      </c>
      <c r="C416" t="inlineStr">
        <is>
          <t>661-670</t>
        </is>
      </c>
      <c r="D416" t="inlineStr"/>
      <c r="E416" t="n">
        <v>5.8</v>
      </c>
      <c r="F416" t="n">
        <v>1.5</v>
      </c>
      <c r="G416" t="n">
        <v>12.8</v>
      </c>
      <c r="H416" t="n">
        <v>42.6</v>
      </c>
      <c r="I416" t="n">
        <v>72.3</v>
      </c>
      <c r="J416" t="n">
        <v>37.4</v>
      </c>
      <c r="K416" t="n">
        <v>49.3</v>
      </c>
      <c r="L416" t="n">
        <v>3.4</v>
      </c>
      <c r="M416" t="n">
        <v>2</v>
      </c>
      <c r="N416" t="inlineStr">
        <is>
          <t>351–400</t>
        </is>
      </c>
      <c r="O416" t="inlineStr">
        <is>
          <t>49.1–51.0</t>
        </is>
      </c>
      <c r="P416" t="n">
        <v>31.8</v>
      </c>
      <c r="Q416" t="n">
        <v>22.8</v>
      </c>
      <c r="R416" t="n">
        <v>85.5</v>
      </c>
      <c r="S416" t="n">
        <v>45.6</v>
      </c>
      <c r="T416" t="n">
        <v>78.59999999999999</v>
      </c>
      <c r="U416" t="inlineStr">
        <is>
          <t>4,244</t>
        </is>
      </c>
      <c r="V416" t="n">
        <v>10.7</v>
      </c>
      <c r="W416" t="inlineStr">
        <is>
          <t>14%</t>
        </is>
      </c>
      <c r="X416" t="inlineStr">
        <is>
          <t>67 : 33</t>
        </is>
      </c>
      <c r="Y416" t="n">
        <v>661</v>
      </c>
      <c r="Z416" t="n">
        <v>351</v>
      </c>
      <c r="AA416" t="n">
        <v>50.05</v>
      </c>
      <c r="AB416" t="inlineStr">
        <is>
          <t>U0415</t>
        </is>
      </c>
      <c r="AC416" t="inlineStr">
        <is>
          <t>IT</t>
        </is>
      </c>
      <c r="AD416" t="n">
        <v>50.05</v>
      </c>
      <c r="AE416" t="n">
        <v>42.6</v>
      </c>
      <c r="AF416" t="n">
        <v>10.7</v>
      </c>
      <c r="AG416" t="inlineStr">
        <is>
          <t>1:10.7</t>
        </is>
      </c>
      <c r="AH416" t="inlineStr">
        <is>
          <t>14%</t>
        </is>
      </c>
      <c r="AI416" t="n">
        <v>5.8</v>
      </c>
      <c r="AJ416" t="n">
        <v>37.26</v>
      </c>
    </row>
    <row r="417">
      <c r="A417" t="inlineStr">
        <is>
          <t>Freie Universitaet Berlin</t>
        </is>
      </c>
      <c r="B417" t="inlineStr">
        <is>
          <t>Germany</t>
        </is>
      </c>
      <c r="C417" t="inlineStr">
        <is>
          <t>97</t>
        </is>
      </c>
      <c r="D417" t="n">
        <v>60.6</v>
      </c>
      <c r="E417" t="n">
        <v>80.3</v>
      </c>
      <c r="F417" t="n">
        <v>56.9</v>
      </c>
      <c r="G417" t="n">
        <v>5</v>
      </c>
      <c r="H417" t="n">
        <v>71.7</v>
      </c>
      <c r="I417" t="n">
        <v>62.4</v>
      </c>
      <c r="J417" t="n">
        <v>43.7</v>
      </c>
      <c r="K417" t="n">
        <v>93.09999999999999</v>
      </c>
      <c r="L417" t="n">
        <v>32.8</v>
      </c>
      <c r="M417" t="n">
        <v>31.3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97</v>
      </c>
      <c r="Z417" t="inlineStr"/>
      <c r="AA417" t="inlineStr"/>
      <c r="AB417" t="inlineStr">
        <is>
          <t>U0416</t>
        </is>
      </c>
      <c r="AC417" t="inlineStr">
        <is>
          <t>GE</t>
        </is>
      </c>
      <c r="AD417" t="n">
        <v>60.6</v>
      </c>
      <c r="AE417" t="n">
        <v>71.7</v>
      </c>
      <c r="AF417" t="inlineStr"/>
      <c r="AG417" t="inlineStr"/>
      <c r="AH417" t="inlineStr"/>
      <c r="AI417" t="n">
        <v>80.3</v>
      </c>
      <c r="AJ417" t="n">
        <v>35.12</v>
      </c>
    </row>
    <row r="418">
      <c r="A418" t="inlineStr">
        <is>
          <t>Friedrich-Alexander-Universität Erlangen-Nürnberg</t>
        </is>
      </c>
      <c r="B418" t="inlineStr">
        <is>
          <t>Germany</t>
        </is>
      </c>
      <c r="C418" t="inlineStr">
        <is>
          <t>224</t>
        </is>
      </c>
      <c r="D418" t="n">
        <v>43.6</v>
      </c>
      <c r="E418" t="n">
        <v>25.8</v>
      </c>
      <c r="F418" t="n">
        <v>27.7</v>
      </c>
      <c r="G418" t="n">
        <v>3.2</v>
      </c>
      <c r="H418" t="n">
        <v>94.90000000000001</v>
      </c>
      <c r="I418" t="n">
        <v>27.2</v>
      </c>
      <c r="J418" t="n">
        <v>48.8</v>
      </c>
      <c r="K418" t="n">
        <v>87.09999999999999</v>
      </c>
      <c r="L418" t="n">
        <v>19.6</v>
      </c>
      <c r="M418" t="n">
        <v>74.5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224</v>
      </c>
      <c r="Z418" t="inlineStr"/>
      <c r="AA418" t="inlineStr"/>
      <c r="AB418" t="inlineStr">
        <is>
          <t>U0417</t>
        </is>
      </c>
      <c r="AC418" t="inlineStr">
        <is>
          <t>GE</t>
        </is>
      </c>
      <c r="AD418" t="n">
        <v>43.6</v>
      </c>
      <c r="AE418" t="n">
        <v>94.90000000000001</v>
      </c>
      <c r="AF418" t="inlineStr"/>
      <c r="AG418" t="inlineStr"/>
      <c r="AH418" t="inlineStr"/>
      <c r="AI418" t="n">
        <v>25.8</v>
      </c>
      <c r="AJ418" t="n">
        <v>42.15</v>
      </c>
    </row>
    <row r="419">
      <c r="A419" t="inlineStr">
        <is>
          <t>Friedrich Schiller University Jena</t>
        </is>
      </c>
      <c r="B419" t="inlineStr">
        <is>
          <t>Germany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201–250</t>
        </is>
      </c>
      <c r="O419" t="inlineStr">
        <is>
          <t>55.9–58.6</t>
        </is>
      </c>
      <c r="P419" t="n">
        <v>43.2</v>
      </c>
      <c r="Q419" t="n">
        <v>42</v>
      </c>
      <c r="R419" t="n">
        <v>81.8</v>
      </c>
      <c r="S419" t="n">
        <v>79.8</v>
      </c>
      <c r="T419" t="n">
        <v>69.3</v>
      </c>
      <c r="U419" t="inlineStr">
        <is>
          <t>16,048</t>
        </is>
      </c>
      <c r="V419" t="n">
        <v>18.9</v>
      </c>
      <c r="W419" t="inlineStr">
        <is>
          <t>14%</t>
        </is>
      </c>
      <c r="X419" t="inlineStr"/>
      <c r="Y419" t="inlineStr"/>
      <c r="Z419" t="n">
        <v>201</v>
      </c>
      <c r="AA419" t="n">
        <v>57.25</v>
      </c>
      <c r="AB419" t="inlineStr">
        <is>
          <t>U0418</t>
        </is>
      </c>
      <c r="AC419" t="inlineStr">
        <is>
          <t>GE</t>
        </is>
      </c>
      <c r="AD419" t="n">
        <v>57.25</v>
      </c>
      <c r="AE419" t="n">
        <v>81.8</v>
      </c>
      <c r="AF419" t="n">
        <v>18.9</v>
      </c>
      <c r="AG419" t="inlineStr">
        <is>
          <t>1:18.9</t>
        </is>
      </c>
      <c r="AH419" t="inlineStr">
        <is>
          <t>14%</t>
        </is>
      </c>
      <c r="AI419" t="inlineStr"/>
      <c r="AJ419" t="n">
        <v>56.95</v>
      </c>
    </row>
    <row r="420">
      <c r="A420" t="inlineStr">
        <is>
          <t>Fu Jen Catholic University</t>
        </is>
      </c>
      <c r="B420" t="inlineStr">
        <is>
          <t>Taiwan</t>
        </is>
      </c>
      <c r="C420" t="inlineStr">
        <is>
          <t>1201-1400</t>
        </is>
      </c>
      <c r="D420" t="inlineStr"/>
      <c r="E420" t="n">
        <v>7.6</v>
      </c>
      <c r="F420" t="n">
        <v>6.9</v>
      </c>
      <c r="G420" t="n">
        <v>3.6</v>
      </c>
      <c r="H420" t="n">
        <v>7</v>
      </c>
      <c r="I420" t="n">
        <v>7.6</v>
      </c>
      <c r="J420" t="n">
        <v>4.2</v>
      </c>
      <c r="K420" t="n">
        <v>16.1</v>
      </c>
      <c r="L420" t="n">
        <v>27.1</v>
      </c>
      <c r="M420" t="n">
        <v>4</v>
      </c>
      <c r="N420" t="inlineStr">
        <is>
          <t>1001–1200</t>
        </is>
      </c>
      <c r="O420" t="inlineStr">
        <is>
          <t>28.3–32.6</t>
        </is>
      </c>
      <c r="P420" t="n">
        <v>24</v>
      </c>
      <c r="Q420" t="n">
        <v>29.2</v>
      </c>
      <c r="R420" t="n">
        <v>26.3</v>
      </c>
      <c r="S420" t="n">
        <v>65.5</v>
      </c>
      <c r="T420" t="n">
        <v>31.1</v>
      </c>
      <c r="U420" t="inlineStr">
        <is>
          <t>16,382</t>
        </is>
      </c>
      <c r="V420" t="n">
        <v>27.2</v>
      </c>
      <c r="W420" t="inlineStr">
        <is>
          <t>6%</t>
        </is>
      </c>
      <c r="X420" t="inlineStr">
        <is>
          <t>59 : 41</t>
        </is>
      </c>
      <c r="Y420" t="n">
        <v>1201</v>
      </c>
      <c r="Z420" t="n">
        <v>1001</v>
      </c>
      <c r="AA420" t="n">
        <v>30.45</v>
      </c>
      <c r="AB420" t="inlineStr">
        <is>
          <t>U0419</t>
        </is>
      </c>
      <c r="AC420" t="inlineStr">
        <is>
          <t>TA</t>
        </is>
      </c>
      <c r="AD420" t="n">
        <v>30.45</v>
      </c>
      <c r="AE420" t="n">
        <v>7</v>
      </c>
      <c r="AF420" t="n">
        <v>27.2</v>
      </c>
      <c r="AG420" t="inlineStr">
        <is>
          <t>1:27.2</t>
        </is>
      </c>
      <c r="AH420" t="inlineStr">
        <is>
          <t>6%</t>
        </is>
      </c>
      <c r="AI420" t="n">
        <v>7.6</v>
      </c>
      <c r="AJ420" t="n">
        <v>18.34</v>
      </c>
    </row>
    <row r="421">
      <c r="A421" t="inlineStr">
        <is>
          <t>Fudan University</t>
        </is>
      </c>
      <c r="B421" t="inlineStr">
        <is>
          <t>China</t>
        </is>
      </c>
      <c r="C421" t="inlineStr">
        <is>
          <t>39</t>
        </is>
      </c>
      <c r="D421" t="n">
        <v>80.3</v>
      </c>
      <c r="E421" t="n">
        <v>85.7</v>
      </c>
      <c r="F421" t="n">
        <v>87.8</v>
      </c>
      <c r="G421" t="n">
        <v>79.7</v>
      </c>
      <c r="H421" t="n">
        <v>80.7</v>
      </c>
      <c r="I421" t="n">
        <v>88.40000000000001</v>
      </c>
      <c r="J421" t="n">
        <v>35.1</v>
      </c>
      <c r="K421" t="n">
        <v>67.2</v>
      </c>
      <c r="L421" t="n">
        <v>64.40000000000001</v>
      </c>
      <c r="M421" t="n">
        <v>82.7</v>
      </c>
      <c r="N421" t="inlineStr">
        <is>
          <t>44</t>
        </is>
      </c>
      <c r="O421" t="inlineStr">
        <is>
          <t>77.5</t>
        </is>
      </c>
      <c r="P421" t="n">
        <v>76.5</v>
      </c>
      <c r="Q421" t="n">
        <v>75.3</v>
      </c>
      <c r="R421" t="n">
        <v>83.5</v>
      </c>
      <c r="S421" t="n">
        <v>96</v>
      </c>
      <c r="T421" t="n">
        <v>56.1</v>
      </c>
      <c r="U421" t="inlineStr">
        <is>
          <t>38,101</t>
        </is>
      </c>
      <c r="V421" t="n">
        <v>12.6</v>
      </c>
      <c r="W421" t="inlineStr">
        <is>
          <t>9%</t>
        </is>
      </c>
      <c r="X421" t="inlineStr">
        <is>
          <t>52 : 48</t>
        </is>
      </c>
      <c r="Y421" t="n">
        <v>39</v>
      </c>
      <c r="Z421" t="n">
        <v>44</v>
      </c>
      <c r="AA421" t="n">
        <v>77.5</v>
      </c>
      <c r="AB421" t="inlineStr">
        <is>
          <t>U0420</t>
        </is>
      </c>
      <c r="AC421" t="inlineStr">
        <is>
          <t>CH</t>
        </is>
      </c>
      <c r="AD421" t="n">
        <v>80.3</v>
      </c>
      <c r="AE421" t="n">
        <v>80.7</v>
      </c>
      <c r="AF421" t="n">
        <v>12.6</v>
      </c>
      <c r="AG421" t="inlineStr">
        <is>
          <t>1:12.6</t>
        </is>
      </c>
      <c r="AH421" t="inlineStr">
        <is>
          <t>9%</t>
        </is>
      </c>
      <c r="AI421" t="n">
        <v>85.7</v>
      </c>
      <c r="AJ421" t="n">
        <v>70.88</v>
      </c>
    </row>
    <row r="422">
      <c r="A422" t="inlineStr">
        <is>
          <t>Fujian Agriculture and Forestry University</t>
        </is>
      </c>
      <c r="B422" t="inlineStr">
        <is>
          <t>China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1001–1200</t>
        </is>
      </c>
      <c r="O422" t="inlineStr">
        <is>
          <t>28.3–32.6</t>
        </is>
      </c>
      <c r="P422" t="n">
        <v>18.3</v>
      </c>
      <c r="Q422" t="n">
        <v>15.5</v>
      </c>
      <c r="R422" t="n">
        <v>62</v>
      </c>
      <c r="S422" t="n">
        <v>34.8</v>
      </c>
      <c r="T422" t="n">
        <v>32.7</v>
      </c>
      <c r="U422" t="inlineStr">
        <is>
          <t>30,262</t>
        </is>
      </c>
      <c r="V422" t="n">
        <v>17.1</v>
      </c>
      <c r="W422" t="inlineStr">
        <is>
          <t>1%</t>
        </is>
      </c>
      <c r="X422" t="inlineStr">
        <is>
          <t>53 : 47</t>
        </is>
      </c>
      <c r="Y422" t="inlineStr"/>
      <c r="Z422" t="n">
        <v>1001</v>
      </c>
      <c r="AA422" t="n">
        <v>30.45</v>
      </c>
      <c r="AB422" t="inlineStr">
        <is>
          <t>U0421</t>
        </is>
      </c>
      <c r="AC422" t="inlineStr">
        <is>
          <t>CH</t>
        </is>
      </c>
      <c r="AD422" t="n">
        <v>30.45</v>
      </c>
      <c r="AE422" t="n">
        <v>62</v>
      </c>
      <c r="AF422" t="n">
        <v>17.1</v>
      </c>
      <c r="AG422" t="inlineStr">
        <is>
          <t>1:17.1</t>
        </is>
      </c>
      <c r="AH422" t="inlineStr">
        <is>
          <t>1%</t>
        </is>
      </c>
      <c r="AI422" t="inlineStr"/>
      <c r="AJ422" t="n">
        <v>28.21</v>
      </c>
    </row>
    <row r="423">
      <c r="A423" t="inlineStr">
        <is>
          <t>Fujita Health University</t>
        </is>
      </c>
      <c r="B423" t="inlineStr">
        <is>
          <t>Japan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1001–1200</t>
        </is>
      </c>
      <c r="O423" t="inlineStr">
        <is>
          <t>28.3–32.6</t>
        </is>
      </c>
      <c r="P423" t="n">
        <v>27.6</v>
      </c>
      <c r="Q423" t="n">
        <v>13</v>
      </c>
      <c r="R423" t="n">
        <v>55.4</v>
      </c>
      <c r="S423" t="n">
        <v>53.3</v>
      </c>
      <c r="T423" t="n">
        <v>22.3</v>
      </c>
      <c r="U423" t="inlineStr">
        <is>
          <t>3,071</t>
        </is>
      </c>
      <c r="V423" t="n">
        <v>3.6</v>
      </c>
      <c r="W423" t="inlineStr">
        <is>
          <t>1%</t>
        </is>
      </c>
      <c r="X423" t="inlineStr">
        <is>
          <t>58 : 42</t>
        </is>
      </c>
      <c r="Y423" t="inlineStr"/>
      <c r="Z423" t="n">
        <v>1001</v>
      </c>
      <c r="AA423" t="n">
        <v>30.45</v>
      </c>
      <c r="AB423" t="inlineStr">
        <is>
          <t>U0422</t>
        </is>
      </c>
      <c r="AC423" t="inlineStr">
        <is>
          <t>JA</t>
        </is>
      </c>
      <c r="AD423" t="n">
        <v>30.45</v>
      </c>
      <c r="AE423" t="n">
        <v>55.4</v>
      </c>
      <c r="AF423" t="n">
        <v>3.6</v>
      </c>
      <c r="AG423" t="inlineStr">
        <is>
          <t>1:3.6</t>
        </is>
      </c>
      <c r="AH423" t="inlineStr">
        <is>
          <t>1%</t>
        </is>
      </c>
      <c r="AI423" t="inlineStr"/>
      <c r="AJ423" t="n">
        <v>22.39</v>
      </c>
    </row>
    <row r="424">
      <c r="A424" t="inlineStr">
        <is>
          <t>Fukuoka University</t>
        </is>
      </c>
      <c r="B424" t="inlineStr">
        <is>
          <t>Japan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1501+</t>
        </is>
      </c>
      <c r="O424" t="inlineStr">
        <is>
          <t>9.7–22.7</t>
        </is>
      </c>
      <c r="P424" t="n">
        <v>23.5</v>
      </c>
      <c r="Q424" t="n">
        <v>9.699999999999999</v>
      </c>
      <c r="R424" t="n">
        <v>17.9</v>
      </c>
      <c r="S424" t="n">
        <v>37.1</v>
      </c>
      <c r="T424" t="n">
        <v>24.4</v>
      </c>
      <c r="U424" t="inlineStr">
        <is>
          <t>19,536</t>
        </is>
      </c>
      <c r="V424" t="n">
        <v>8.699999999999999</v>
      </c>
      <c r="W424" t="inlineStr">
        <is>
          <t>1%</t>
        </is>
      </c>
      <c r="X424" t="inlineStr">
        <is>
          <t>40 : 60</t>
        </is>
      </c>
      <c r="Y424" t="inlineStr"/>
      <c r="Z424" t="n">
        <v>1501</v>
      </c>
      <c r="AA424" t="n">
        <v>16.2</v>
      </c>
      <c r="AB424" t="inlineStr">
        <is>
          <t>U0423</t>
        </is>
      </c>
      <c r="AC424" t="inlineStr">
        <is>
          <t>JA</t>
        </is>
      </c>
      <c r="AD424" t="n">
        <v>16.2</v>
      </c>
      <c r="AE424" t="n">
        <v>17.9</v>
      </c>
      <c r="AF424" t="n">
        <v>8.699999999999999</v>
      </c>
      <c r="AG424" t="inlineStr">
        <is>
          <t>1:8.7</t>
        </is>
      </c>
      <c r="AH424" t="inlineStr">
        <is>
          <t>1%</t>
        </is>
      </c>
      <c r="AI424" t="inlineStr"/>
      <c r="AJ424" t="n">
        <v>9.800000000000001</v>
      </c>
    </row>
    <row r="425">
      <c r="A425" t="inlineStr">
        <is>
          <t>Fundación CEU San Pablo</t>
        </is>
      </c>
      <c r="B425" t="inlineStr">
        <is>
          <t>Spain</t>
        </is>
      </c>
      <c r="C425" t="inlineStr">
        <is>
          <t>1201-1400</t>
        </is>
      </c>
      <c r="D425" t="inlineStr"/>
      <c r="E425" t="n">
        <v>4.4</v>
      </c>
      <c r="F425" t="n">
        <v>9.4</v>
      </c>
      <c r="G425" t="n">
        <v>15.7</v>
      </c>
      <c r="H425" t="n">
        <v>2.3</v>
      </c>
      <c r="I425" t="n">
        <v>3.8</v>
      </c>
      <c r="J425" t="n">
        <v>47.5</v>
      </c>
      <c r="K425" t="n">
        <v>15.3</v>
      </c>
      <c r="L425" t="n">
        <v>10.5</v>
      </c>
      <c r="M425" t="n">
        <v>1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1201</v>
      </c>
      <c r="Z425" t="inlineStr"/>
      <c r="AA425" t="inlineStr"/>
      <c r="AB425" t="inlineStr">
        <is>
          <t>U0424</t>
        </is>
      </c>
      <c r="AC425" t="inlineStr">
        <is>
          <t>SP</t>
        </is>
      </c>
      <c r="AD425" t="inlineStr"/>
      <c r="AE425" t="n">
        <v>2.3</v>
      </c>
      <c r="AF425" t="inlineStr"/>
      <c r="AG425" t="inlineStr"/>
      <c r="AH425" t="inlineStr"/>
      <c r="AI425" t="n">
        <v>4.4</v>
      </c>
      <c r="AJ425" t="n">
        <v>14.09</v>
      </c>
    </row>
    <row r="426">
      <c r="A426" t="inlineStr">
        <is>
          <t>Fundación Universidad De Bogotá-Jorge Tadeo Lozano</t>
        </is>
      </c>
      <c r="B426" t="inlineStr">
        <is>
          <t>Colombia</t>
        </is>
      </c>
      <c r="C426" t="inlineStr">
        <is>
          <t>1401+</t>
        </is>
      </c>
      <c r="D426" t="inlineStr"/>
      <c r="E426" t="n">
        <v>5.2</v>
      </c>
      <c r="F426" t="n">
        <v>3.3</v>
      </c>
      <c r="G426" t="n">
        <v>10.2</v>
      </c>
      <c r="H426" t="n">
        <v>1.7</v>
      </c>
      <c r="I426" t="n">
        <v>3.2</v>
      </c>
      <c r="J426" t="n">
        <v>1.2</v>
      </c>
      <c r="K426" t="n">
        <v>5.9</v>
      </c>
      <c r="L426" t="n">
        <v>12.1</v>
      </c>
      <c r="M426" t="n">
        <v>1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1401</v>
      </c>
      <c r="Z426" t="inlineStr"/>
      <c r="AA426" t="inlineStr"/>
      <c r="AB426" t="inlineStr">
        <is>
          <t>U0425</t>
        </is>
      </c>
      <c r="AC426" t="inlineStr">
        <is>
          <t>CO</t>
        </is>
      </c>
      <c r="AD426" t="inlineStr"/>
      <c r="AE426" t="n">
        <v>1.7</v>
      </c>
      <c r="AF426" t="inlineStr"/>
      <c r="AG426" t="inlineStr"/>
      <c r="AH426" t="inlineStr"/>
      <c r="AI426" t="n">
        <v>5.2</v>
      </c>
      <c r="AJ426" t="n">
        <v>13.9</v>
      </c>
    </row>
    <row r="427">
      <c r="A427" t="inlineStr">
        <is>
          <t>Future University in Egypt</t>
        </is>
      </c>
      <c r="B427" t="inlineStr">
        <is>
          <t>Egypt</t>
        </is>
      </c>
      <c r="C427" t="inlineStr">
        <is>
          <t>901-950</t>
        </is>
      </c>
      <c r="D427" t="inlineStr"/>
      <c r="E427" t="n">
        <v>4.8</v>
      </c>
      <c r="F427" t="n">
        <v>34.7</v>
      </c>
      <c r="G427" t="n">
        <v>34.9</v>
      </c>
      <c r="H427" t="n">
        <v>2</v>
      </c>
      <c r="I427" t="n">
        <v>11.7</v>
      </c>
      <c r="J427" t="n">
        <v>21.7</v>
      </c>
      <c r="K427" t="n">
        <v>40</v>
      </c>
      <c r="L427" t="n">
        <v>2.9</v>
      </c>
      <c r="M427" t="n">
        <v>1.1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901</v>
      </c>
      <c r="Z427" t="inlineStr"/>
      <c r="AA427" t="inlineStr"/>
      <c r="AB427" t="inlineStr">
        <is>
          <t>U0426</t>
        </is>
      </c>
      <c r="AC427" t="inlineStr">
        <is>
          <t>EG</t>
        </is>
      </c>
      <c r="AD427" t="inlineStr"/>
      <c r="AE427" t="n">
        <v>2</v>
      </c>
      <c r="AF427" t="inlineStr"/>
      <c r="AG427" t="inlineStr"/>
      <c r="AH427" t="inlineStr"/>
      <c r="AI427" t="n">
        <v>4.8</v>
      </c>
      <c r="AJ427" t="n">
        <v>13.99</v>
      </c>
    </row>
    <row r="428">
      <c r="A428" t="inlineStr">
        <is>
          <t>Fuzhou University</t>
        </is>
      </c>
      <c r="B428" t="inlineStr">
        <is>
          <t>China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801–1000</t>
        </is>
      </c>
      <c r="O428" t="inlineStr">
        <is>
          <t>32.7–36.9</t>
        </is>
      </c>
      <c r="P428" t="n">
        <v>18.9</v>
      </c>
      <c r="Q428" t="n">
        <v>16.5</v>
      </c>
      <c r="R428" t="n">
        <v>71.5</v>
      </c>
      <c r="S428" t="n">
        <v>53.2</v>
      </c>
      <c r="T428" t="n">
        <v>36.7</v>
      </c>
      <c r="U428" t="inlineStr">
        <is>
          <t>42,106</t>
        </is>
      </c>
      <c r="V428" t="n">
        <v>17.4</v>
      </c>
      <c r="W428" t="inlineStr">
        <is>
          <t>1%</t>
        </is>
      </c>
      <c r="X428" t="inlineStr">
        <is>
          <t>39 : 61</t>
        </is>
      </c>
      <c r="Y428" t="inlineStr"/>
      <c r="Z428" t="n">
        <v>801</v>
      </c>
      <c r="AA428" t="n">
        <v>34.8</v>
      </c>
      <c r="AB428" t="inlineStr">
        <is>
          <t>U0427</t>
        </is>
      </c>
      <c r="AC428" t="inlineStr">
        <is>
          <t>CH</t>
        </is>
      </c>
      <c r="AD428" t="n">
        <v>34.8</v>
      </c>
      <c r="AE428" t="n">
        <v>71.5</v>
      </c>
      <c r="AF428" t="n">
        <v>17.4</v>
      </c>
      <c r="AG428" t="inlineStr">
        <is>
          <t>1:17.4</t>
        </is>
      </c>
      <c r="AH428" t="inlineStr">
        <is>
          <t>1%</t>
        </is>
      </c>
      <c r="AI428" t="inlineStr"/>
      <c r="AJ428" t="n">
        <v>32.58</v>
      </c>
    </row>
    <row r="429">
      <c r="A429" t="inlineStr">
        <is>
          <t>Gabriele d‘Annunzio University</t>
        </is>
      </c>
      <c r="B429" t="inlineStr">
        <is>
          <t>Italy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601–800</t>
        </is>
      </c>
      <c r="O429" t="inlineStr">
        <is>
          <t>37.0–41.8</t>
        </is>
      </c>
      <c r="P429" t="n">
        <v>16.3</v>
      </c>
      <c r="Q429" t="n">
        <v>18.3</v>
      </c>
      <c r="R429" t="n">
        <v>71.7</v>
      </c>
      <c r="S429" t="n">
        <v>59.9</v>
      </c>
      <c r="T429" t="n">
        <v>40.6</v>
      </c>
      <c r="U429" t="inlineStr">
        <is>
          <t>23,336</t>
        </is>
      </c>
      <c r="V429" t="n">
        <v>31.7</v>
      </c>
      <c r="W429" t="inlineStr">
        <is>
          <t>2%</t>
        </is>
      </c>
      <c r="X429" t="inlineStr">
        <is>
          <t>65 : 35</t>
        </is>
      </c>
      <c r="Y429" t="inlineStr"/>
      <c r="Z429" t="n">
        <v>601</v>
      </c>
      <c r="AA429" t="n">
        <v>39.4</v>
      </c>
      <c r="AB429" t="inlineStr">
        <is>
          <t>U0428</t>
        </is>
      </c>
      <c r="AC429" t="inlineStr">
        <is>
          <t>IT</t>
        </is>
      </c>
      <c r="AD429" t="n">
        <v>39.4</v>
      </c>
      <c r="AE429" t="n">
        <v>71.7</v>
      </c>
      <c r="AF429" t="n">
        <v>31.7</v>
      </c>
      <c r="AG429" t="inlineStr">
        <is>
          <t>1:31.7</t>
        </is>
      </c>
      <c r="AH429" t="inlineStr">
        <is>
          <t>2%</t>
        </is>
      </c>
      <c r="AI429" t="inlineStr"/>
      <c r="AJ429" t="n">
        <v>34.53</v>
      </c>
    </row>
    <row r="430">
      <c r="A430" t="inlineStr">
        <is>
          <t>Gadjah Mada University</t>
        </is>
      </c>
      <c r="B430" t="inlineStr">
        <is>
          <t>Indonesia</t>
        </is>
      </c>
      <c r="C430" t="inlineStr">
        <is>
          <t>239</t>
        </is>
      </c>
      <c r="D430" t="n">
        <v>41.8</v>
      </c>
      <c r="E430" t="n">
        <v>54.4</v>
      </c>
      <c r="F430" t="n">
        <v>73.5</v>
      </c>
      <c r="G430" t="n">
        <v>57.6</v>
      </c>
      <c r="H430" t="n">
        <v>1.7</v>
      </c>
      <c r="I430" t="n">
        <v>40.3</v>
      </c>
      <c r="J430" t="n">
        <v>4.1</v>
      </c>
      <c r="K430" t="n">
        <v>38.1</v>
      </c>
      <c r="L430" t="n">
        <v>69</v>
      </c>
      <c r="M430" t="n">
        <v>26.8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239</v>
      </c>
      <c r="Z430" t="inlineStr"/>
      <c r="AA430" t="inlineStr"/>
      <c r="AB430" t="inlineStr">
        <is>
          <t>U0429</t>
        </is>
      </c>
      <c r="AC430" t="inlineStr">
        <is>
          <t>IN</t>
        </is>
      </c>
      <c r="AD430" t="n">
        <v>41.8</v>
      </c>
      <c r="AE430" t="n">
        <v>1.7</v>
      </c>
      <c r="AF430" t="inlineStr"/>
      <c r="AG430" t="inlineStr"/>
      <c r="AH430" t="inlineStr"/>
      <c r="AI430" t="n">
        <v>54.4</v>
      </c>
      <c r="AJ430" t="n">
        <v>13.9</v>
      </c>
    </row>
    <row r="431">
      <c r="A431" t="inlineStr">
        <is>
          <t>Gauhati University</t>
        </is>
      </c>
      <c r="B431" t="inlineStr">
        <is>
          <t>India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1001–1200</t>
        </is>
      </c>
      <c r="O431" t="inlineStr">
        <is>
          <t>28.3–32.6</t>
        </is>
      </c>
      <c r="P431" t="n">
        <v>36.2</v>
      </c>
      <c r="Q431" t="n">
        <v>26.6</v>
      </c>
      <c r="R431" t="n">
        <v>23.3</v>
      </c>
      <c r="S431" t="n">
        <v>34.3</v>
      </c>
      <c r="T431" t="n">
        <v>22.2</v>
      </c>
      <c r="U431" t="inlineStr">
        <is>
          <t>6,817</t>
        </is>
      </c>
      <c r="V431" t="n">
        <v>17.3</v>
      </c>
      <c r="W431" t="inlineStr">
        <is>
          <t>0%</t>
        </is>
      </c>
      <c r="X431" t="inlineStr">
        <is>
          <t>53 : 47</t>
        </is>
      </c>
      <c r="Y431" t="inlineStr"/>
      <c r="Z431" t="n">
        <v>1001</v>
      </c>
      <c r="AA431" t="n">
        <v>30.45</v>
      </c>
      <c r="AB431" t="inlineStr">
        <is>
          <t>U0430</t>
        </is>
      </c>
      <c r="AC431" t="inlineStr">
        <is>
          <t>IN</t>
        </is>
      </c>
      <c r="AD431" t="n">
        <v>30.45</v>
      </c>
      <c r="AE431" t="n">
        <v>23.3</v>
      </c>
      <c r="AF431" t="n">
        <v>17.3</v>
      </c>
      <c r="AG431" t="inlineStr">
        <is>
          <t>1:17.3</t>
        </is>
      </c>
      <c r="AH431" t="inlineStr">
        <is>
          <t>0%</t>
        </is>
      </c>
      <c r="AI431" t="inlineStr"/>
      <c r="AJ431" t="n">
        <v>19.76</v>
      </c>
    </row>
    <row r="432">
      <c r="A432" t="inlineStr">
        <is>
          <t>Gazi Üniversitesi</t>
        </is>
      </c>
      <c r="B432" t="inlineStr">
        <is>
          <t>Turkey</t>
        </is>
      </c>
      <c r="C432" t="inlineStr">
        <is>
          <t>901-950</t>
        </is>
      </c>
      <c r="D432" t="inlineStr"/>
      <c r="E432" t="n">
        <v>18.6</v>
      </c>
      <c r="F432" t="n">
        <v>15.3</v>
      </c>
      <c r="G432" t="n">
        <v>6</v>
      </c>
      <c r="H432" t="n">
        <v>4.4</v>
      </c>
      <c r="I432" t="n">
        <v>1</v>
      </c>
      <c r="J432" t="n">
        <v>3.3</v>
      </c>
      <c r="K432" t="n">
        <v>56</v>
      </c>
      <c r="L432" t="n">
        <v>18.2</v>
      </c>
      <c r="M432" t="n">
        <v>20.1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901</v>
      </c>
      <c r="Z432" t="inlineStr"/>
      <c r="AA432" t="inlineStr"/>
      <c r="AB432" t="inlineStr">
        <is>
          <t>U0431</t>
        </is>
      </c>
      <c r="AC432" t="inlineStr">
        <is>
          <t>TU</t>
        </is>
      </c>
      <c r="AD432" t="inlineStr"/>
      <c r="AE432" t="n">
        <v>4.4</v>
      </c>
      <c r="AF432" t="inlineStr"/>
      <c r="AG432" t="inlineStr"/>
      <c r="AH432" t="inlineStr"/>
      <c r="AI432" t="n">
        <v>18.6</v>
      </c>
      <c r="AJ432" t="n">
        <v>14.72</v>
      </c>
    </row>
    <row r="433">
      <c r="A433" t="inlineStr">
        <is>
          <t>Gazi University</t>
        </is>
      </c>
      <c r="B433" t="inlineStr">
        <is>
          <t>Turkey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1201–1500</t>
        </is>
      </c>
      <c r="O433" t="inlineStr">
        <is>
          <t>22.8–28.2</t>
        </is>
      </c>
      <c r="P433" t="n">
        <v>25.6</v>
      </c>
      <c r="Q433" t="n">
        <v>19</v>
      </c>
      <c r="R433" t="n">
        <v>32.7</v>
      </c>
      <c r="S433" t="n">
        <v>60.3</v>
      </c>
      <c r="T433" t="n">
        <v>21.7</v>
      </c>
      <c r="U433" t="inlineStr">
        <is>
          <t>41,736</t>
        </is>
      </c>
      <c r="V433" t="n">
        <v>17</v>
      </c>
      <c r="W433" t="inlineStr">
        <is>
          <t>3%</t>
        </is>
      </c>
      <c r="X433" t="inlineStr">
        <is>
          <t>51 : 49</t>
        </is>
      </c>
      <c r="Y433" t="inlineStr"/>
      <c r="Z433" t="n">
        <v>1201</v>
      </c>
      <c r="AA433" t="n">
        <v>25.5</v>
      </c>
      <c r="AB433" t="inlineStr">
        <is>
          <t>U0432</t>
        </is>
      </c>
      <c r="AC433" t="inlineStr">
        <is>
          <t>TU</t>
        </is>
      </c>
      <c r="AD433" t="n">
        <v>25.5</v>
      </c>
      <c r="AE433" t="n">
        <v>32.7</v>
      </c>
      <c r="AF433" t="n">
        <v>17</v>
      </c>
      <c r="AG433" t="inlineStr">
        <is>
          <t>1:17.0</t>
        </is>
      </c>
      <c r="AH433" t="inlineStr">
        <is>
          <t>3%</t>
        </is>
      </c>
      <c r="AI433" t="inlineStr"/>
      <c r="AJ433" t="n">
        <v>18.51</v>
      </c>
    </row>
    <row r="434">
      <c r="A434" t="inlineStr">
        <is>
          <t>Gaziantep University</t>
        </is>
      </c>
      <c r="B434" t="inlineStr">
        <is>
          <t>Turkey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1501+</t>
        </is>
      </c>
      <c r="O434" t="inlineStr">
        <is>
          <t>9.7–22.7</t>
        </is>
      </c>
      <c r="P434" t="n">
        <v>15.6</v>
      </c>
      <c r="Q434" t="n">
        <v>10.8</v>
      </c>
      <c r="R434" t="n">
        <v>33</v>
      </c>
      <c r="S434" t="n">
        <v>20.1</v>
      </c>
      <c r="T434" t="n">
        <v>39.5</v>
      </c>
      <c r="U434" t="inlineStr">
        <is>
          <t>31,977</t>
        </is>
      </c>
      <c r="V434" t="n">
        <v>38.1</v>
      </c>
      <c r="W434" t="inlineStr">
        <is>
          <t>12%</t>
        </is>
      </c>
      <c r="X434" t="inlineStr">
        <is>
          <t>47 : 53</t>
        </is>
      </c>
      <c r="Y434" t="inlineStr"/>
      <c r="Z434" t="n">
        <v>1501</v>
      </c>
      <c r="AA434" t="n">
        <v>16.2</v>
      </c>
      <c r="AB434" t="inlineStr">
        <is>
          <t>U0433</t>
        </is>
      </c>
      <c r="AC434" t="inlineStr">
        <is>
          <t>TU</t>
        </is>
      </c>
      <c r="AD434" t="n">
        <v>16.2</v>
      </c>
      <c r="AE434" t="n">
        <v>33</v>
      </c>
      <c r="AF434" t="n">
        <v>38.1</v>
      </c>
      <c r="AG434" t="inlineStr">
        <is>
          <t>1:38.1</t>
        </is>
      </c>
      <c r="AH434" t="inlineStr">
        <is>
          <t>12%</t>
        </is>
      </c>
      <c r="AI434" t="inlineStr"/>
      <c r="AJ434" t="n">
        <v>18.61</v>
      </c>
    </row>
    <row r="435">
      <c r="A435" t="inlineStr">
        <is>
          <t>Gda?sk University of Technology</t>
        </is>
      </c>
      <c r="B435" t="inlineStr">
        <is>
          <t>Poland</t>
        </is>
      </c>
      <c r="C435" t="inlineStr">
        <is>
          <t>801-850</t>
        </is>
      </c>
      <c r="D435" t="inlineStr"/>
      <c r="E435" t="n">
        <v>9.4</v>
      </c>
      <c r="F435" t="n">
        <v>15.2</v>
      </c>
      <c r="G435" t="n">
        <v>29.6</v>
      </c>
      <c r="H435" t="n">
        <v>12.7</v>
      </c>
      <c r="I435" t="n">
        <v>5.3</v>
      </c>
      <c r="J435" t="n">
        <v>4</v>
      </c>
      <c r="K435" t="n">
        <v>65.8</v>
      </c>
      <c r="L435" t="n">
        <v>3.2</v>
      </c>
      <c r="M435" t="n">
        <v>33.3</v>
      </c>
      <c r="N435" t="inlineStr">
        <is>
          <t>1001–1200</t>
        </is>
      </c>
      <c r="O435" t="inlineStr">
        <is>
          <t>28.3–32.6</t>
        </is>
      </c>
      <c r="P435" t="n">
        <v>19.7</v>
      </c>
      <c r="Q435" t="n">
        <v>17</v>
      </c>
      <c r="R435" t="n">
        <v>48.3</v>
      </c>
      <c r="S435" t="n">
        <v>50.7</v>
      </c>
      <c r="T435" t="n">
        <v>35</v>
      </c>
      <c r="U435" t="inlineStr">
        <is>
          <t>13,903</t>
        </is>
      </c>
      <c r="V435" t="n">
        <v>17.9</v>
      </c>
      <c r="W435" t="inlineStr">
        <is>
          <t>5%</t>
        </is>
      </c>
      <c r="X435" t="inlineStr">
        <is>
          <t>38 : 62</t>
        </is>
      </c>
      <c r="Y435" t="n">
        <v>801</v>
      </c>
      <c r="Z435" t="n">
        <v>1001</v>
      </c>
      <c r="AA435" t="n">
        <v>30.45</v>
      </c>
      <c r="AB435" t="inlineStr">
        <is>
          <t>U0434</t>
        </is>
      </c>
      <c r="AC435" t="inlineStr">
        <is>
          <t>PO</t>
        </is>
      </c>
      <c r="AD435" t="n">
        <v>30.45</v>
      </c>
      <c r="AE435" t="n">
        <v>12.7</v>
      </c>
      <c r="AF435" t="n">
        <v>17.9</v>
      </c>
      <c r="AG435" t="inlineStr">
        <is>
          <t>1:17.9</t>
        </is>
      </c>
      <c r="AH435" t="inlineStr">
        <is>
          <t>5%</t>
        </is>
      </c>
      <c r="AI435" t="n">
        <v>9.4</v>
      </c>
      <c r="AJ435" t="n">
        <v>14.62</v>
      </c>
    </row>
    <row r="436">
      <c r="A436" t="inlineStr">
        <is>
          <t>Gebze Technical University (GTU)</t>
        </is>
      </c>
      <c r="B436" t="inlineStr">
        <is>
          <t>Turkey</t>
        </is>
      </c>
      <c r="C436" t="inlineStr">
        <is>
          <t>1001-1200</t>
        </is>
      </c>
      <c r="D436" t="inlineStr"/>
      <c r="E436" t="n">
        <v>4.5</v>
      </c>
      <c r="F436" t="n">
        <v>3.4</v>
      </c>
      <c r="G436" t="n">
        <v>7.8</v>
      </c>
      <c r="H436" t="n">
        <v>18.5</v>
      </c>
      <c r="I436" t="n">
        <v>6.2</v>
      </c>
      <c r="J436" t="n">
        <v>3.8</v>
      </c>
      <c r="K436" t="n">
        <v>37.3</v>
      </c>
      <c r="L436" t="n">
        <v>2.3</v>
      </c>
      <c r="M436" t="n">
        <v>3.8</v>
      </c>
      <c r="N436" t="inlineStr">
        <is>
          <t>1201–1500</t>
        </is>
      </c>
      <c r="O436" t="inlineStr">
        <is>
          <t>22.8–28.2</t>
        </is>
      </c>
      <c r="P436" t="n">
        <v>22.6</v>
      </c>
      <c r="Q436" t="n">
        <v>13.8</v>
      </c>
      <c r="R436" t="n">
        <v>37.6</v>
      </c>
      <c r="S436" t="n">
        <v>35</v>
      </c>
      <c r="T436" t="n">
        <v>29.2</v>
      </c>
      <c r="U436" t="inlineStr">
        <is>
          <t>7,234</t>
        </is>
      </c>
      <c r="V436" t="n">
        <v>24.5</v>
      </c>
      <c r="W436" t="inlineStr">
        <is>
          <t>2%</t>
        </is>
      </c>
      <c r="X436" t="inlineStr">
        <is>
          <t>43 : 57</t>
        </is>
      </c>
      <c r="Y436" t="n">
        <v>1001</v>
      </c>
      <c r="Z436" t="n">
        <v>1201</v>
      </c>
      <c r="AA436" t="n">
        <v>25.5</v>
      </c>
      <c r="AB436" t="inlineStr">
        <is>
          <t>U0435</t>
        </is>
      </c>
      <c r="AC436" t="inlineStr">
        <is>
          <t>TU</t>
        </is>
      </c>
      <c r="AD436" t="n">
        <v>25.5</v>
      </c>
      <c r="AE436" t="n">
        <v>18.5</v>
      </c>
      <c r="AF436" t="n">
        <v>24.5</v>
      </c>
      <c r="AG436" t="inlineStr">
        <is>
          <t>1:24.5</t>
        </is>
      </c>
      <c r="AH436" t="inlineStr">
        <is>
          <t>2%</t>
        </is>
      </c>
      <c r="AI436" t="n">
        <v>4.5</v>
      </c>
      <c r="AJ436" t="n">
        <v>13.29</v>
      </c>
    </row>
    <row r="437">
      <c r="A437" t="inlineStr">
        <is>
          <t>George Emil Palade University of Medicine, Pharmacy, Science, and Technology of Targu Mures</t>
        </is>
      </c>
      <c r="B437" t="inlineStr">
        <is>
          <t>Romania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1201–1500</t>
        </is>
      </c>
      <c r="O437" t="inlineStr">
        <is>
          <t>22.8–28.2</t>
        </is>
      </c>
      <c r="P437" t="n">
        <v>17.8</v>
      </c>
      <c r="Q437" t="n">
        <v>11.3</v>
      </c>
      <c r="R437" t="n">
        <v>36.4</v>
      </c>
      <c r="S437" t="n">
        <v>16.8</v>
      </c>
      <c r="T437" t="n">
        <v>36.1</v>
      </c>
      <c r="U437" t="inlineStr">
        <is>
          <t>9,258</t>
        </is>
      </c>
      <c r="V437" t="n">
        <v>17</v>
      </c>
      <c r="W437" t="inlineStr">
        <is>
          <t>13%</t>
        </is>
      </c>
      <c r="X437" t="inlineStr">
        <is>
          <t>64 : 36</t>
        </is>
      </c>
      <c r="Y437" t="inlineStr"/>
      <c r="Z437" t="n">
        <v>1201</v>
      </c>
      <c r="AA437" t="n">
        <v>25.5</v>
      </c>
      <c r="AB437" t="inlineStr">
        <is>
          <t>U0436</t>
        </is>
      </c>
      <c r="AC437" t="inlineStr">
        <is>
          <t>RO</t>
        </is>
      </c>
      <c r="AD437" t="n">
        <v>25.5</v>
      </c>
      <c r="AE437" t="n">
        <v>36.4</v>
      </c>
      <c r="AF437" t="n">
        <v>17</v>
      </c>
      <c r="AG437" t="inlineStr">
        <is>
          <t>1:17.0</t>
        </is>
      </c>
      <c r="AH437" t="inlineStr">
        <is>
          <t>13%</t>
        </is>
      </c>
      <c r="AI437" t="inlineStr"/>
      <c r="AJ437" t="n">
        <v>19.08</v>
      </c>
    </row>
    <row r="438">
      <c r="A438" t="inlineStr">
        <is>
          <t>George Mason University</t>
        </is>
      </c>
      <c r="B438" t="inlineStr">
        <is>
          <t>United States</t>
        </is>
      </c>
      <c r="C438" t="inlineStr">
        <is>
          <t>1001-1200</t>
        </is>
      </c>
      <c r="D438" t="inlineStr"/>
      <c r="E438" t="n">
        <v>8.800000000000001</v>
      </c>
      <c r="F438" t="n">
        <v>4.8</v>
      </c>
      <c r="G438" t="n">
        <v>12.4</v>
      </c>
      <c r="H438" t="n">
        <v>9.199999999999999</v>
      </c>
      <c r="I438" t="n">
        <v>10</v>
      </c>
      <c r="J438" t="n">
        <v>15.3</v>
      </c>
      <c r="K438" t="n">
        <v>60.9</v>
      </c>
      <c r="L438" t="n">
        <v>11.9</v>
      </c>
      <c r="M438" t="n">
        <v>22.5</v>
      </c>
      <c r="N438" t="inlineStr">
        <is>
          <t>401–500</t>
        </is>
      </c>
      <c r="O438" t="inlineStr">
        <is>
          <t>45.4–49.0</t>
        </is>
      </c>
      <c r="P438" t="n">
        <v>29.7</v>
      </c>
      <c r="Q438" t="n">
        <v>27.5</v>
      </c>
      <c r="R438" t="n">
        <v>82.7</v>
      </c>
      <c r="S438" t="n">
        <v>62</v>
      </c>
      <c r="T438" t="n">
        <v>59.9</v>
      </c>
      <c r="U438" t="inlineStr">
        <is>
          <t>32,959</t>
        </is>
      </c>
      <c r="V438" t="n">
        <v>18.3</v>
      </c>
      <c r="W438" t="inlineStr">
        <is>
          <t>11%</t>
        </is>
      </c>
      <c r="X438" t="inlineStr">
        <is>
          <t>53 : 47</t>
        </is>
      </c>
      <c r="Y438" t="n">
        <v>1001</v>
      </c>
      <c r="Z438" t="n">
        <v>401</v>
      </c>
      <c r="AA438" t="n">
        <v>47.2</v>
      </c>
      <c r="AB438" t="inlineStr">
        <is>
          <t>U0437</t>
        </is>
      </c>
      <c r="AC438" t="inlineStr">
        <is>
          <t>UN</t>
        </is>
      </c>
      <c r="AD438" t="n">
        <v>47.2</v>
      </c>
      <c r="AE438" t="n">
        <v>9.199999999999999</v>
      </c>
      <c r="AF438" t="n">
        <v>18.3</v>
      </c>
      <c r="AG438" t="inlineStr">
        <is>
          <t>1:18.3</t>
        </is>
      </c>
      <c r="AH438" t="inlineStr">
        <is>
          <t>11%</t>
        </is>
      </c>
      <c r="AI438" t="n">
        <v>8.800000000000001</v>
      </c>
      <c r="AJ438" t="n">
        <v>25.08</v>
      </c>
    </row>
    <row r="439">
      <c r="A439" t="inlineStr">
        <is>
          <t>George Washington University</t>
        </is>
      </c>
      <c r="B439" t="inlineStr">
        <is>
          <t>United States</t>
        </is>
      </c>
      <c r="C439" t="inlineStr">
        <is>
          <t>371</t>
        </is>
      </c>
      <c r="D439" t="n">
        <v>31.3</v>
      </c>
      <c r="E439" t="n">
        <v>25.2</v>
      </c>
      <c r="F439" t="n">
        <v>28.8</v>
      </c>
      <c r="G439" t="n">
        <v>27.3</v>
      </c>
      <c r="H439" t="n">
        <v>27.5</v>
      </c>
      <c r="I439" t="n">
        <v>24.6</v>
      </c>
      <c r="J439" t="n">
        <v>34.4</v>
      </c>
      <c r="K439" t="n">
        <v>79.5</v>
      </c>
      <c r="L439" t="n">
        <v>74.5</v>
      </c>
      <c r="M439" t="n">
        <v>27.3</v>
      </c>
      <c r="N439" t="inlineStr">
        <is>
          <t>201–250</t>
        </is>
      </c>
      <c r="O439" t="inlineStr">
        <is>
          <t>55.9–58.6</t>
        </is>
      </c>
      <c r="P439" t="n">
        <v>48.2</v>
      </c>
      <c r="Q439" t="n">
        <v>35.7</v>
      </c>
      <c r="R439" t="n">
        <v>86</v>
      </c>
      <c r="S439" t="n">
        <v>67.3</v>
      </c>
      <c r="T439" t="n">
        <v>66.09999999999999</v>
      </c>
      <c r="U439" t="inlineStr">
        <is>
          <t>22,211</t>
        </is>
      </c>
      <c r="V439" t="n">
        <v>13</v>
      </c>
      <c r="W439" t="inlineStr">
        <is>
          <t>14%</t>
        </is>
      </c>
      <c r="X439" t="inlineStr">
        <is>
          <t>62 : 38</t>
        </is>
      </c>
      <c r="Y439" t="n">
        <v>371</v>
      </c>
      <c r="Z439" t="n">
        <v>201</v>
      </c>
      <c r="AA439" t="n">
        <v>57.25</v>
      </c>
      <c r="AB439" t="inlineStr">
        <is>
          <t>U0438</t>
        </is>
      </c>
      <c r="AC439" t="inlineStr">
        <is>
          <t>UN</t>
        </is>
      </c>
      <c r="AD439" t="n">
        <v>31.3</v>
      </c>
      <c r="AE439" t="n">
        <v>27.5</v>
      </c>
      <c r="AF439" t="n">
        <v>13</v>
      </c>
      <c r="AG439" t="inlineStr">
        <is>
          <t>1:13.0</t>
        </is>
      </c>
      <c r="AH439" t="inlineStr">
        <is>
          <t>14%</t>
        </is>
      </c>
      <c r="AI439" t="n">
        <v>25.2</v>
      </c>
      <c r="AJ439" t="n">
        <v>36.42</v>
      </c>
    </row>
    <row r="440">
      <c r="A440" t="inlineStr">
        <is>
          <t>Georgetown University</t>
        </is>
      </c>
      <c r="B440" t="inlineStr">
        <is>
          <t>United States</t>
        </is>
      </c>
      <c r="C440" t="inlineStr">
        <is>
          <t>301</t>
        </is>
      </c>
      <c r="D440" t="n">
        <v>36.3</v>
      </c>
      <c r="E440" t="n">
        <v>29.3</v>
      </c>
      <c r="F440" t="n">
        <v>41.9</v>
      </c>
      <c r="G440" t="n">
        <v>63</v>
      </c>
      <c r="H440" t="n">
        <v>14</v>
      </c>
      <c r="I440" t="n">
        <v>28</v>
      </c>
      <c r="J440" t="n">
        <v>37.3</v>
      </c>
      <c r="K440" t="n">
        <v>62.5</v>
      </c>
      <c r="L440" t="n">
        <v>90.90000000000001</v>
      </c>
      <c r="M440" t="n">
        <v>37</v>
      </c>
      <c r="N440">
        <f>187</f>
        <v/>
      </c>
      <c r="O440" t="inlineStr">
        <is>
          <t>59.5</t>
        </is>
      </c>
      <c r="P440" t="n">
        <v>52.6</v>
      </c>
      <c r="Q440" t="n">
        <v>37</v>
      </c>
      <c r="R440" t="n">
        <v>85.09999999999999</v>
      </c>
      <c r="S440" t="n">
        <v>92.2</v>
      </c>
      <c r="T440" t="n">
        <v>53.2</v>
      </c>
      <c r="U440" t="inlineStr">
        <is>
          <t>17,508</t>
        </is>
      </c>
      <c r="V440" t="n">
        <v>10.1</v>
      </c>
      <c r="W440" t="inlineStr">
        <is>
          <t>18%</t>
        </is>
      </c>
      <c r="X440" t="inlineStr">
        <is>
          <t>55 : 45</t>
        </is>
      </c>
      <c r="Y440" t="n">
        <v>301</v>
      </c>
      <c r="Z440" t="n">
        <v>187</v>
      </c>
      <c r="AA440" t="n">
        <v>59.5</v>
      </c>
      <c r="AB440" t="inlineStr">
        <is>
          <t>U0439</t>
        </is>
      </c>
      <c r="AC440" t="inlineStr">
        <is>
          <t>UN</t>
        </is>
      </c>
      <c r="AD440" t="n">
        <v>36.3</v>
      </c>
      <c r="AE440" t="n">
        <v>14</v>
      </c>
      <c r="AF440" t="n">
        <v>10.1</v>
      </c>
      <c r="AG440" t="inlineStr">
        <is>
          <t>1:10.1</t>
        </is>
      </c>
      <c r="AH440" t="inlineStr">
        <is>
          <t>18%</t>
        </is>
      </c>
      <c r="AI440" t="n">
        <v>29.3</v>
      </c>
      <c r="AJ440" t="n">
        <v>29.89</v>
      </c>
    </row>
    <row r="441">
      <c r="A441" t="inlineStr">
        <is>
          <t>Georgia Institute of Technology</t>
        </is>
      </c>
      <c r="B441" t="inlineStr">
        <is>
          <t>United States</t>
        </is>
      </c>
      <c r="C441" t="inlineStr">
        <is>
          <t>114</t>
        </is>
      </c>
      <c r="D441" t="n">
        <v>57.3</v>
      </c>
      <c r="E441" t="n">
        <v>67.09999999999999</v>
      </c>
      <c r="F441" t="n">
        <v>82.59999999999999</v>
      </c>
      <c r="G441" t="n">
        <v>20.3</v>
      </c>
      <c r="H441" t="n">
        <v>52.8</v>
      </c>
      <c r="I441" t="n">
        <v>21.3</v>
      </c>
      <c r="J441" t="n">
        <v>66.40000000000001</v>
      </c>
      <c r="K441" t="n">
        <v>75.5</v>
      </c>
      <c r="L441" t="n">
        <v>43.1</v>
      </c>
      <c r="M441" t="n">
        <v>39.5</v>
      </c>
      <c r="N441" t="inlineStr">
        <is>
          <t>36</t>
        </is>
      </c>
      <c r="O441" t="inlineStr">
        <is>
          <t>80.0</t>
        </is>
      </c>
      <c r="P441" t="n">
        <v>63.4</v>
      </c>
      <c r="Q441" t="n">
        <v>78.90000000000001</v>
      </c>
      <c r="R441" t="n">
        <v>94.09999999999999</v>
      </c>
      <c r="S441" t="n">
        <v>94.59999999999999</v>
      </c>
      <c r="T441" t="n">
        <v>84.8</v>
      </c>
      <c r="U441" t="inlineStr">
        <is>
          <t>32,079</t>
        </is>
      </c>
      <c r="V441" t="n">
        <v>28</v>
      </c>
      <c r="W441" t="inlineStr">
        <is>
          <t>29%</t>
        </is>
      </c>
      <c r="X441" t="inlineStr">
        <is>
          <t>34 : 66</t>
        </is>
      </c>
      <c r="Y441" t="n">
        <v>114</v>
      </c>
      <c r="Z441" t="n">
        <v>36</v>
      </c>
      <c r="AA441" t="n">
        <v>80</v>
      </c>
      <c r="AB441" t="inlineStr">
        <is>
          <t>U0440</t>
        </is>
      </c>
      <c r="AC441" t="inlineStr">
        <is>
          <t>UN</t>
        </is>
      </c>
      <c r="AD441" t="n">
        <v>57.3</v>
      </c>
      <c r="AE441" t="n">
        <v>52.8</v>
      </c>
      <c r="AF441" t="n">
        <v>28</v>
      </c>
      <c r="AG441" t="inlineStr">
        <is>
          <t>1:28.0</t>
        </is>
      </c>
      <c r="AH441" t="inlineStr">
        <is>
          <t>29%</t>
        </is>
      </c>
      <c r="AI441" t="n">
        <v>67.09999999999999</v>
      </c>
      <c r="AJ441" t="n">
        <v>71.25</v>
      </c>
    </row>
    <row r="442">
      <c r="A442" t="inlineStr">
        <is>
          <t>Georgia Southern University</t>
        </is>
      </c>
      <c r="B442" t="inlineStr">
        <is>
          <t>United States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1201–1500</t>
        </is>
      </c>
      <c r="O442" t="inlineStr">
        <is>
          <t>22.8–28.2</t>
        </is>
      </c>
      <c r="P442" t="n">
        <v>18.4</v>
      </c>
      <c r="Q442" t="n">
        <v>11.6</v>
      </c>
      <c r="R442" t="n">
        <v>43.2</v>
      </c>
      <c r="S442" t="n">
        <v>41.6</v>
      </c>
      <c r="T442" t="n">
        <v>34.8</v>
      </c>
      <c r="U442" t="inlineStr">
        <is>
          <t>22,852</t>
        </is>
      </c>
      <c r="V442" t="n">
        <v>18</v>
      </c>
      <c r="W442" t="inlineStr">
        <is>
          <t>3%</t>
        </is>
      </c>
      <c r="X442" t="inlineStr">
        <is>
          <t>59 : 41</t>
        </is>
      </c>
      <c r="Y442" t="inlineStr"/>
      <c r="Z442" t="n">
        <v>1201</v>
      </c>
      <c r="AA442" t="n">
        <v>25.5</v>
      </c>
      <c r="AB442" t="inlineStr">
        <is>
          <t>U0441</t>
        </is>
      </c>
      <c r="AC442" t="inlineStr">
        <is>
          <t>UN</t>
        </is>
      </c>
      <c r="AD442" t="n">
        <v>25.5</v>
      </c>
      <c r="AE442" t="n">
        <v>43.2</v>
      </c>
      <c r="AF442" t="n">
        <v>18</v>
      </c>
      <c r="AG442" t="inlineStr">
        <is>
          <t>1:18.0</t>
        </is>
      </c>
      <c r="AH442" t="inlineStr">
        <is>
          <t>3%</t>
        </is>
      </c>
      <c r="AI442" t="inlineStr"/>
      <c r="AJ442" t="n">
        <v>20.98</v>
      </c>
    </row>
    <row r="443">
      <c r="A443" t="inlineStr">
        <is>
          <t>Georgia State University</t>
        </is>
      </c>
      <c r="B443" t="inlineStr">
        <is>
          <t>United States</t>
        </is>
      </c>
      <c r="C443" t="inlineStr">
        <is>
          <t>851-900</t>
        </is>
      </c>
      <c r="D443" t="inlineStr"/>
      <c r="E443" t="n">
        <v>11.3</v>
      </c>
      <c r="F443" t="n">
        <v>14.2</v>
      </c>
      <c r="G443" t="n">
        <v>4.3</v>
      </c>
      <c r="H443" t="n">
        <v>22.4</v>
      </c>
      <c r="I443" t="n">
        <v>4.8</v>
      </c>
      <c r="J443" t="n">
        <v>10.4</v>
      </c>
      <c r="K443" t="n">
        <v>62.3</v>
      </c>
      <c r="L443" t="n">
        <v>18.2</v>
      </c>
      <c r="M443" t="n">
        <v>7.2</v>
      </c>
      <c r="N443" t="inlineStr">
        <is>
          <t>401–500</t>
        </is>
      </c>
      <c r="O443" t="inlineStr">
        <is>
          <t>45.4–49.0</t>
        </is>
      </c>
      <c r="P443" t="n">
        <v>35</v>
      </c>
      <c r="Q443" t="n">
        <v>25.4</v>
      </c>
      <c r="R443" t="n">
        <v>72.59999999999999</v>
      </c>
      <c r="S443" t="n">
        <v>65.2</v>
      </c>
      <c r="T443" t="n">
        <v>57.1</v>
      </c>
      <c r="U443" t="inlineStr">
        <is>
          <t>30,821</t>
        </is>
      </c>
      <c r="V443" t="n">
        <v>15.7</v>
      </c>
      <c r="W443" t="inlineStr">
        <is>
          <t>7%</t>
        </is>
      </c>
      <c r="X443" t="inlineStr">
        <is>
          <t>61 : 39</t>
        </is>
      </c>
      <c r="Y443" t="n">
        <v>851</v>
      </c>
      <c r="Z443" t="n">
        <v>401</v>
      </c>
      <c r="AA443" t="n">
        <v>47.2</v>
      </c>
      <c r="AB443" t="inlineStr">
        <is>
          <t>U0442</t>
        </is>
      </c>
      <c r="AC443" t="inlineStr">
        <is>
          <t>UN</t>
        </is>
      </c>
      <c r="AD443" t="n">
        <v>47.2</v>
      </c>
      <c r="AE443" t="n">
        <v>22.4</v>
      </c>
      <c r="AF443" t="n">
        <v>15.7</v>
      </c>
      <c r="AG443" t="inlineStr">
        <is>
          <t>1:15.7</t>
        </is>
      </c>
      <c r="AH443" t="inlineStr">
        <is>
          <t>7%</t>
        </is>
      </c>
      <c r="AI443" t="n">
        <v>11.3</v>
      </c>
      <c r="AJ443" t="n">
        <v>27.3</v>
      </c>
    </row>
    <row r="444">
      <c r="A444" t="inlineStr">
        <is>
          <t>Georgian Technical University</t>
        </is>
      </c>
      <c r="B444" t="inlineStr">
        <is>
          <t>Georgia</t>
        </is>
      </c>
      <c r="C444" t="inlineStr">
        <is>
          <t>901-950</t>
        </is>
      </c>
      <c r="D444" t="inlineStr"/>
      <c r="E444" t="n">
        <v>7.1</v>
      </c>
      <c r="F444" t="n">
        <v>6.6</v>
      </c>
      <c r="G444" t="n">
        <v>1</v>
      </c>
      <c r="H444" t="n">
        <v>46.9</v>
      </c>
      <c r="I444" t="inlineStr"/>
      <c r="J444" t="inlineStr"/>
      <c r="K444" t="n">
        <v>5.4</v>
      </c>
      <c r="L444" t="n">
        <v>25.9</v>
      </c>
      <c r="M444" t="n">
        <v>1</v>
      </c>
      <c r="N444" t="inlineStr">
        <is>
          <t>1501+</t>
        </is>
      </c>
      <c r="O444" t="inlineStr">
        <is>
          <t>9.7–22.7</t>
        </is>
      </c>
      <c r="P444" t="n">
        <v>32.4</v>
      </c>
      <c r="Q444" t="n">
        <v>9.300000000000001</v>
      </c>
      <c r="R444" t="n">
        <v>22.2</v>
      </c>
      <c r="S444" t="n">
        <v>16.1</v>
      </c>
      <c r="T444" t="n">
        <v>40.8</v>
      </c>
      <c r="U444" t="inlineStr">
        <is>
          <t>19,873</t>
        </is>
      </c>
      <c r="V444" t="n">
        <v>15</v>
      </c>
      <c r="W444" t="inlineStr">
        <is>
          <t>2%</t>
        </is>
      </c>
      <c r="X444" t="inlineStr">
        <is>
          <t>1 : 99</t>
        </is>
      </c>
      <c r="Y444" t="n">
        <v>901</v>
      </c>
      <c r="Z444" t="n">
        <v>1501</v>
      </c>
      <c r="AA444" t="n">
        <v>16.2</v>
      </c>
      <c r="AB444" t="inlineStr">
        <is>
          <t>U0443</t>
        </is>
      </c>
      <c r="AC444" t="inlineStr">
        <is>
          <t>GE</t>
        </is>
      </c>
      <c r="AD444" t="n">
        <v>16.2</v>
      </c>
      <c r="AE444" t="n">
        <v>46.9</v>
      </c>
      <c r="AF444" t="n">
        <v>15</v>
      </c>
      <c r="AG444" t="inlineStr">
        <is>
          <t>1:15.0</t>
        </is>
      </c>
      <c r="AH444" t="inlineStr">
        <is>
          <t>2%</t>
        </is>
      </c>
      <c r="AI444" t="n">
        <v>7.1</v>
      </c>
      <c r="AJ444" t="n">
        <v>22.35</v>
      </c>
    </row>
    <row r="445">
      <c r="A445" t="inlineStr">
        <is>
          <t>German Jordanian University</t>
        </is>
      </c>
      <c r="B445" t="inlineStr">
        <is>
          <t>Jordan</t>
        </is>
      </c>
      <c r="C445" t="inlineStr">
        <is>
          <t>901-950</t>
        </is>
      </c>
      <c r="D445" t="inlineStr"/>
      <c r="E445" t="n">
        <v>8.6</v>
      </c>
      <c r="F445" t="n">
        <v>15.1</v>
      </c>
      <c r="G445" t="n">
        <v>21.4</v>
      </c>
      <c r="H445" t="n">
        <v>5.6</v>
      </c>
      <c r="I445" t="n">
        <v>65.3</v>
      </c>
      <c r="J445" t="n">
        <v>16.3</v>
      </c>
      <c r="K445" t="n">
        <v>17.8</v>
      </c>
      <c r="L445" t="n">
        <v>8.5</v>
      </c>
      <c r="M445" t="n">
        <v>1.5</v>
      </c>
      <c r="N445" t="inlineStr">
        <is>
          <t>1201–1500</t>
        </is>
      </c>
      <c r="O445" t="inlineStr">
        <is>
          <t>22.8–28.2</t>
        </is>
      </c>
      <c r="P445" t="n">
        <v>17.8</v>
      </c>
      <c r="Q445" t="n">
        <v>11.4</v>
      </c>
      <c r="R445" t="n">
        <v>40.6</v>
      </c>
      <c r="S445" t="n">
        <v>19.5</v>
      </c>
      <c r="T445" t="n">
        <v>69.09999999999999</v>
      </c>
      <c r="U445" t="inlineStr">
        <is>
          <t>4,255</t>
        </is>
      </c>
      <c r="V445" t="n">
        <v>12.8</v>
      </c>
      <c r="W445" t="inlineStr">
        <is>
          <t>11%</t>
        </is>
      </c>
      <c r="X445" t="inlineStr">
        <is>
          <t>38 : 62</t>
        </is>
      </c>
      <c r="Y445" t="n">
        <v>901</v>
      </c>
      <c r="Z445" t="n">
        <v>1201</v>
      </c>
      <c r="AA445" t="n">
        <v>25.5</v>
      </c>
      <c r="AB445" t="inlineStr">
        <is>
          <t>U0444</t>
        </is>
      </c>
      <c r="AC445" t="inlineStr">
        <is>
          <t>JO</t>
        </is>
      </c>
      <c r="AD445" t="n">
        <v>25.5</v>
      </c>
      <c r="AE445" t="n">
        <v>5.6</v>
      </c>
      <c r="AF445" t="n">
        <v>12.8</v>
      </c>
      <c r="AG445" t="inlineStr">
        <is>
          <t>1:12.8</t>
        </is>
      </c>
      <c r="AH445" t="inlineStr">
        <is>
          <t>11%</t>
        </is>
      </c>
      <c r="AI445" t="n">
        <v>8.6</v>
      </c>
      <c r="AJ445" t="n">
        <v>17.78</v>
      </c>
    </row>
    <row r="446">
      <c r="A446" t="inlineStr">
        <is>
          <t>German University in Cairo</t>
        </is>
      </c>
      <c r="B446" t="inlineStr">
        <is>
          <t>Egypt</t>
        </is>
      </c>
      <c r="C446" t="inlineStr">
        <is>
          <t>1201-1400</t>
        </is>
      </c>
      <c r="D446" t="inlineStr"/>
      <c r="E446" t="n">
        <v>8.300000000000001</v>
      </c>
      <c r="F446" t="n">
        <v>15.2</v>
      </c>
      <c r="G446" t="n">
        <v>7</v>
      </c>
      <c r="H446" t="n">
        <v>2.2</v>
      </c>
      <c r="I446" t="n">
        <v>13.4</v>
      </c>
      <c r="J446" t="n">
        <v>1.1</v>
      </c>
      <c r="K446" t="n">
        <v>12.8</v>
      </c>
      <c r="L446" t="n">
        <v>4.4</v>
      </c>
      <c r="M446" t="n">
        <v>1</v>
      </c>
      <c r="N446" t="inlineStr">
        <is>
          <t>1501+</t>
        </is>
      </c>
      <c r="O446" t="inlineStr">
        <is>
          <t>9.7–22.7</t>
        </is>
      </c>
      <c r="P446" t="n">
        <v>18.6</v>
      </c>
      <c r="Q446" t="n">
        <v>8.699999999999999</v>
      </c>
      <c r="R446" t="n">
        <v>34</v>
      </c>
      <c r="S446" t="n">
        <v>16.8</v>
      </c>
      <c r="T446" t="n">
        <v>48.6</v>
      </c>
      <c r="U446" t="inlineStr">
        <is>
          <t>12,332</t>
        </is>
      </c>
      <c r="V446" t="n">
        <v>12.8</v>
      </c>
      <c r="W446" t="inlineStr">
        <is>
          <t>2%</t>
        </is>
      </c>
      <c r="X446" t="inlineStr">
        <is>
          <t>43 : 57</t>
        </is>
      </c>
      <c r="Y446" t="n">
        <v>1201</v>
      </c>
      <c r="Z446" t="n">
        <v>1501</v>
      </c>
      <c r="AA446" t="n">
        <v>16.2</v>
      </c>
      <c r="AB446" t="inlineStr">
        <is>
          <t>U0445</t>
        </is>
      </c>
      <c r="AC446" t="inlineStr">
        <is>
          <t>EG</t>
        </is>
      </c>
      <c r="AD446" t="n">
        <v>16.2</v>
      </c>
      <c r="AE446" t="n">
        <v>2.2</v>
      </c>
      <c r="AF446" t="n">
        <v>12.8</v>
      </c>
      <c r="AG446" t="inlineStr">
        <is>
          <t>1:12.8</t>
        </is>
      </c>
      <c r="AH446" t="inlineStr">
        <is>
          <t>2%</t>
        </is>
      </c>
      <c r="AI446" t="n">
        <v>8.300000000000001</v>
      </c>
      <c r="AJ446" t="n">
        <v>10.37</v>
      </c>
    </row>
    <row r="447">
      <c r="A447" t="inlineStr">
        <is>
          <t>Ghent University</t>
        </is>
      </c>
      <c r="B447" t="inlineStr">
        <is>
          <t>Belgium</t>
        </is>
      </c>
      <c r="C447" t="inlineStr">
        <is>
          <t>169</t>
        </is>
      </c>
      <c r="D447" t="n">
        <v>50.1</v>
      </c>
      <c r="E447" t="n">
        <v>53.2</v>
      </c>
      <c r="F447" t="n">
        <v>24.8</v>
      </c>
      <c r="G447" t="n">
        <v>78.5</v>
      </c>
      <c r="H447" t="n">
        <v>21.5</v>
      </c>
      <c r="I447" t="n">
        <v>79.7</v>
      </c>
      <c r="J447" t="n">
        <v>21.4</v>
      </c>
      <c r="K447" t="n">
        <v>99.5</v>
      </c>
      <c r="L447" t="n">
        <v>72.90000000000001</v>
      </c>
      <c r="M447" t="n">
        <v>98.3</v>
      </c>
      <c r="N447" t="inlineStr">
        <is>
          <t>115</t>
        </is>
      </c>
      <c r="O447" t="inlineStr">
        <is>
          <t>65.6</t>
        </is>
      </c>
      <c r="P447" t="n">
        <v>47.2</v>
      </c>
      <c r="Q447" t="n">
        <v>59.3</v>
      </c>
      <c r="R447" t="n">
        <v>85.3</v>
      </c>
      <c r="S447" t="n">
        <v>99.7</v>
      </c>
      <c r="T447" t="n">
        <v>65.7</v>
      </c>
      <c r="U447" t="inlineStr">
        <is>
          <t>41,487</t>
        </is>
      </c>
      <c r="V447" t="n">
        <v>37.6</v>
      </c>
      <c r="W447" t="inlineStr">
        <is>
          <t>12%</t>
        </is>
      </c>
      <c r="X447" t="inlineStr">
        <is>
          <t>57 : 43</t>
        </is>
      </c>
      <c r="Y447" t="n">
        <v>169</v>
      </c>
      <c r="Z447" t="n">
        <v>115</v>
      </c>
      <c r="AA447" t="n">
        <v>65.59999999999999</v>
      </c>
      <c r="AB447" t="inlineStr">
        <is>
          <t>U0446</t>
        </is>
      </c>
      <c r="AC447" t="inlineStr">
        <is>
          <t>BE</t>
        </is>
      </c>
      <c r="AD447" t="n">
        <v>50.1</v>
      </c>
      <c r="AE447" t="n">
        <v>21.5</v>
      </c>
      <c r="AF447" t="n">
        <v>37.6</v>
      </c>
      <c r="AG447" t="inlineStr">
        <is>
          <t>1:37.6</t>
        </is>
      </c>
      <c r="AH447" t="inlineStr">
        <is>
          <t>12%</t>
        </is>
      </c>
      <c r="AI447" t="n">
        <v>53.2</v>
      </c>
      <c r="AJ447" t="n">
        <v>46.88</v>
      </c>
    </row>
    <row r="448">
      <c r="A448" t="inlineStr">
        <is>
          <t>Gheorghe Asachi Technical University of Iaşi</t>
        </is>
      </c>
      <c r="B448" t="inlineStr">
        <is>
          <t>Romania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1501+</t>
        </is>
      </c>
      <c r="O448" t="inlineStr">
        <is>
          <t>9.7–22.7</t>
        </is>
      </c>
      <c r="P448" t="n">
        <v>15.9</v>
      </c>
      <c r="Q448" t="n">
        <v>9.6</v>
      </c>
      <c r="R448" t="n">
        <v>23.2</v>
      </c>
      <c r="S448" t="n">
        <v>26.2</v>
      </c>
      <c r="T448" t="n">
        <v>32.1</v>
      </c>
      <c r="U448" t="inlineStr">
        <is>
          <t>13,357</t>
        </is>
      </c>
      <c r="V448" t="n">
        <v>20.8</v>
      </c>
      <c r="W448" t="inlineStr">
        <is>
          <t>9%</t>
        </is>
      </c>
      <c r="X448" t="inlineStr">
        <is>
          <t>29 : 71</t>
        </is>
      </c>
      <c r="Y448" t="inlineStr"/>
      <c r="Z448" t="n">
        <v>1501</v>
      </c>
      <c r="AA448" t="n">
        <v>16.2</v>
      </c>
      <c r="AB448" t="inlineStr">
        <is>
          <t>U0447</t>
        </is>
      </c>
      <c r="AC448" t="inlineStr">
        <is>
          <t>RO</t>
        </is>
      </c>
      <c r="AD448" t="n">
        <v>16.2</v>
      </c>
      <c r="AE448" t="n">
        <v>23.2</v>
      </c>
      <c r="AF448" t="n">
        <v>20.8</v>
      </c>
      <c r="AG448" t="inlineStr">
        <is>
          <t>1:20.8</t>
        </is>
      </c>
      <c r="AH448" t="inlineStr">
        <is>
          <t>9%</t>
        </is>
      </c>
      <c r="AI448" t="inlineStr"/>
      <c r="AJ448" t="n">
        <v>13.22</v>
      </c>
    </row>
    <row r="449">
      <c r="A449" t="inlineStr">
        <is>
          <t>The "Gheorghe Asachi" Technical University of Iasi</t>
        </is>
      </c>
      <c r="B449" t="inlineStr">
        <is>
          <t>Romania</t>
        </is>
      </c>
      <c r="C449" t="inlineStr">
        <is>
          <t>1201-1400</t>
        </is>
      </c>
      <c r="D449" t="inlineStr"/>
      <c r="E449" t="n">
        <v>5.3</v>
      </c>
      <c r="F449" t="n">
        <v>9.699999999999999</v>
      </c>
      <c r="G449" t="n">
        <v>2.4</v>
      </c>
      <c r="H449" t="n">
        <v>6</v>
      </c>
      <c r="I449" t="inlineStr"/>
      <c r="J449" t="n">
        <v>4.6</v>
      </c>
      <c r="K449" t="n">
        <v>34.1</v>
      </c>
      <c r="L449" t="n">
        <v>4</v>
      </c>
      <c r="M449" t="n">
        <v>1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1201</v>
      </c>
      <c r="Z449" t="inlineStr"/>
      <c r="AA449" t="inlineStr"/>
      <c r="AB449" t="inlineStr">
        <is>
          <t>U0448</t>
        </is>
      </c>
      <c r="AC449" t="inlineStr">
        <is>
          <t>RO</t>
        </is>
      </c>
      <c r="AD449" t="inlineStr"/>
      <c r="AE449" t="n">
        <v>6</v>
      </c>
      <c r="AF449" t="inlineStr"/>
      <c r="AG449" t="inlineStr"/>
      <c r="AH449" t="inlineStr"/>
      <c r="AI449" t="n">
        <v>5.3</v>
      </c>
      <c r="AJ449" t="n">
        <v>15.21</v>
      </c>
    </row>
    <row r="450">
      <c r="A450" t="inlineStr">
        <is>
          <t>Gifu University</t>
        </is>
      </c>
      <c r="B450" t="inlineStr">
        <is>
          <t>Japan</t>
        </is>
      </c>
      <c r="C450" t="inlineStr">
        <is>
          <t>1001-1200</t>
        </is>
      </c>
      <c r="D450" t="inlineStr"/>
      <c r="E450" t="n">
        <v>6.6</v>
      </c>
      <c r="F450" t="n">
        <v>2.3</v>
      </c>
      <c r="G450" t="n">
        <v>57.9</v>
      </c>
      <c r="H450" t="n">
        <v>7.6</v>
      </c>
      <c r="I450" t="n">
        <v>4.3</v>
      </c>
      <c r="J450" t="n">
        <v>3.3</v>
      </c>
      <c r="K450" t="n">
        <v>20.6</v>
      </c>
      <c r="L450" t="n">
        <v>1.8</v>
      </c>
      <c r="M450" t="n">
        <v>3.1</v>
      </c>
      <c r="N450" t="inlineStr">
        <is>
          <t>1001–1200</t>
        </is>
      </c>
      <c r="O450" t="inlineStr">
        <is>
          <t>28.3–32.6</t>
        </is>
      </c>
      <c r="P450" t="n">
        <v>30.6</v>
      </c>
      <c r="Q450" t="n">
        <v>23.2</v>
      </c>
      <c r="R450" t="n">
        <v>29.5</v>
      </c>
      <c r="S450" t="n">
        <v>65.90000000000001</v>
      </c>
      <c r="T450" t="n">
        <v>29.5</v>
      </c>
      <c r="U450" t="inlineStr">
        <is>
          <t>7,134</t>
        </is>
      </c>
      <c r="V450" t="n">
        <v>14.6</v>
      </c>
      <c r="W450" t="inlineStr">
        <is>
          <t>4%</t>
        </is>
      </c>
      <c r="X450" t="inlineStr">
        <is>
          <t>38 : 62</t>
        </is>
      </c>
      <c r="Y450" t="n">
        <v>1001</v>
      </c>
      <c r="Z450" t="n">
        <v>1001</v>
      </c>
      <c r="AA450" t="n">
        <v>30.45</v>
      </c>
      <c r="AB450" t="inlineStr">
        <is>
          <t>U0449</t>
        </is>
      </c>
      <c r="AC450" t="inlineStr">
        <is>
          <t>JA</t>
        </is>
      </c>
      <c r="AD450" t="n">
        <v>30.45</v>
      </c>
      <c r="AE450" t="n">
        <v>7.6</v>
      </c>
      <c r="AF450" t="n">
        <v>14.6</v>
      </c>
      <c r="AG450" t="inlineStr">
        <is>
          <t>1:14.6</t>
        </is>
      </c>
      <c r="AH450" t="inlineStr">
        <is>
          <t>4%</t>
        </is>
      </c>
      <c r="AI450" t="n">
        <v>6.6</v>
      </c>
      <c r="AJ450" t="n">
        <v>14.99</v>
      </c>
    </row>
    <row r="451">
      <c r="A451" t="inlineStr">
        <is>
          <t>GITAM University</t>
        </is>
      </c>
      <c r="B451" t="inlineStr">
        <is>
          <t>India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1501+</t>
        </is>
      </c>
      <c r="O451" t="inlineStr">
        <is>
          <t>9.7–22.7</t>
        </is>
      </c>
      <c r="P451" t="n">
        <v>19.6</v>
      </c>
      <c r="Q451" t="n">
        <v>9.300000000000001</v>
      </c>
      <c r="R451" t="n">
        <v>20.8</v>
      </c>
      <c r="S451" t="n">
        <v>19</v>
      </c>
      <c r="T451" t="n">
        <v>25.2</v>
      </c>
      <c r="U451" t="inlineStr">
        <is>
          <t>23,730</t>
        </is>
      </c>
      <c r="V451" t="n">
        <v>13.9</v>
      </c>
      <c r="W451" t="inlineStr">
        <is>
          <t>1%</t>
        </is>
      </c>
      <c r="X451" t="inlineStr">
        <is>
          <t>37 : 63</t>
        </is>
      </c>
      <c r="Y451" t="inlineStr"/>
      <c r="Z451" t="n">
        <v>1501</v>
      </c>
      <c r="AA451" t="n">
        <v>16.2</v>
      </c>
      <c r="AB451" t="inlineStr">
        <is>
          <t>U0450</t>
        </is>
      </c>
      <c r="AC451" t="inlineStr">
        <is>
          <t>IN</t>
        </is>
      </c>
      <c r="AD451" t="n">
        <v>16.2</v>
      </c>
      <c r="AE451" t="n">
        <v>20.8</v>
      </c>
      <c r="AF451" t="n">
        <v>13.9</v>
      </c>
      <c r="AG451" t="inlineStr">
        <is>
          <t>1:13.9</t>
        </is>
      </c>
      <c r="AH451" t="inlineStr">
        <is>
          <t>1%</t>
        </is>
      </c>
      <c r="AI451" t="inlineStr"/>
      <c r="AJ451" t="n">
        <v>10.66</v>
      </c>
    </row>
    <row r="452">
      <c r="A452" t="inlineStr">
        <is>
          <t>GLA University</t>
        </is>
      </c>
      <c r="B452" t="inlineStr">
        <is>
          <t>India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>
        <is>
          <t>1001–1200</t>
        </is>
      </c>
      <c r="O452" t="inlineStr">
        <is>
          <t>28.3–32.6</t>
        </is>
      </c>
      <c r="P452" t="n">
        <v>16.8</v>
      </c>
      <c r="Q452" t="n">
        <v>10.6</v>
      </c>
      <c r="R452" t="n">
        <v>63.9</v>
      </c>
      <c r="S452" t="n">
        <v>16</v>
      </c>
      <c r="T452" t="n">
        <v>20.9</v>
      </c>
      <c r="U452" t="inlineStr">
        <is>
          <t>10,719</t>
        </is>
      </c>
      <c r="V452" t="n">
        <v>16.8</v>
      </c>
      <c r="W452" t="inlineStr">
        <is>
          <t>0%</t>
        </is>
      </c>
      <c r="X452" t="inlineStr">
        <is>
          <t>29 : 71</t>
        </is>
      </c>
      <c r="Y452" t="inlineStr"/>
      <c r="Z452" t="n">
        <v>1001</v>
      </c>
      <c r="AA452" t="n">
        <v>30.45</v>
      </c>
      <c r="AB452" t="inlineStr">
        <is>
          <t>U0451</t>
        </is>
      </c>
      <c r="AC452" t="inlineStr">
        <is>
          <t>IN</t>
        </is>
      </c>
      <c r="AD452" t="n">
        <v>30.45</v>
      </c>
      <c r="AE452" t="n">
        <v>63.9</v>
      </c>
      <c r="AF452" t="n">
        <v>16.8</v>
      </c>
      <c r="AG452" t="inlineStr">
        <is>
          <t>1:16.8</t>
        </is>
      </c>
      <c r="AH452" t="inlineStr">
        <is>
          <t>0%</t>
        </is>
      </c>
      <c r="AI452" t="inlineStr"/>
      <c r="AJ452" t="n">
        <v>23.37</v>
      </c>
    </row>
    <row r="453">
      <c r="A453" t="inlineStr">
        <is>
          <t>Glasgow Caledonian University</t>
        </is>
      </c>
      <c r="B453" t="inlineStr">
        <is>
          <t>United Kingdom</t>
        </is>
      </c>
      <c r="C453" t="inlineStr">
        <is>
          <t>1001-1200</t>
        </is>
      </c>
      <c r="D453" t="inlineStr"/>
      <c r="E453" t="n">
        <v>5.2</v>
      </c>
      <c r="F453" t="n">
        <v>5.4</v>
      </c>
      <c r="G453" t="n">
        <v>4.3</v>
      </c>
      <c r="H453" t="n">
        <v>6.3</v>
      </c>
      <c r="I453" t="n">
        <v>30.1</v>
      </c>
      <c r="J453" t="n">
        <v>34.9</v>
      </c>
      <c r="K453" t="n">
        <v>37.2</v>
      </c>
      <c r="L453" t="n">
        <v>6.8</v>
      </c>
      <c r="M453" t="n">
        <v>23.5</v>
      </c>
      <c r="N453" t="inlineStr">
        <is>
          <t>601–800</t>
        </is>
      </c>
      <c r="O453" t="inlineStr">
        <is>
          <t>37.0–41.8</t>
        </is>
      </c>
      <c r="P453" t="n">
        <v>20.7</v>
      </c>
      <c r="Q453" t="n">
        <v>13.9</v>
      </c>
      <c r="R453" t="n">
        <v>66.7</v>
      </c>
      <c r="S453" t="n">
        <v>46.1</v>
      </c>
      <c r="T453" t="n">
        <v>75.59999999999999</v>
      </c>
      <c r="U453" t="inlineStr">
        <is>
          <t>14,840</t>
        </is>
      </c>
      <c r="V453" t="n">
        <v>24.1</v>
      </c>
      <c r="W453" t="inlineStr">
        <is>
          <t>18%</t>
        </is>
      </c>
      <c r="X453" t="inlineStr">
        <is>
          <t>58 : 42</t>
        </is>
      </c>
      <c r="Y453" t="n">
        <v>1001</v>
      </c>
      <c r="Z453" t="n">
        <v>601</v>
      </c>
      <c r="AA453" t="n">
        <v>39.4</v>
      </c>
      <c r="AB453" t="inlineStr">
        <is>
          <t>U0452</t>
        </is>
      </c>
      <c r="AC453" t="inlineStr">
        <is>
          <t>UN</t>
        </is>
      </c>
      <c r="AD453" t="n">
        <v>39.4</v>
      </c>
      <c r="AE453" t="n">
        <v>6.3</v>
      </c>
      <c r="AF453" t="n">
        <v>24.1</v>
      </c>
      <c r="AG453" t="inlineStr">
        <is>
          <t>1:24.1</t>
        </is>
      </c>
      <c r="AH453" t="inlineStr">
        <is>
          <t>18%</t>
        </is>
      </c>
      <c r="AI453" t="n">
        <v>5.2</v>
      </c>
      <c r="AJ453" t="n">
        <v>20.87</v>
      </c>
    </row>
    <row r="454">
      <c r="A454" t="inlineStr">
        <is>
          <t>Goa University</t>
        </is>
      </c>
      <c r="B454" t="inlineStr">
        <is>
          <t>India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1501+</t>
        </is>
      </c>
      <c r="O454" t="inlineStr">
        <is>
          <t>9.7–22.7</t>
        </is>
      </c>
      <c r="P454" t="n">
        <v>32.1</v>
      </c>
      <c r="Q454" t="n">
        <v>12.4</v>
      </c>
      <c r="R454" t="n">
        <v>23</v>
      </c>
      <c r="S454" t="n">
        <v>18.6</v>
      </c>
      <c r="T454" t="n">
        <v>24.1</v>
      </c>
      <c r="U454" t="inlineStr">
        <is>
          <t>2,820</t>
        </is>
      </c>
      <c r="V454" t="n">
        <v>11.8</v>
      </c>
      <c r="W454" t="inlineStr">
        <is>
          <t>3%</t>
        </is>
      </c>
      <c r="X454" t="inlineStr">
        <is>
          <t>65 : 35</t>
        </is>
      </c>
      <c r="Y454" t="inlineStr"/>
      <c r="Z454" t="n">
        <v>1501</v>
      </c>
      <c r="AA454" t="n">
        <v>16.2</v>
      </c>
      <c r="AB454" t="inlineStr">
        <is>
          <t>U0453</t>
        </is>
      </c>
      <c r="AC454" t="inlineStr">
        <is>
          <t>IN</t>
        </is>
      </c>
      <c r="AD454" t="n">
        <v>16.2</v>
      </c>
      <c r="AE454" t="n">
        <v>23</v>
      </c>
      <c r="AF454" t="n">
        <v>11.8</v>
      </c>
      <c r="AG454" t="inlineStr">
        <is>
          <t>1:11.8</t>
        </is>
      </c>
      <c r="AH454" t="inlineStr">
        <is>
          <t>3%</t>
        </is>
      </c>
      <c r="AI454" t="inlineStr"/>
      <c r="AJ454" t="n">
        <v>12.69</v>
      </c>
    </row>
    <row r="455">
      <c r="A455" t="inlineStr">
        <is>
          <t>Goethe University Frankfurt</t>
        </is>
      </c>
      <c r="B455" t="inlineStr">
        <is>
          <t>Germany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201–250</t>
        </is>
      </c>
      <c r="O455" t="inlineStr">
        <is>
          <t>55.9–58.6</t>
        </is>
      </c>
      <c r="P455" t="n">
        <v>40.2</v>
      </c>
      <c r="Q455" t="n">
        <v>38.2</v>
      </c>
      <c r="R455" t="n">
        <v>82.40000000000001</v>
      </c>
      <c r="S455" t="n">
        <v>74.59999999999999</v>
      </c>
      <c r="T455" t="n">
        <v>70.8</v>
      </c>
      <c r="U455" t="inlineStr">
        <is>
          <t>28,572</t>
        </is>
      </c>
      <c r="V455" t="n">
        <v>14.5</v>
      </c>
      <c r="W455" t="inlineStr">
        <is>
          <t>14%</t>
        </is>
      </c>
      <c r="X455" t="inlineStr">
        <is>
          <t>59 : 41</t>
        </is>
      </c>
      <c r="Y455" t="inlineStr"/>
      <c r="Z455" t="n">
        <v>201</v>
      </c>
      <c r="AA455" t="n">
        <v>57.25</v>
      </c>
      <c r="AB455" t="inlineStr">
        <is>
          <t>U0454</t>
        </is>
      </c>
      <c r="AC455" t="inlineStr">
        <is>
          <t>GE</t>
        </is>
      </c>
      <c r="AD455" t="n">
        <v>57.25</v>
      </c>
      <c r="AE455" t="n">
        <v>82.40000000000001</v>
      </c>
      <c r="AF455" t="n">
        <v>14.5</v>
      </c>
      <c r="AG455" t="inlineStr">
        <is>
          <t>1:14.5</t>
        </is>
      </c>
      <c r="AH455" t="inlineStr">
        <is>
          <t>14%</t>
        </is>
      </c>
      <c r="AI455" t="inlineStr"/>
      <c r="AJ455" t="n">
        <v>55.51</v>
      </c>
    </row>
    <row r="456">
      <c r="A456" t="inlineStr">
        <is>
          <t>Goethe-University Frankfurt am Main</t>
        </is>
      </c>
      <c r="B456" t="inlineStr">
        <is>
          <t>Germany</t>
        </is>
      </c>
      <c r="C456" t="inlineStr">
        <is>
          <t>309</t>
        </is>
      </c>
      <c r="D456" t="n">
        <v>35.2</v>
      </c>
      <c r="E456" t="n">
        <v>43.2</v>
      </c>
      <c r="F456" t="n">
        <v>33.2</v>
      </c>
      <c r="G456" t="n">
        <v>24.4</v>
      </c>
      <c r="H456" t="n">
        <v>15.9</v>
      </c>
      <c r="I456" t="n">
        <v>37.4</v>
      </c>
      <c r="J456" t="n">
        <v>24.1</v>
      </c>
      <c r="K456" t="n">
        <v>90.40000000000001</v>
      </c>
      <c r="L456" t="n">
        <v>20.2</v>
      </c>
      <c r="M456" t="n">
        <v>75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309</v>
      </c>
      <c r="Z456" t="inlineStr"/>
      <c r="AA456" t="inlineStr"/>
      <c r="AB456" t="inlineStr">
        <is>
          <t>U0455</t>
        </is>
      </c>
      <c r="AC456" t="inlineStr">
        <is>
          <t>GE</t>
        </is>
      </c>
      <c r="AD456" t="n">
        <v>35.2</v>
      </c>
      <c r="AE456" t="n">
        <v>15.9</v>
      </c>
      <c r="AF456" t="inlineStr"/>
      <c r="AG456" t="inlineStr"/>
      <c r="AH456" t="inlineStr"/>
      <c r="AI456" t="n">
        <v>43.2</v>
      </c>
      <c r="AJ456" t="n">
        <v>18.21</v>
      </c>
    </row>
    <row r="457">
      <c r="A457" t="inlineStr">
        <is>
          <t>Goldsmiths, University of London</t>
        </is>
      </c>
      <c r="B457" t="inlineStr">
        <is>
          <t>United Kingdom</t>
        </is>
      </c>
      <c r="C457" t="inlineStr">
        <is>
          <t>681-690</t>
        </is>
      </c>
      <c r="D457" t="inlineStr"/>
      <c r="E457" t="n">
        <v>13.1</v>
      </c>
      <c r="F457" t="n">
        <v>5.1</v>
      </c>
      <c r="G457" t="n">
        <v>12.8</v>
      </c>
      <c r="H457" t="n">
        <v>12</v>
      </c>
      <c r="I457" t="n">
        <v>92</v>
      </c>
      <c r="J457" t="n">
        <v>91.5</v>
      </c>
      <c r="K457" t="n">
        <v>25.1</v>
      </c>
      <c r="L457" t="n">
        <v>14.4</v>
      </c>
      <c r="M457" t="n">
        <v>3.1</v>
      </c>
      <c r="N457" t="inlineStr">
        <is>
          <t>401–500</t>
        </is>
      </c>
      <c r="O457" t="inlineStr">
        <is>
          <t>45.4–49.0</t>
        </is>
      </c>
      <c r="P457" t="n">
        <v>29.2</v>
      </c>
      <c r="Q457" t="n">
        <v>25.2</v>
      </c>
      <c r="R457" t="n">
        <v>75.40000000000001</v>
      </c>
      <c r="S457" t="n">
        <v>28.9</v>
      </c>
      <c r="T457" t="n">
        <v>81</v>
      </c>
      <c r="U457" t="inlineStr">
        <is>
          <t>8,780</t>
        </is>
      </c>
      <c r="V457" t="n">
        <v>14.5</v>
      </c>
      <c r="W457" t="inlineStr">
        <is>
          <t>38%</t>
        </is>
      </c>
      <c r="X457" t="inlineStr">
        <is>
          <t>66 : 34</t>
        </is>
      </c>
      <c r="Y457" t="n">
        <v>681</v>
      </c>
      <c r="Z457" t="n">
        <v>401</v>
      </c>
      <c r="AA457" t="n">
        <v>47.2</v>
      </c>
      <c r="AB457" t="inlineStr">
        <is>
          <t>U0456</t>
        </is>
      </c>
      <c r="AC457" t="inlineStr">
        <is>
          <t>UN</t>
        </is>
      </c>
      <c r="AD457" t="n">
        <v>47.2</v>
      </c>
      <c r="AE457" t="n">
        <v>12</v>
      </c>
      <c r="AF457" t="n">
        <v>14.5</v>
      </c>
      <c r="AG457" t="inlineStr">
        <is>
          <t>1:14.5</t>
        </is>
      </c>
      <c r="AH457" t="inlineStr">
        <is>
          <t>38%</t>
        </is>
      </c>
      <c r="AI457" t="n">
        <v>13.1</v>
      </c>
      <c r="AJ457" t="n">
        <v>29.83</v>
      </c>
    </row>
    <row r="458">
      <c r="A458" t="inlineStr">
        <is>
          <t>Gorgan University of Agricultural Sciences and Natural Resources</t>
        </is>
      </c>
      <c r="B458" t="inlineStr">
        <is>
          <t>Iran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801–1000</t>
        </is>
      </c>
      <c r="O458" t="inlineStr">
        <is>
          <t>32.7–36.9</t>
        </is>
      </c>
      <c r="P458" t="n">
        <v>15.8</v>
      </c>
      <c r="Q458" t="n">
        <v>11.3</v>
      </c>
      <c r="R458" t="n">
        <v>78</v>
      </c>
      <c r="S458" t="n">
        <v>34.2</v>
      </c>
      <c r="T458" t="n">
        <v>35.7</v>
      </c>
      <c r="U458" t="inlineStr">
        <is>
          <t>3,980</t>
        </is>
      </c>
      <c r="V458" t="n">
        <v>21.5</v>
      </c>
      <c r="W458" t="inlineStr">
        <is>
          <t>1%</t>
        </is>
      </c>
      <c r="X458" t="inlineStr">
        <is>
          <t>50 : 50</t>
        </is>
      </c>
      <c r="Y458" t="inlineStr"/>
      <c r="Z458" t="n">
        <v>801</v>
      </c>
      <c r="AA458" t="n">
        <v>34.8</v>
      </c>
      <c r="AB458" t="inlineStr">
        <is>
          <t>U0457</t>
        </is>
      </c>
      <c r="AC458" t="inlineStr">
        <is>
          <t>IR</t>
        </is>
      </c>
      <c r="AD458" t="n">
        <v>34.8</v>
      </c>
      <c r="AE458" t="n">
        <v>78</v>
      </c>
      <c r="AF458" t="n">
        <v>21.5</v>
      </c>
      <c r="AG458" t="inlineStr">
        <is>
          <t>1:21.5</t>
        </is>
      </c>
      <c r="AH458" t="inlineStr">
        <is>
          <t>1%</t>
        </is>
      </c>
      <c r="AI458" t="inlineStr"/>
      <c r="AJ458" t="n">
        <v>31.58</v>
      </c>
    </row>
    <row r="459">
      <c r="A459" t="inlineStr">
        <is>
          <t>Government College University Faisalabad</t>
        </is>
      </c>
      <c r="B459" t="inlineStr">
        <is>
          <t>Pakistan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601–800</t>
        </is>
      </c>
      <c r="O459" t="inlineStr">
        <is>
          <t>37.0–41.8</t>
        </is>
      </c>
      <c r="P459" t="n">
        <v>20.8</v>
      </c>
      <c r="Q459" t="n">
        <v>15</v>
      </c>
      <c r="R459" t="n">
        <v>83.40000000000001</v>
      </c>
      <c r="S459" t="n">
        <v>32.7</v>
      </c>
      <c r="T459" t="n">
        <v>48.2</v>
      </c>
      <c r="U459" t="inlineStr">
        <is>
          <t>21,518</t>
        </is>
      </c>
      <c r="V459" t="n">
        <v>26.5</v>
      </c>
      <c r="W459" t="inlineStr">
        <is>
          <t>0%</t>
        </is>
      </c>
      <c r="X459" t="inlineStr">
        <is>
          <t>53 : 47</t>
        </is>
      </c>
      <c r="Y459" t="inlineStr"/>
      <c r="Z459" t="n">
        <v>601</v>
      </c>
      <c r="AA459" t="n">
        <v>39.4</v>
      </c>
      <c r="AB459" t="inlineStr">
        <is>
          <t>U0458</t>
        </is>
      </c>
      <c r="AC459" t="inlineStr">
        <is>
          <t>PA</t>
        </is>
      </c>
      <c r="AD459" t="n">
        <v>39.4</v>
      </c>
      <c r="AE459" t="n">
        <v>83.40000000000001</v>
      </c>
      <c r="AF459" t="n">
        <v>26.5</v>
      </c>
      <c r="AG459" t="inlineStr">
        <is>
          <t>1:26.5</t>
        </is>
      </c>
      <c r="AH459" t="inlineStr">
        <is>
          <t>0%</t>
        </is>
      </c>
      <c r="AI459" t="inlineStr"/>
      <c r="AJ459" t="n">
        <v>38.18</v>
      </c>
    </row>
    <row r="460">
      <c r="A460" t="inlineStr">
        <is>
          <t>Government College University Lahore</t>
        </is>
      </c>
      <c r="B460" t="inlineStr">
        <is>
          <t>Pakistan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1201–1500</t>
        </is>
      </c>
      <c r="O460" t="inlineStr">
        <is>
          <t>22.8–28.2</t>
        </is>
      </c>
      <c r="P460" t="n">
        <v>21</v>
      </c>
      <c r="Q460" t="n">
        <v>11.5</v>
      </c>
      <c r="R460" t="n">
        <v>37.2</v>
      </c>
      <c r="S460" t="n">
        <v>20.3</v>
      </c>
      <c r="T460" t="n">
        <v>51.2</v>
      </c>
      <c r="U460" t="inlineStr">
        <is>
          <t>11,709</t>
        </is>
      </c>
      <c r="V460" t="n">
        <v>17.6</v>
      </c>
      <c r="W460" t="inlineStr">
        <is>
          <t>0%</t>
        </is>
      </c>
      <c r="X460" t="inlineStr">
        <is>
          <t>44 : 56</t>
        </is>
      </c>
      <c r="Y460" t="inlineStr"/>
      <c r="Z460" t="n">
        <v>1201</v>
      </c>
      <c r="AA460" t="n">
        <v>25.5</v>
      </c>
      <c r="AB460" t="inlineStr">
        <is>
          <t>U0459</t>
        </is>
      </c>
      <c r="AC460" t="inlineStr">
        <is>
          <t>PA</t>
        </is>
      </c>
      <c r="AD460" t="n">
        <v>25.5</v>
      </c>
      <c r="AE460" t="n">
        <v>37.2</v>
      </c>
      <c r="AF460" t="n">
        <v>17.6</v>
      </c>
      <c r="AG460" t="inlineStr">
        <is>
          <t>1:17.6</t>
        </is>
      </c>
      <c r="AH460" t="inlineStr">
        <is>
          <t>0%</t>
        </is>
      </c>
      <c r="AI460" t="inlineStr"/>
      <c r="AJ460" t="n">
        <v>23.07</v>
      </c>
    </row>
    <row r="461">
      <c r="A461" t="inlineStr">
        <is>
          <t>Graz University of Technology</t>
        </is>
      </c>
      <c r="B461" t="inlineStr">
        <is>
          <t>Austria</t>
        </is>
      </c>
      <c r="C461" t="inlineStr">
        <is>
          <t>413</t>
        </is>
      </c>
      <c r="D461" t="n">
        <v>28.8</v>
      </c>
      <c r="E461" t="n">
        <v>14.7</v>
      </c>
      <c r="F461" t="n">
        <v>15.7</v>
      </c>
      <c r="G461" t="n">
        <v>98.90000000000001</v>
      </c>
      <c r="H461" t="n">
        <v>11.1</v>
      </c>
      <c r="I461" t="n">
        <v>81.8</v>
      </c>
      <c r="J461" t="n">
        <v>59.7</v>
      </c>
      <c r="K461" t="n">
        <v>59.9</v>
      </c>
      <c r="L461" t="n">
        <v>11.9</v>
      </c>
      <c r="M461" t="n">
        <v>2.8</v>
      </c>
      <c r="N461" t="inlineStr">
        <is>
          <t>501–600</t>
        </is>
      </c>
      <c r="O461" t="inlineStr">
        <is>
          <t>41.9–45.3</t>
        </is>
      </c>
      <c r="P461" t="n">
        <v>40.4</v>
      </c>
      <c r="Q461" t="n">
        <v>21.4</v>
      </c>
      <c r="R461" t="n">
        <v>51.5</v>
      </c>
      <c r="S461" t="n">
        <v>91.5</v>
      </c>
      <c r="T461" t="n">
        <v>81.5</v>
      </c>
      <c r="U461" t="inlineStr">
        <is>
          <t>6,660</t>
        </is>
      </c>
      <c r="V461" t="n">
        <v>8.199999999999999</v>
      </c>
      <c r="W461" t="inlineStr">
        <is>
          <t>24%</t>
        </is>
      </c>
      <c r="X461" t="inlineStr">
        <is>
          <t>26 : 74</t>
        </is>
      </c>
      <c r="Y461" t="n">
        <v>413</v>
      </c>
      <c r="Z461" t="n">
        <v>501</v>
      </c>
      <c r="AA461" t="n">
        <v>43.59999999999999</v>
      </c>
      <c r="AB461" t="inlineStr">
        <is>
          <t>U0460</t>
        </is>
      </c>
      <c r="AC461" t="inlineStr">
        <is>
          <t>AU</t>
        </is>
      </c>
      <c r="AD461" t="n">
        <v>28.8</v>
      </c>
      <c r="AE461" t="n">
        <v>11.1</v>
      </c>
      <c r="AF461" t="n">
        <v>8.199999999999999</v>
      </c>
      <c r="AG461" t="inlineStr">
        <is>
          <t>1:8.2</t>
        </is>
      </c>
      <c r="AH461" t="inlineStr">
        <is>
          <t>24%</t>
        </is>
      </c>
      <c r="AI461" t="n">
        <v>14.7</v>
      </c>
      <c r="AJ461" t="n">
        <v>27.68</v>
      </c>
    </row>
    <row r="462">
      <c r="A462" t="inlineStr">
        <is>
          <t>Griffith University</t>
        </is>
      </c>
      <c r="B462" t="inlineStr">
        <is>
          <t>Australia</t>
        </is>
      </c>
      <c r="C462" t="inlineStr">
        <is>
          <t>255</t>
        </is>
      </c>
      <c r="D462" t="n">
        <v>40.1</v>
      </c>
      <c r="E462" t="n">
        <v>27</v>
      </c>
      <c r="F462" t="n">
        <v>13.7</v>
      </c>
      <c r="G462" t="n">
        <v>8.4</v>
      </c>
      <c r="H462" t="n">
        <v>62.5</v>
      </c>
      <c r="I462" t="n">
        <v>99.8</v>
      </c>
      <c r="J462" t="n">
        <v>38.5</v>
      </c>
      <c r="K462" t="n">
        <v>92.09999999999999</v>
      </c>
      <c r="L462" t="n">
        <v>17.9</v>
      </c>
      <c r="M462" t="n">
        <v>96.40000000000001</v>
      </c>
      <c r="N462" t="inlineStr">
        <is>
          <t>251–300</t>
        </is>
      </c>
      <c r="O462" t="inlineStr">
        <is>
          <t>53.1–55.8</t>
        </is>
      </c>
      <c r="P462" t="n">
        <v>30.5</v>
      </c>
      <c r="Q462" t="n">
        <v>37.8</v>
      </c>
      <c r="R462" t="n">
        <v>82.7</v>
      </c>
      <c r="S462" t="n">
        <v>74.59999999999999</v>
      </c>
      <c r="T462" t="n">
        <v>81.8</v>
      </c>
      <c r="U462" t="inlineStr">
        <is>
          <t>34,770</t>
        </is>
      </c>
      <c r="V462" t="n">
        <v>31.6</v>
      </c>
      <c r="W462" t="inlineStr">
        <is>
          <t>15%</t>
        </is>
      </c>
      <c r="X462" t="inlineStr">
        <is>
          <t>60 : 40</t>
        </is>
      </c>
      <c r="Y462" t="n">
        <v>255</v>
      </c>
      <c r="Z462" t="n">
        <v>251</v>
      </c>
      <c r="AA462" t="n">
        <v>54.45</v>
      </c>
      <c r="AB462" t="inlineStr">
        <is>
          <t>U0461</t>
        </is>
      </c>
      <c r="AC462" t="inlineStr">
        <is>
          <t>AU</t>
        </is>
      </c>
      <c r="AD462" t="n">
        <v>40.1</v>
      </c>
      <c r="AE462" t="n">
        <v>62.5</v>
      </c>
      <c r="AF462" t="n">
        <v>31.6</v>
      </c>
      <c r="AG462" t="inlineStr">
        <is>
          <t>1:31.6</t>
        </is>
      </c>
      <c r="AH462" t="inlineStr">
        <is>
          <t>15%</t>
        </is>
      </c>
      <c r="AI462" t="n">
        <v>27</v>
      </c>
      <c r="AJ462" t="n">
        <v>51.93</v>
      </c>
    </row>
    <row r="463">
      <c r="A463" t="inlineStr">
        <is>
          <t>Grigore T. Popa University of Medicine and Pharmacy</t>
        </is>
      </c>
      <c r="B463" t="inlineStr">
        <is>
          <t>Romania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1501+</t>
        </is>
      </c>
      <c r="O463" t="inlineStr">
        <is>
          <t>9.7–22.7</t>
        </is>
      </c>
      <c r="P463" t="n">
        <v>22.5</v>
      </c>
      <c r="Q463" t="n">
        <v>10.1</v>
      </c>
      <c r="R463" t="n">
        <v>18.9</v>
      </c>
      <c r="S463" t="n">
        <v>22.5</v>
      </c>
      <c r="T463" t="n">
        <v>42.1</v>
      </c>
      <c r="U463" t="inlineStr">
        <is>
          <t>9,765</t>
        </is>
      </c>
      <c r="V463" t="n">
        <v>10.8</v>
      </c>
      <c r="W463" t="inlineStr">
        <is>
          <t>26%</t>
        </is>
      </c>
      <c r="X463" t="inlineStr">
        <is>
          <t>68 : 32</t>
        </is>
      </c>
      <c r="Y463" t="inlineStr"/>
      <c r="Z463" t="n">
        <v>1501</v>
      </c>
      <c r="AA463" t="n">
        <v>16.2</v>
      </c>
      <c r="AB463" t="inlineStr">
        <is>
          <t>U0462</t>
        </is>
      </c>
      <c r="AC463" t="inlineStr">
        <is>
          <t>RO</t>
        </is>
      </c>
      <c r="AD463" t="n">
        <v>16.2</v>
      </c>
      <c r="AE463" t="n">
        <v>18.9</v>
      </c>
      <c r="AF463" t="n">
        <v>10.8</v>
      </c>
      <c r="AG463" t="inlineStr">
        <is>
          <t>1:10.8</t>
        </is>
      </c>
      <c r="AH463" t="inlineStr">
        <is>
          <t>26%</t>
        </is>
      </c>
      <c r="AI463" t="inlineStr"/>
      <c r="AJ463" t="n">
        <v>14.59</v>
      </c>
    </row>
    <row r="464">
      <c r="A464" t="inlineStr">
        <is>
          <t>Guangdong University of Technology</t>
        </is>
      </c>
      <c r="B464" t="inlineStr">
        <is>
          <t>China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601–800</t>
        </is>
      </c>
      <c r="O464" t="inlineStr">
        <is>
          <t>37.0–41.8</t>
        </is>
      </c>
      <c r="P464" t="n">
        <v>17.2</v>
      </c>
      <c r="Q464" t="n">
        <v>19.3</v>
      </c>
      <c r="R464" t="n">
        <v>79.59999999999999</v>
      </c>
      <c r="S464" t="n">
        <v>63.5</v>
      </c>
      <c r="T464" t="n">
        <v>28.4</v>
      </c>
      <c r="U464" t="inlineStr">
        <is>
          <t>48,569</t>
        </is>
      </c>
      <c r="V464" t="n">
        <v>19</v>
      </c>
      <c r="W464" t="inlineStr">
        <is>
          <t>0%</t>
        </is>
      </c>
      <c r="X464" t="inlineStr">
        <is>
          <t>27 : 73</t>
        </is>
      </c>
      <c r="Y464" t="inlineStr"/>
      <c r="Z464" t="n">
        <v>601</v>
      </c>
      <c r="AA464" t="n">
        <v>39.4</v>
      </c>
      <c r="AB464" t="inlineStr">
        <is>
          <t>U0463</t>
        </is>
      </c>
      <c r="AC464" t="inlineStr">
        <is>
          <t>CH</t>
        </is>
      </c>
      <c r="AD464" t="n">
        <v>39.4</v>
      </c>
      <c r="AE464" t="n">
        <v>79.59999999999999</v>
      </c>
      <c r="AF464" t="n">
        <v>19</v>
      </c>
      <c r="AG464" t="inlineStr">
        <is>
          <t>1:19.0</t>
        </is>
      </c>
      <c r="AH464" t="inlineStr">
        <is>
          <t>0%</t>
        </is>
      </c>
      <c r="AI464" t="inlineStr"/>
      <c r="AJ464" t="n">
        <v>34.5</v>
      </c>
    </row>
    <row r="465">
      <c r="A465" t="inlineStr">
        <is>
          <t>Guangzhou Medical University</t>
        </is>
      </c>
      <c r="B465" t="inlineStr">
        <is>
          <t>China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801–1000</t>
        </is>
      </c>
      <c r="O465" t="inlineStr">
        <is>
          <t>32.7–36.9</t>
        </is>
      </c>
      <c r="P465" t="n">
        <v>24.2</v>
      </c>
      <c r="Q465" t="n">
        <v>10.2</v>
      </c>
      <c r="R465" t="n">
        <v>72.5</v>
      </c>
      <c r="S465" t="n">
        <v>26.6</v>
      </c>
      <c r="T465" t="n">
        <v>28.5</v>
      </c>
      <c r="U465" t="inlineStr">
        <is>
          <t>14,728</t>
        </is>
      </c>
      <c r="V465" t="n">
        <v>1.7</v>
      </c>
      <c r="W465" t="inlineStr">
        <is>
          <t>2%</t>
        </is>
      </c>
      <c r="X465" t="inlineStr">
        <is>
          <t>58 : 42</t>
        </is>
      </c>
      <c r="Y465" t="inlineStr"/>
      <c r="Z465" t="n">
        <v>801</v>
      </c>
      <c r="AA465" t="n">
        <v>34.8</v>
      </c>
      <c r="AB465" t="inlineStr">
        <is>
          <t>U0464</t>
        </is>
      </c>
      <c r="AC465" t="inlineStr">
        <is>
          <t>CH</t>
        </is>
      </c>
      <c r="AD465" t="n">
        <v>34.8</v>
      </c>
      <c r="AE465" t="n">
        <v>72.5</v>
      </c>
      <c r="AF465" t="n">
        <v>1.7</v>
      </c>
      <c r="AG465" t="inlineStr">
        <is>
          <t>1:1.7</t>
        </is>
      </c>
      <c r="AH465" t="inlineStr">
        <is>
          <t>2%</t>
        </is>
      </c>
      <c r="AI465" t="inlineStr"/>
      <c r="AJ465" t="n">
        <v>27.6</v>
      </c>
    </row>
    <row r="466">
      <c r="A466" t="inlineStr">
        <is>
          <t>Guangzhou University</t>
        </is>
      </c>
      <c r="B466" t="inlineStr">
        <is>
          <t>China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801–1000</t>
        </is>
      </c>
      <c r="O466" t="inlineStr">
        <is>
          <t>32.7–36.9</t>
        </is>
      </c>
      <c r="P466" t="n">
        <v>19.4</v>
      </c>
      <c r="Q466" t="n">
        <v>12.7</v>
      </c>
      <c r="R466" t="n">
        <v>77.09999999999999</v>
      </c>
      <c r="S466" t="n">
        <v>22.4</v>
      </c>
      <c r="T466" t="n">
        <v>35.9</v>
      </c>
      <c r="U466" t="inlineStr">
        <is>
          <t>37,527</t>
        </is>
      </c>
      <c r="V466" t="n">
        <v>17.5</v>
      </c>
      <c r="W466" t="inlineStr">
        <is>
          <t>0%</t>
        </is>
      </c>
      <c r="X466" t="inlineStr">
        <is>
          <t>60 : 40</t>
        </is>
      </c>
      <c r="Y466" t="inlineStr"/>
      <c r="Z466" t="n">
        <v>801</v>
      </c>
      <c r="AA466" t="n">
        <v>34.8</v>
      </c>
      <c r="AB466" t="inlineStr">
        <is>
          <t>U0465</t>
        </is>
      </c>
      <c r="AC466" t="inlineStr">
        <is>
          <t>CH</t>
        </is>
      </c>
      <c r="AD466" t="n">
        <v>34.8</v>
      </c>
      <c r="AE466" t="n">
        <v>77.09999999999999</v>
      </c>
      <c r="AF466" t="n">
        <v>17.5</v>
      </c>
      <c r="AG466" t="inlineStr">
        <is>
          <t>1:17.5</t>
        </is>
      </c>
      <c r="AH466" t="inlineStr">
        <is>
          <t>0%</t>
        </is>
      </c>
      <c r="AI466" t="inlineStr"/>
      <c r="AJ466" t="n">
        <v>32.09</v>
      </c>
    </row>
    <row r="467">
      <c r="A467" t="inlineStr">
        <is>
          <t>Gubkin Russian State University of Oil and Gas</t>
        </is>
      </c>
      <c r="B467" t="inlineStr">
        <is>
          <t>Russian Federation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1501+</t>
        </is>
      </c>
      <c r="O467" t="inlineStr">
        <is>
          <t>9.7–22.7</t>
        </is>
      </c>
      <c r="P467" t="n">
        <v>23.4</v>
      </c>
      <c r="Q467" t="n">
        <v>10.5</v>
      </c>
      <c r="R467" t="n">
        <v>12.5</v>
      </c>
      <c r="S467" t="n">
        <v>38.2</v>
      </c>
      <c r="T467" t="n">
        <v>26.8</v>
      </c>
      <c r="U467" t="inlineStr">
        <is>
          <t>9,371</t>
        </is>
      </c>
      <c r="V467" t="n">
        <v>12.2</v>
      </c>
      <c r="W467" t="inlineStr">
        <is>
          <t>7%</t>
        </is>
      </c>
      <c r="X467" t="inlineStr">
        <is>
          <t>33 : 67</t>
        </is>
      </c>
      <c r="Y467" t="inlineStr"/>
      <c r="Z467" t="n">
        <v>1501</v>
      </c>
      <c r="AA467" t="n">
        <v>16.2</v>
      </c>
      <c r="AB467" t="inlineStr">
        <is>
          <t>U0466</t>
        </is>
      </c>
      <c r="AC467" t="inlineStr">
        <is>
          <t>RU</t>
        </is>
      </c>
      <c r="AD467" t="n">
        <v>16.2</v>
      </c>
      <c r="AE467" t="n">
        <v>12.5</v>
      </c>
      <c r="AF467" t="n">
        <v>12.2</v>
      </c>
      <c r="AG467" t="inlineStr">
        <is>
          <t>1:12.2</t>
        </is>
      </c>
      <c r="AH467" t="inlineStr">
        <is>
          <t>7%</t>
        </is>
      </c>
      <c r="AI467" t="inlineStr"/>
      <c r="AJ467" t="n">
        <v>9.16</v>
      </c>
    </row>
    <row r="468">
      <c r="A468" t="inlineStr">
        <is>
          <t>Guilan University of Medical Sciences</t>
        </is>
      </c>
      <c r="B468" t="inlineStr">
        <is>
          <t>Iran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801–1000</t>
        </is>
      </c>
      <c r="O468" t="inlineStr">
        <is>
          <t>32.7–36.9</t>
        </is>
      </c>
      <c r="P468" t="n">
        <v>38.2</v>
      </c>
      <c r="Q468" t="n">
        <v>10.4</v>
      </c>
      <c r="R468" t="n">
        <v>63.7</v>
      </c>
      <c r="S468" t="n">
        <v>16.6</v>
      </c>
      <c r="T468" t="n">
        <v>21.9</v>
      </c>
      <c r="U468" t="inlineStr">
        <is>
          <t>5,472</t>
        </is>
      </c>
      <c r="V468" t="n">
        <v>11.5</v>
      </c>
      <c r="W468" t="inlineStr">
        <is>
          <t>1%</t>
        </is>
      </c>
      <c r="X468" t="inlineStr">
        <is>
          <t>53 : 47</t>
        </is>
      </c>
      <c r="Y468" t="inlineStr"/>
      <c r="Z468" t="n">
        <v>801</v>
      </c>
      <c r="AA468" t="n">
        <v>34.8</v>
      </c>
      <c r="AB468" t="inlineStr">
        <is>
          <t>U0467</t>
        </is>
      </c>
      <c r="AC468" t="inlineStr">
        <is>
          <t>IR</t>
        </is>
      </c>
      <c r="AD468" t="n">
        <v>34.8</v>
      </c>
      <c r="AE468" t="n">
        <v>63.7</v>
      </c>
      <c r="AF468" t="n">
        <v>11.5</v>
      </c>
      <c r="AG468" t="inlineStr">
        <is>
          <t>1:11.5</t>
        </is>
      </c>
      <c r="AH468" t="inlineStr">
        <is>
          <t>1%</t>
        </is>
      </c>
      <c r="AI468" t="inlineStr"/>
      <c r="AJ468" t="n">
        <v>23.44</v>
      </c>
    </row>
    <row r="469">
      <c r="A469" t="inlineStr">
        <is>
          <t>Gulf University for Science and Technology</t>
        </is>
      </c>
      <c r="B469" t="inlineStr">
        <is>
          <t>Kuwait</t>
        </is>
      </c>
      <c r="C469" t="inlineStr">
        <is>
          <t>851-900</t>
        </is>
      </c>
      <c r="D469" t="inlineStr"/>
      <c r="E469" t="n">
        <v>14.6</v>
      </c>
      <c r="F469" t="n">
        <v>9.300000000000001</v>
      </c>
      <c r="G469" t="n">
        <v>11.2</v>
      </c>
      <c r="H469" t="n">
        <v>4.8</v>
      </c>
      <c r="I469" t="n">
        <v>100</v>
      </c>
      <c r="J469" t="n">
        <v>27.7</v>
      </c>
      <c r="K469" t="n">
        <v>9.300000000000001</v>
      </c>
      <c r="L469" t="n">
        <v>11</v>
      </c>
      <c r="M469" t="n">
        <v>1.1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851</v>
      </c>
      <c r="Z469" t="inlineStr"/>
      <c r="AA469" t="inlineStr"/>
      <c r="AB469" t="inlineStr">
        <is>
          <t>U0468</t>
        </is>
      </c>
      <c r="AC469" t="inlineStr">
        <is>
          <t>KU</t>
        </is>
      </c>
      <c r="AD469" t="inlineStr"/>
      <c r="AE469" t="n">
        <v>4.8</v>
      </c>
      <c r="AF469" t="inlineStr"/>
      <c r="AG469" t="inlineStr"/>
      <c r="AH469" t="inlineStr"/>
      <c r="AI469" t="n">
        <v>14.6</v>
      </c>
      <c r="AJ469" t="n">
        <v>14.84</v>
      </c>
    </row>
    <row r="470">
      <c r="A470" t="inlineStr">
        <is>
          <t>Gunma University</t>
        </is>
      </c>
      <c r="B470" t="inlineStr">
        <is>
          <t>Japan</t>
        </is>
      </c>
      <c r="C470" t="inlineStr">
        <is>
          <t>1001-1200</t>
        </is>
      </c>
      <c r="D470" t="inlineStr"/>
      <c r="E470" t="n">
        <v>3.5</v>
      </c>
      <c r="F470" t="n">
        <v>1.9</v>
      </c>
      <c r="G470" t="n">
        <v>85.8</v>
      </c>
      <c r="H470" t="n">
        <v>4.7</v>
      </c>
      <c r="I470" t="n">
        <v>4</v>
      </c>
      <c r="J470" t="n">
        <v>3.2</v>
      </c>
      <c r="K470" t="n">
        <v>8.699999999999999</v>
      </c>
      <c r="L470" t="n">
        <v>1.9</v>
      </c>
      <c r="M470" t="n">
        <v>1</v>
      </c>
      <c r="N470" t="inlineStr">
        <is>
          <t>1201–1500</t>
        </is>
      </c>
      <c r="O470" t="inlineStr">
        <is>
          <t>22.8–28.2</t>
        </is>
      </c>
      <c r="P470" t="n">
        <v>28.6</v>
      </c>
      <c r="Q470" t="n">
        <v>14.2</v>
      </c>
      <c r="R470" t="n">
        <v>20.7</v>
      </c>
      <c r="S470" t="n">
        <v>57.4</v>
      </c>
      <c r="T470" t="n">
        <v>26.7</v>
      </c>
      <c r="U470" t="inlineStr">
        <is>
          <t>6,248</t>
        </is>
      </c>
      <c r="V470" t="n">
        <v>7.6</v>
      </c>
      <c r="W470" t="inlineStr">
        <is>
          <t>4%</t>
        </is>
      </c>
      <c r="X470" t="inlineStr">
        <is>
          <t>37 : 63</t>
        </is>
      </c>
      <c r="Y470" t="n">
        <v>1001</v>
      </c>
      <c r="Z470" t="n">
        <v>1201</v>
      </c>
      <c r="AA470" t="n">
        <v>25.5</v>
      </c>
      <c r="AB470" t="inlineStr">
        <is>
          <t>U0469</t>
        </is>
      </c>
      <c r="AC470" t="inlineStr">
        <is>
          <t>JA</t>
        </is>
      </c>
      <c r="AD470" t="n">
        <v>25.5</v>
      </c>
      <c r="AE470" t="n">
        <v>4.7</v>
      </c>
      <c r="AF470" t="n">
        <v>7.6</v>
      </c>
      <c r="AG470" t="inlineStr">
        <is>
          <t>1:7.6</t>
        </is>
      </c>
      <c r="AH470" t="inlineStr">
        <is>
          <t>4%</t>
        </is>
      </c>
      <c r="AI470" t="n">
        <v>3.5</v>
      </c>
      <c r="AJ470" t="n">
        <v>8.720000000000001</v>
      </c>
    </row>
    <row r="471">
      <c r="A471" t="inlineStr">
        <is>
          <t>Guru Ghasidas Vishwavidyalaya</t>
        </is>
      </c>
      <c r="B471" t="inlineStr">
        <is>
          <t>India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1001–1200</t>
        </is>
      </c>
      <c r="O471" t="inlineStr">
        <is>
          <t>28.3–32.6</t>
        </is>
      </c>
      <c r="P471" t="n">
        <v>16.6</v>
      </c>
      <c r="Q471" t="n">
        <v>9.800000000000001</v>
      </c>
      <c r="R471" t="n">
        <v>63.7</v>
      </c>
      <c r="S471" t="n">
        <v>21.6</v>
      </c>
      <c r="T471" t="n">
        <v>22.3</v>
      </c>
      <c r="U471" t="inlineStr">
        <is>
          <t>8,928</t>
        </is>
      </c>
      <c r="V471" t="n">
        <v>21.7</v>
      </c>
      <c r="W471" t="inlineStr">
        <is>
          <t>0%</t>
        </is>
      </c>
      <c r="X471" t="inlineStr">
        <is>
          <t>40 : 60</t>
        </is>
      </c>
      <c r="Y471" t="inlineStr"/>
      <c r="Z471" t="n">
        <v>1001</v>
      </c>
      <c r="AA471" t="n">
        <v>30.45</v>
      </c>
      <c r="AB471" t="inlineStr">
        <is>
          <t>U0470</t>
        </is>
      </c>
      <c r="AC471" t="inlineStr">
        <is>
          <t>IN</t>
        </is>
      </c>
      <c r="AD471" t="n">
        <v>30.45</v>
      </c>
      <c r="AE471" t="n">
        <v>63.7</v>
      </c>
      <c r="AF471" t="n">
        <v>21.7</v>
      </c>
      <c r="AG471" t="inlineStr">
        <is>
          <t>1:21.7</t>
        </is>
      </c>
      <c r="AH471" t="inlineStr">
        <is>
          <t>0%</t>
        </is>
      </c>
      <c r="AI471" t="inlineStr"/>
      <c r="AJ471" t="n">
        <v>23.22</v>
      </c>
    </row>
    <row r="472">
      <c r="A472" t="inlineStr">
        <is>
          <t>Guru Gobind Singh Indraprastha University</t>
        </is>
      </c>
      <c r="B472" t="inlineStr">
        <is>
          <t>India</t>
        </is>
      </c>
      <c r="C472" t="inlineStr">
        <is>
          <t>1001-1200</t>
        </is>
      </c>
      <c r="D472" t="inlineStr"/>
      <c r="E472" t="n">
        <v>4.5</v>
      </c>
      <c r="F472" t="n">
        <v>4.4</v>
      </c>
      <c r="G472" t="n">
        <v>6.6</v>
      </c>
      <c r="H472" t="n">
        <v>27.7</v>
      </c>
      <c r="I472" t="n">
        <v>3.7</v>
      </c>
      <c r="J472" t="n">
        <v>5.1</v>
      </c>
      <c r="K472" t="n">
        <v>17.3</v>
      </c>
      <c r="L472" t="n">
        <v>6.4</v>
      </c>
      <c r="M472" t="n">
        <v>2.2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1001</v>
      </c>
      <c r="Z472" t="inlineStr"/>
      <c r="AA472" t="inlineStr"/>
      <c r="AB472" t="inlineStr">
        <is>
          <t>U0471</t>
        </is>
      </c>
      <c r="AC472" t="inlineStr">
        <is>
          <t>IN</t>
        </is>
      </c>
      <c r="AD472" t="inlineStr"/>
      <c r="AE472" t="n">
        <v>27.7</v>
      </c>
      <c r="AF472" t="inlineStr"/>
      <c r="AG472" t="inlineStr"/>
      <c r="AH472" t="inlineStr"/>
      <c r="AI472" t="n">
        <v>4.5</v>
      </c>
      <c r="AJ472" t="n">
        <v>21.78</v>
      </c>
    </row>
    <row r="473">
      <c r="A473" t="inlineStr">
        <is>
          <t>Guru Jambheshwar University of Science and Technology</t>
        </is>
      </c>
      <c r="B473" t="inlineStr">
        <is>
          <t>India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1201–1500</t>
        </is>
      </c>
      <c r="O473" t="inlineStr">
        <is>
          <t>22.8–28.2</t>
        </is>
      </c>
      <c r="P473" t="n">
        <v>27.8</v>
      </c>
      <c r="Q473" t="n">
        <v>8.9</v>
      </c>
      <c r="R473" t="n">
        <v>40.8</v>
      </c>
      <c r="S473" t="n">
        <v>27.2</v>
      </c>
      <c r="T473" t="n">
        <v>18.2</v>
      </c>
      <c r="U473" t="inlineStr">
        <is>
          <t>6,445</t>
        </is>
      </c>
      <c r="V473" t="n">
        <v>19.6</v>
      </c>
      <c r="W473" t="inlineStr">
        <is>
          <t>0%</t>
        </is>
      </c>
      <c r="X473" t="inlineStr">
        <is>
          <t>46 : 54</t>
        </is>
      </c>
      <c r="Y473" t="inlineStr"/>
      <c r="Z473" t="n">
        <v>1201</v>
      </c>
      <c r="AA473" t="n">
        <v>25.5</v>
      </c>
      <c r="AB473" t="inlineStr">
        <is>
          <t>U0472</t>
        </is>
      </c>
      <c r="AC473" t="inlineStr">
        <is>
          <t>IN</t>
        </is>
      </c>
      <c r="AD473" t="n">
        <v>25.5</v>
      </c>
      <c r="AE473" t="n">
        <v>40.8</v>
      </c>
      <c r="AF473" t="n">
        <v>19.6</v>
      </c>
      <c r="AG473" t="inlineStr">
        <is>
          <t>1:19.6</t>
        </is>
      </c>
      <c r="AH473" t="inlineStr">
        <is>
          <t>0%</t>
        </is>
      </c>
      <c r="AI473" t="inlineStr"/>
      <c r="AJ473" t="n">
        <v>14.82</v>
      </c>
    </row>
    <row r="474">
      <c r="A474" t="inlineStr">
        <is>
          <t>Gwangju Institute of Science and Technology (GIST)</t>
        </is>
      </c>
      <c r="B474" t="inlineStr">
        <is>
          <t>South Korea</t>
        </is>
      </c>
      <c r="C474" t="inlineStr">
        <is>
          <t>359</t>
        </is>
      </c>
      <c r="D474" t="n">
        <v>31.9</v>
      </c>
      <c r="E474" t="n">
        <v>13.8</v>
      </c>
      <c r="F474" t="n">
        <v>9</v>
      </c>
      <c r="G474" t="n">
        <v>38.6</v>
      </c>
      <c r="H474" t="n">
        <v>100</v>
      </c>
      <c r="I474" t="n">
        <v>18.6</v>
      </c>
      <c r="J474" t="n">
        <v>8.800000000000001</v>
      </c>
      <c r="K474" t="n">
        <v>27</v>
      </c>
      <c r="L474" t="n">
        <v>2.2</v>
      </c>
      <c r="M474" t="n">
        <v>9.9</v>
      </c>
      <c r="N474" t="inlineStr">
        <is>
          <t>401–500</t>
        </is>
      </c>
      <c r="O474" t="inlineStr">
        <is>
          <t>45.4–49.0</t>
        </is>
      </c>
      <c r="P474" t="n">
        <v>48.5</v>
      </c>
      <c r="Q474" t="n">
        <v>39.6</v>
      </c>
      <c r="R474" t="n">
        <v>50.3</v>
      </c>
      <c r="S474" t="n">
        <v>99.90000000000001</v>
      </c>
      <c r="T474" t="n">
        <v>43.9</v>
      </c>
      <c r="U474" t="inlineStr">
        <is>
          <t>1,795</t>
        </is>
      </c>
      <c r="V474" t="n">
        <v>9.5</v>
      </c>
      <c r="W474" t="inlineStr">
        <is>
          <t>7%</t>
        </is>
      </c>
      <c r="X474" t="inlineStr">
        <is>
          <t>26 : 74</t>
        </is>
      </c>
      <c r="Y474" t="n">
        <v>359</v>
      </c>
      <c r="Z474" t="n">
        <v>401</v>
      </c>
      <c r="AA474" t="n">
        <v>47.2</v>
      </c>
      <c r="AB474" t="inlineStr">
        <is>
          <t>U0473</t>
        </is>
      </c>
      <c r="AC474" t="inlineStr">
        <is>
          <t>SO</t>
        </is>
      </c>
      <c r="AD474" t="n">
        <v>31.9</v>
      </c>
      <c r="AE474" t="n">
        <v>100</v>
      </c>
      <c r="AF474" t="n">
        <v>9.5</v>
      </c>
      <c r="AG474" t="inlineStr">
        <is>
          <t>1:9.5</t>
        </is>
      </c>
      <c r="AH474" t="inlineStr">
        <is>
          <t>7%</t>
        </is>
      </c>
      <c r="AI474" t="n">
        <v>13.8</v>
      </c>
      <c r="AJ474" t="n">
        <v>55.07</v>
      </c>
    </row>
    <row r="475">
      <c r="A475" t="inlineStr">
        <is>
          <t>Gyeongsang National University</t>
        </is>
      </c>
      <c r="B475" t="inlineStr">
        <is>
          <t>South Korea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1201–1500</t>
        </is>
      </c>
      <c r="O475" t="inlineStr">
        <is>
          <t>22.8–28.2</t>
        </is>
      </c>
      <c r="P475" t="n">
        <v>26.2</v>
      </c>
      <c r="Q475" t="n">
        <v>18</v>
      </c>
      <c r="R475" t="n">
        <v>32.6</v>
      </c>
      <c r="S475" t="n">
        <v>65.09999999999999</v>
      </c>
      <c r="T475" t="n">
        <v>26.7</v>
      </c>
      <c r="U475" t="inlineStr">
        <is>
          <t>16,536</t>
        </is>
      </c>
      <c r="V475" t="n">
        <v>12.5</v>
      </c>
      <c r="W475" t="inlineStr">
        <is>
          <t>2%</t>
        </is>
      </c>
      <c r="X475" t="inlineStr">
        <is>
          <t>45 : 55</t>
        </is>
      </c>
      <c r="Y475" t="inlineStr"/>
      <c r="Z475" t="n">
        <v>1201</v>
      </c>
      <c r="AA475" t="n">
        <v>25.5</v>
      </c>
      <c r="AB475" t="inlineStr">
        <is>
          <t>U0474</t>
        </is>
      </c>
      <c r="AC475" t="inlineStr">
        <is>
          <t>SO</t>
        </is>
      </c>
      <c r="AD475" t="n">
        <v>25.5</v>
      </c>
      <c r="AE475" t="n">
        <v>32.6</v>
      </c>
      <c r="AF475" t="n">
        <v>12.5</v>
      </c>
      <c r="AG475" t="inlineStr">
        <is>
          <t>1:12.5</t>
        </is>
      </c>
      <c r="AH475" t="inlineStr">
        <is>
          <t>2%</t>
        </is>
      </c>
      <c r="AI475" t="inlineStr"/>
      <c r="AJ475" t="n">
        <v>19.16</v>
      </c>
    </row>
    <row r="476">
      <c r="A476" t="inlineStr">
        <is>
          <t xml:space="preserve">Hacettepe University </t>
        </is>
      </c>
      <c r="B476" t="inlineStr">
        <is>
          <t>Turkey</t>
        </is>
      </c>
      <c r="C476" t="inlineStr">
        <is>
          <t>641-650</t>
        </is>
      </c>
      <c r="D476" t="inlineStr"/>
      <c r="E476" t="n">
        <v>22.5</v>
      </c>
      <c r="F476" t="n">
        <v>29.4</v>
      </c>
      <c r="G476" t="n">
        <v>10.8</v>
      </c>
      <c r="H476" t="n">
        <v>7.1</v>
      </c>
      <c r="I476" t="n">
        <v>4</v>
      </c>
      <c r="J476" t="n">
        <v>3.5</v>
      </c>
      <c r="K476" t="n">
        <v>72.09999999999999</v>
      </c>
      <c r="L476" t="n">
        <v>22.2</v>
      </c>
      <c r="M476" t="n">
        <v>34.8</v>
      </c>
      <c r="N476" t="inlineStr">
        <is>
          <t>601–800</t>
        </is>
      </c>
      <c r="O476" t="inlineStr">
        <is>
          <t>37.0–41.8</t>
        </is>
      </c>
      <c r="P476" t="n">
        <v>32.5</v>
      </c>
      <c r="Q476" t="n">
        <v>26.8</v>
      </c>
      <c r="R476" t="n">
        <v>50.4</v>
      </c>
      <c r="S476" t="n">
        <v>73.5</v>
      </c>
      <c r="T476" t="n">
        <v>27.5</v>
      </c>
      <c r="U476" t="inlineStr">
        <is>
          <t>37,249</t>
        </is>
      </c>
      <c r="V476" t="n">
        <v>19.9</v>
      </c>
      <c r="W476" t="inlineStr">
        <is>
          <t>3%</t>
        </is>
      </c>
      <c r="X476" t="inlineStr">
        <is>
          <t>58 : 42</t>
        </is>
      </c>
      <c r="Y476" t="n">
        <v>641</v>
      </c>
      <c r="Z476" t="n">
        <v>601</v>
      </c>
      <c r="AA476" t="n">
        <v>39.4</v>
      </c>
      <c r="AB476" t="inlineStr">
        <is>
          <t>U0475</t>
        </is>
      </c>
      <c r="AC476" t="inlineStr">
        <is>
          <t>TU</t>
        </is>
      </c>
      <c r="AD476" t="n">
        <v>39.4</v>
      </c>
      <c r="AE476" t="n">
        <v>7.1</v>
      </c>
      <c r="AF476" t="n">
        <v>19.9</v>
      </c>
      <c r="AG476" t="inlineStr">
        <is>
          <t>1:19.9</t>
        </is>
      </c>
      <c r="AH476" t="inlineStr">
        <is>
          <t>3%</t>
        </is>
      </c>
      <c r="AI476" t="n">
        <v>22.5</v>
      </c>
      <c r="AJ476" t="n">
        <v>16.24</v>
      </c>
    </row>
    <row r="477">
      <c r="A477" t="inlineStr">
        <is>
          <t>Hakim Sabzevari University</t>
        </is>
      </c>
      <c r="B477" t="inlineStr">
        <is>
          <t>Iran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1001–1200</t>
        </is>
      </c>
      <c r="O477" t="inlineStr">
        <is>
          <t>28.3–32.6</t>
        </is>
      </c>
      <c r="P477" t="n">
        <v>15.3</v>
      </c>
      <c r="Q477" t="n">
        <v>11.5</v>
      </c>
      <c r="R477" t="n">
        <v>61.6</v>
      </c>
      <c r="S477" t="n">
        <v>16.5</v>
      </c>
      <c r="T477" t="n">
        <v>38</v>
      </c>
      <c r="U477" t="inlineStr">
        <is>
          <t>9,464</t>
        </is>
      </c>
      <c r="V477" t="n">
        <v>22.8</v>
      </c>
      <c r="W477" t="inlineStr">
        <is>
          <t>3%</t>
        </is>
      </c>
      <c r="X477" t="inlineStr">
        <is>
          <t>51 : 49</t>
        </is>
      </c>
      <c r="Y477" t="inlineStr"/>
      <c r="Z477" t="n">
        <v>1001</v>
      </c>
      <c r="AA477" t="n">
        <v>30.45</v>
      </c>
      <c r="AB477" t="inlineStr">
        <is>
          <t>U0476</t>
        </is>
      </c>
      <c r="AC477" t="inlineStr">
        <is>
          <t>IR</t>
        </is>
      </c>
      <c r="AD477" t="n">
        <v>30.45</v>
      </c>
      <c r="AE477" t="n">
        <v>61.6</v>
      </c>
      <c r="AF477" t="n">
        <v>22.8</v>
      </c>
      <c r="AG477" t="inlineStr">
        <is>
          <t>1:22.8</t>
        </is>
      </c>
      <c r="AH477" t="inlineStr">
        <is>
          <t>3%</t>
        </is>
      </c>
      <c r="AI477" t="inlineStr"/>
      <c r="AJ477" t="n">
        <v>27.28</v>
      </c>
    </row>
    <row r="478">
      <c r="A478" t="inlineStr">
        <is>
          <t xml:space="preserve">Hallym University </t>
        </is>
      </c>
      <c r="B478" t="inlineStr">
        <is>
          <t>South Korea</t>
        </is>
      </c>
      <c r="C478" t="inlineStr">
        <is>
          <t>951-1000</t>
        </is>
      </c>
      <c r="D478" t="inlineStr"/>
      <c r="E478" t="n">
        <v>2.8</v>
      </c>
      <c r="F478" t="n">
        <v>1.8</v>
      </c>
      <c r="G478" t="n">
        <v>94.40000000000001</v>
      </c>
      <c r="H478" t="n">
        <v>6.9</v>
      </c>
      <c r="I478" t="n">
        <v>3.8</v>
      </c>
      <c r="J478" t="n">
        <v>2.2</v>
      </c>
      <c r="K478" t="n">
        <v>5.7</v>
      </c>
      <c r="L478" t="n">
        <v>1.7</v>
      </c>
      <c r="M478" t="n">
        <v>1.1</v>
      </c>
      <c r="N478" t="inlineStr">
        <is>
          <t>1201–1500</t>
        </is>
      </c>
      <c r="O478" t="inlineStr">
        <is>
          <t>22.8–28.2</t>
        </is>
      </c>
      <c r="P478" t="n">
        <v>25.2</v>
      </c>
      <c r="Q478" t="n">
        <v>19.8</v>
      </c>
      <c r="R478" t="n">
        <v>31.8</v>
      </c>
      <c r="S478" t="n">
        <v>60.6</v>
      </c>
      <c r="T478" t="n">
        <v>23.4</v>
      </c>
      <c r="U478" t="inlineStr">
        <is>
          <t>8,369</t>
        </is>
      </c>
      <c r="V478" t="n">
        <v>9.300000000000001</v>
      </c>
      <c r="W478" t="inlineStr">
        <is>
          <t>4%</t>
        </is>
      </c>
      <c r="X478" t="inlineStr"/>
      <c r="Y478" t="n">
        <v>951</v>
      </c>
      <c r="Z478" t="n">
        <v>1201</v>
      </c>
      <c r="AA478" t="n">
        <v>25.5</v>
      </c>
      <c r="AB478" t="inlineStr">
        <is>
          <t>U0477</t>
        </is>
      </c>
      <c r="AC478" t="inlineStr">
        <is>
          <t>SO</t>
        </is>
      </c>
      <c r="AD478" t="n">
        <v>25.5</v>
      </c>
      <c r="AE478" t="n">
        <v>6.9</v>
      </c>
      <c r="AF478" t="n">
        <v>9.300000000000001</v>
      </c>
      <c r="AG478" t="inlineStr">
        <is>
          <t>1:9.3</t>
        </is>
      </c>
      <c r="AH478" t="inlineStr">
        <is>
          <t>4%</t>
        </is>
      </c>
      <c r="AI478" t="n">
        <v>2.8</v>
      </c>
      <c r="AJ478" t="n">
        <v>11.52</v>
      </c>
    </row>
    <row r="479">
      <c r="A479" t="inlineStr">
        <is>
          <t>Halmstad University</t>
        </is>
      </c>
      <c r="B479" t="inlineStr">
        <is>
          <t>Sweden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1201–1500</t>
        </is>
      </c>
      <c r="O479" t="inlineStr">
        <is>
          <t>22.8–28.2</t>
        </is>
      </c>
      <c r="P479" t="n">
        <v>15</v>
      </c>
      <c r="Q479" t="n">
        <v>16.8</v>
      </c>
      <c r="R479" t="n">
        <v>40.2</v>
      </c>
      <c r="S479" t="n">
        <v>27.9</v>
      </c>
      <c r="T479" t="n">
        <v>66.7</v>
      </c>
      <c r="U479" t="inlineStr">
        <is>
          <t>6,048</t>
        </is>
      </c>
      <c r="V479" t="n">
        <v>20</v>
      </c>
      <c r="W479" t="inlineStr">
        <is>
          <t>6%</t>
        </is>
      </c>
      <c r="X479" t="inlineStr">
        <is>
          <t>60 : 40</t>
        </is>
      </c>
      <c r="Y479" t="inlineStr"/>
      <c r="Z479" t="n">
        <v>1201</v>
      </c>
      <c r="AA479" t="n">
        <v>25.5</v>
      </c>
      <c r="AB479" t="inlineStr">
        <is>
          <t>U0478</t>
        </is>
      </c>
      <c r="AC479" t="inlineStr">
        <is>
          <t>SW</t>
        </is>
      </c>
      <c r="AD479" t="n">
        <v>25.5</v>
      </c>
      <c r="AE479" t="n">
        <v>40.2</v>
      </c>
      <c r="AF479" t="n">
        <v>20</v>
      </c>
      <c r="AG479" t="inlineStr">
        <is>
          <t>1:20.0</t>
        </is>
      </c>
      <c r="AH479" t="inlineStr">
        <is>
          <t>6%</t>
        </is>
      </c>
      <c r="AI479" t="inlineStr"/>
      <c r="AJ479" t="n">
        <v>30.51</v>
      </c>
    </row>
    <row r="480">
      <c r="A480" t="inlineStr">
        <is>
          <t>Hamad Bin Khalifa University</t>
        </is>
      </c>
      <c r="B480" t="inlineStr">
        <is>
          <t>Qatar</t>
        </is>
      </c>
      <c r="C480" t="inlineStr">
        <is>
          <t>183</t>
        </is>
      </c>
      <c r="D480" t="n">
        <v>48.3</v>
      </c>
      <c r="E480" t="n">
        <v>12.9</v>
      </c>
      <c r="F480" t="n">
        <v>4.7</v>
      </c>
      <c r="G480" t="n">
        <v>99.90000000000001</v>
      </c>
      <c r="H480" t="n">
        <v>100</v>
      </c>
      <c r="I480" t="n">
        <v>100</v>
      </c>
      <c r="J480" t="n">
        <v>100</v>
      </c>
      <c r="K480" t="n">
        <v>74.3</v>
      </c>
      <c r="L480" t="n">
        <v>6</v>
      </c>
      <c r="M480" t="n">
        <v>2.6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183</v>
      </c>
      <c r="Z480" t="inlineStr"/>
      <c r="AA480" t="inlineStr"/>
      <c r="AB480" t="inlineStr">
        <is>
          <t>U0479</t>
        </is>
      </c>
      <c r="AC480" t="inlineStr">
        <is>
          <t>QA</t>
        </is>
      </c>
      <c r="AD480" t="n">
        <v>48.3</v>
      </c>
      <c r="AE480" t="n">
        <v>100</v>
      </c>
      <c r="AF480" t="inlineStr"/>
      <c r="AG480" t="inlineStr"/>
      <c r="AH480" t="inlineStr"/>
      <c r="AI480" t="n">
        <v>12.9</v>
      </c>
      <c r="AJ480" t="n">
        <v>43.69</v>
      </c>
    </row>
    <row r="481">
      <c r="A481" t="inlineStr">
        <is>
          <t>Hamamatsu University School of Medicine</t>
        </is>
      </c>
      <c r="B481" t="inlineStr">
        <is>
          <t>Japan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1001–1200</t>
        </is>
      </c>
      <c r="O481" t="inlineStr">
        <is>
          <t>28.3–32.6</t>
        </is>
      </c>
      <c r="P481" t="n">
        <v>33.6</v>
      </c>
      <c r="Q481" t="n">
        <v>18.3</v>
      </c>
      <c r="R481" t="n">
        <v>36.9</v>
      </c>
      <c r="S481" t="n">
        <v>58.3</v>
      </c>
      <c r="T481" t="n">
        <v>24</v>
      </c>
      <c r="U481" t="inlineStr">
        <is>
          <t>1,216</t>
        </is>
      </c>
      <c r="V481" t="n">
        <v>4.1</v>
      </c>
      <c r="W481" t="inlineStr">
        <is>
          <t>3%</t>
        </is>
      </c>
      <c r="X481" t="inlineStr">
        <is>
          <t>48 : 52</t>
        </is>
      </c>
      <c r="Y481" t="inlineStr"/>
      <c r="Z481" t="n">
        <v>1001</v>
      </c>
      <c r="AA481" t="n">
        <v>30.45</v>
      </c>
      <c r="AB481" t="inlineStr">
        <is>
          <t>U0480</t>
        </is>
      </c>
      <c r="AC481" t="inlineStr">
        <is>
          <t>JA</t>
        </is>
      </c>
      <c r="AD481" t="n">
        <v>30.45</v>
      </c>
      <c r="AE481" t="n">
        <v>36.9</v>
      </c>
      <c r="AF481" t="n">
        <v>4.1</v>
      </c>
      <c r="AG481" t="inlineStr">
        <is>
          <t>1:4.1</t>
        </is>
      </c>
      <c r="AH481" t="inlineStr">
        <is>
          <t>3%</t>
        </is>
      </c>
      <c r="AI481" t="inlineStr"/>
      <c r="AJ481" t="n">
        <v>19.97</v>
      </c>
    </row>
    <row r="482">
      <c r="A482" t="inlineStr">
        <is>
          <t>Hamburg University of Technology</t>
        </is>
      </c>
      <c r="B482" t="inlineStr">
        <is>
          <t>Germany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501–600</t>
        </is>
      </c>
      <c r="O482" t="inlineStr">
        <is>
          <t>41.9–45.3</t>
        </is>
      </c>
      <c r="P482" t="n">
        <v>37.6</v>
      </c>
      <c r="Q482" t="n">
        <v>24.5</v>
      </c>
      <c r="R482" t="n">
        <v>53</v>
      </c>
      <c r="S482" t="n">
        <v>79.5</v>
      </c>
      <c r="T482" t="n">
        <v>61.4</v>
      </c>
      <c r="U482" t="inlineStr">
        <is>
          <t>4,246</t>
        </is>
      </c>
      <c r="V482" t="n">
        <v>26.4</v>
      </c>
      <c r="W482" t="inlineStr">
        <is>
          <t>23%</t>
        </is>
      </c>
      <c r="X482" t="inlineStr">
        <is>
          <t>29 : 71</t>
        </is>
      </c>
      <c r="Y482" t="inlineStr"/>
      <c r="Z482" t="n">
        <v>501</v>
      </c>
      <c r="AA482" t="n">
        <v>43.59999999999999</v>
      </c>
      <c r="AB482" t="inlineStr">
        <is>
          <t>U0481</t>
        </is>
      </c>
      <c r="AC482" t="inlineStr">
        <is>
          <t>GE</t>
        </is>
      </c>
      <c r="AD482" t="n">
        <v>43.59999999999999</v>
      </c>
      <c r="AE482" t="n">
        <v>53</v>
      </c>
      <c r="AF482" t="n">
        <v>26.4</v>
      </c>
      <c r="AG482" t="inlineStr">
        <is>
          <t>1:26.4</t>
        </is>
      </c>
      <c r="AH482" t="inlineStr">
        <is>
          <t>23%</t>
        </is>
      </c>
      <c r="AI482" t="inlineStr"/>
      <c r="AJ482" t="n">
        <v>37.14</v>
      </c>
    </row>
    <row r="483">
      <c r="A483" t="inlineStr">
        <is>
          <t>Hanoi University of Science and Technology</t>
        </is>
      </c>
      <c r="B483" t="inlineStr">
        <is>
          <t>Vietnam</t>
        </is>
      </c>
      <c r="C483" t="inlineStr">
        <is>
          <t>1201-1400</t>
        </is>
      </c>
      <c r="D483" t="inlineStr"/>
      <c r="E483" t="n">
        <v>7.3</v>
      </c>
      <c r="F483" t="n">
        <v>7.3</v>
      </c>
      <c r="G483" t="n">
        <v>2.4</v>
      </c>
      <c r="H483" t="n">
        <v>4.7</v>
      </c>
      <c r="I483" t="n">
        <v>4.2</v>
      </c>
      <c r="J483" t="n">
        <v>1.2</v>
      </c>
      <c r="K483" t="n">
        <v>23.1</v>
      </c>
      <c r="L483" t="n">
        <v>23.1</v>
      </c>
      <c r="M483" t="n">
        <v>3.4</v>
      </c>
      <c r="N483" t="inlineStr">
        <is>
          <t>1501+</t>
        </is>
      </c>
      <c r="O483" t="inlineStr">
        <is>
          <t>9.7–22.7</t>
        </is>
      </c>
      <c r="P483" t="n">
        <v>15.7</v>
      </c>
      <c r="Q483" t="n">
        <v>15.7</v>
      </c>
      <c r="R483" t="n">
        <v>27.4</v>
      </c>
      <c r="S483" t="n">
        <v>43.4</v>
      </c>
      <c r="T483" t="n">
        <v>39.7</v>
      </c>
      <c r="U483" t="inlineStr">
        <is>
          <t>37,891</t>
        </is>
      </c>
      <c r="V483" t="n">
        <v>34.1</v>
      </c>
      <c r="W483" t="inlineStr">
        <is>
          <t>0%</t>
        </is>
      </c>
      <c r="X483" t="inlineStr">
        <is>
          <t>20 : 80</t>
        </is>
      </c>
      <c r="Y483" t="n">
        <v>1201</v>
      </c>
      <c r="Z483" t="n">
        <v>1501</v>
      </c>
      <c r="AA483" t="n">
        <v>16.2</v>
      </c>
      <c r="AB483" t="inlineStr">
        <is>
          <t>U0482</t>
        </is>
      </c>
      <c r="AC483" t="inlineStr">
        <is>
          <t>VI</t>
        </is>
      </c>
      <c r="AD483" t="n">
        <v>16.2</v>
      </c>
      <c r="AE483" t="n">
        <v>4.7</v>
      </c>
      <c r="AF483" t="n">
        <v>34.1</v>
      </c>
      <c r="AG483" t="inlineStr">
        <is>
          <t>1:34.1</t>
        </is>
      </c>
      <c r="AH483" t="inlineStr">
        <is>
          <t>0%</t>
        </is>
      </c>
      <c r="AI483" t="n">
        <v>7.3</v>
      </c>
      <c r="AJ483" t="n">
        <v>12.65</v>
      </c>
    </row>
    <row r="484">
      <c r="A484" t="inlineStr">
        <is>
          <t>Hanyang University</t>
        </is>
      </c>
      <c r="B484" t="inlineStr">
        <is>
          <t>South Korea</t>
        </is>
      </c>
      <c r="C484" t="inlineStr">
        <is>
          <t>162</t>
        </is>
      </c>
      <c r="D484" t="n">
        <v>51.1</v>
      </c>
      <c r="E484" t="n">
        <v>43</v>
      </c>
      <c r="F484" t="n">
        <v>78</v>
      </c>
      <c r="G484" t="n">
        <v>77.09999999999999</v>
      </c>
      <c r="H484" t="n">
        <v>28.5</v>
      </c>
      <c r="I484" t="n">
        <v>17.4</v>
      </c>
      <c r="J484" t="n">
        <v>57.6</v>
      </c>
      <c r="K484" t="n">
        <v>63</v>
      </c>
      <c r="L484" t="n">
        <v>43.3</v>
      </c>
      <c r="M484" t="n">
        <v>85.8</v>
      </c>
      <c r="N484" t="inlineStr">
        <is>
          <t>301–350</t>
        </is>
      </c>
      <c r="O484" t="inlineStr">
        <is>
          <t>51.1–53.0</t>
        </is>
      </c>
      <c r="P484" t="n">
        <v>45.4</v>
      </c>
      <c r="Q484" t="n">
        <v>40.4</v>
      </c>
      <c r="R484" t="n">
        <v>62</v>
      </c>
      <c r="S484" t="n">
        <v>99.40000000000001</v>
      </c>
      <c r="T484" t="n">
        <v>66.5</v>
      </c>
      <c r="U484" t="inlineStr">
        <is>
          <t>19,344</t>
        </is>
      </c>
      <c r="V484" t="n">
        <v>13.2</v>
      </c>
      <c r="W484" t="inlineStr">
        <is>
          <t>21%</t>
        </is>
      </c>
      <c r="X484" t="inlineStr"/>
      <c r="Y484" t="n">
        <v>162</v>
      </c>
      <c r="Z484" t="n">
        <v>301</v>
      </c>
      <c r="AA484" t="n">
        <v>52.05</v>
      </c>
      <c r="AB484" t="inlineStr">
        <is>
          <t>U0483</t>
        </is>
      </c>
      <c r="AC484" t="inlineStr">
        <is>
          <t>SO</t>
        </is>
      </c>
      <c r="AD484" t="n">
        <v>51.1</v>
      </c>
      <c r="AE484" t="n">
        <v>28.5</v>
      </c>
      <c r="AF484" t="n">
        <v>13.2</v>
      </c>
      <c r="AG484" t="inlineStr">
        <is>
          <t>1:13.2</t>
        </is>
      </c>
      <c r="AH484" t="inlineStr">
        <is>
          <t>21%</t>
        </is>
      </c>
      <c r="AI484" t="n">
        <v>43</v>
      </c>
      <c r="AJ484" t="n">
        <v>39.29</v>
      </c>
    </row>
    <row r="485">
      <c r="A485" t="inlineStr">
        <is>
          <t>Harbin Engineering University</t>
        </is>
      </c>
      <c r="B485" t="inlineStr">
        <is>
          <t>China</t>
        </is>
      </c>
      <c r="C485" t="inlineStr">
        <is>
          <t>1001-1200</t>
        </is>
      </c>
      <c r="D485" t="inlineStr"/>
      <c r="E485" t="n">
        <v>5.4</v>
      </c>
      <c r="F485" t="n">
        <v>2.4</v>
      </c>
      <c r="G485" t="n">
        <v>16.5</v>
      </c>
      <c r="H485" t="n">
        <v>28.1</v>
      </c>
      <c r="I485" t="n">
        <v>2.3</v>
      </c>
      <c r="J485" t="n">
        <v>2.2</v>
      </c>
      <c r="K485" t="n">
        <v>32.4</v>
      </c>
      <c r="L485" t="n">
        <v>3.8</v>
      </c>
      <c r="M485" t="n">
        <v>1.3</v>
      </c>
      <c r="N485" t="inlineStr">
        <is>
          <t>801–1000</t>
        </is>
      </c>
      <c r="O485" t="inlineStr">
        <is>
          <t>32.7–36.9</t>
        </is>
      </c>
      <c r="P485" t="n">
        <v>28.1</v>
      </c>
      <c r="Q485" t="n">
        <v>30.6</v>
      </c>
      <c r="R485" t="n">
        <v>43.6</v>
      </c>
      <c r="S485" t="n">
        <v>64.90000000000001</v>
      </c>
      <c r="T485" t="n">
        <v>24.4</v>
      </c>
      <c r="U485" t="inlineStr">
        <is>
          <t>33,528</t>
        </is>
      </c>
      <c r="V485" t="n">
        <v>19.8</v>
      </c>
      <c r="W485" t="inlineStr">
        <is>
          <t>2%</t>
        </is>
      </c>
      <c r="X485" t="inlineStr">
        <is>
          <t>22 : 78</t>
        </is>
      </c>
      <c r="Y485" t="n">
        <v>1001</v>
      </c>
      <c r="Z485" t="n">
        <v>801</v>
      </c>
      <c r="AA485" t="n">
        <v>34.8</v>
      </c>
      <c r="AB485" t="inlineStr">
        <is>
          <t>U0484</t>
        </is>
      </c>
      <c r="AC485" t="inlineStr">
        <is>
          <t>CH</t>
        </is>
      </c>
      <c r="AD485" t="n">
        <v>34.8</v>
      </c>
      <c r="AE485" t="n">
        <v>28.1</v>
      </c>
      <c r="AF485" t="n">
        <v>19.8</v>
      </c>
      <c r="AG485" t="inlineStr">
        <is>
          <t>1:19.8</t>
        </is>
      </c>
      <c r="AH485" t="inlineStr">
        <is>
          <t>2%</t>
        </is>
      </c>
      <c r="AI485" t="n">
        <v>5.4</v>
      </c>
      <c r="AJ485" t="n">
        <v>23.85</v>
      </c>
    </row>
    <row r="486">
      <c r="A486" t="inlineStr">
        <is>
          <t>Harbin Institute of Technology</t>
        </is>
      </c>
      <c r="B486" t="inlineStr">
        <is>
          <t>China</t>
        </is>
      </c>
      <c r="C486" t="inlineStr">
        <is>
          <t>252</t>
        </is>
      </c>
      <c r="D486" t="n">
        <v>40.3</v>
      </c>
      <c r="E486" t="n">
        <v>27.1</v>
      </c>
      <c r="F486" t="n">
        <v>21.1</v>
      </c>
      <c r="G486" t="n">
        <v>33.7</v>
      </c>
      <c r="H486" t="n">
        <v>99.8</v>
      </c>
      <c r="I486" t="n">
        <v>8</v>
      </c>
      <c r="J486" t="n">
        <v>5</v>
      </c>
      <c r="K486" t="n">
        <v>68.59999999999999</v>
      </c>
      <c r="L486" t="n">
        <v>28.3</v>
      </c>
      <c r="M486" t="n">
        <v>14.6</v>
      </c>
      <c r="N486">
        <f>168</f>
        <v/>
      </c>
      <c r="O486" t="inlineStr">
        <is>
          <t>60.8</t>
        </is>
      </c>
      <c r="P486" t="n">
        <v>58.8</v>
      </c>
      <c r="Q486" t="n">
        <v>55.1</v>
      </c>
      <c r="R486" t="n">
        <v>70.90000000000001</v>
      </c>
      <c r="S486" t="n">
        <v>91.2</v>
      </c>
      <c r="T486" t="n">
        <v>33.9</v>
      </c>
      <c r="U486" t="inlineStr">
        <is>
          <t>30,933</t>
        </is>
      </c>
      <c r="V486" t="n">
        <v>10.6</v>
      </c>
      <c r="W486" t="inlineStr">
        <is>
          <t>6%</t>
        </is>
      </c>
      <c r="X486" t="inlineStr"/>
      <c r="Y486" t="n">
        <v>252</v>
      </c>
      <c r="Z486" t="n">
        <v>168</v>
      </c>
      <c r="AA486" t="n">
        <v>60.8</v>
      </c>
      <c r="AB486" t="inlineStr">
        <is>
          <t>U0485</t>
        </is>
      </c>
      <c r="AC486" t="inlineStr">
        <is>
          <t>CH</t>
        </is>
      </c>
      <c r="AD486" t="n">
        <v>40.3</v>
      </c>
      <c r="AE486" t="n">
        <v>99.8</v>
      </c>
      <c r="AF486" t="n">
        <v>10.6</v>
      </c>
      <c r="AG486" t="inlineStr">
        <is>
          <t>1:10.6</t>
        </is>
      </c>
      <c r="AH486" t="inlineStr">
        <is>
          <t>6%</t>
        </is>
      </c>
      <c r="AI486" t="n">
        <v>27.1</v>
      </c>
      <c r="AJ486" t="n">
        <v>60.71</v>
      </c>
    </row>
    <row r="487">
      <c r="A487" t="inlineStr">
        <is>
          <t>Harokopio University of Athens</t>
        </is>
      </c>
      <c r="B487" t="inlineStr">
        <is>
          <t>Greece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>
        <is>
          <t>601–800</t>
        </is>
      </c>
      <c r="O487" t="inlineStr">
        <is>
          <t>37.0–41.8</t>
        </is>
      </c>
      <c r="P487" t="n">
        <v>25.1</v>
      </c>
      <c r="Q487" t="n">
        <v>27.4</v>
      </c>
      <c r="R487" t="n">
        <v>72.90000000000001</v>
      </c>
      <c r="S487" t="n">
        <v>37.4</v>
      </c>
      <c r="T487" t="n">
        <v>41.1</v>
      </c>
      <c r="U487" t="inlineStr">
        <is>
          <t>3,053</t>
        </is>
      </c>
      <c r="V487" t="n">
        <v>44.9</v>
      </c>
      <c r="W487" t="inlineStr">
        <is>
          <t>3%</t>
        </is>
      </c>
      <c r="X487" t="inlineStr">
        <is>
          <t>52 : 48</t>
        </is>
      </c>
      <c r="Y487" t="inlineStr"/>
      <c r="Z487" t="n">
        <v>601</v>
      </c>
      <c r="AA487" t="n">
        <v>39.4</v>
      </c>
      <c r="AB487" t="inlineStr">
        <is>
          <t>U0486</t>
        </is>
      </c>
      <c r="AC487" t="inlineStr">
        <is>
          <t>GR</t>
        </is>
      </c>
      <c r="AD487" t="n">
        <v>39.4</v>
      </c>
      <c r="AE487" t="n">
        <v>72.90000000000001</v>
      </c>
      <c r="AF487" t="n">
        <v>44.9</v>
      </c>
      <c r="AG487" t="inlineStr">
        <is>
          <t>1:44.9</t>
        </is>
      </c>
      <c r="AH487" t="inlineStr">
        <is>
          <t>3%</t>
        </is>
      </c>
      <c r="AI487" t="inlineStr"/>
      <c r="AJ487" t="n">
        <v>39.78</v>
      </c>
    </row>
    <row r="488">
      <c r="A488" t="inlineStr">
        <is>
          <t>Harper Adams University</t>
        </is>
      </c>
      <c r="B488" t="inlineStr">
        <is>
          <t>United Kingdom</t>
        </is>
      </c>
      <c r="C488" t="inlineStr">
        <is>
          <t>1201-1400</t>
        </is>
      </c>
      <c r="D488" t="inlineStr"/>
      <c r="E488" t="n">
        <v>4.2</v>
      </c>
      <c r="F488" t="n">
        <v>10.3</v>
      </c>
      <c r="G488" t="n">
        <v>6.1</v>
      </c>
      <c r="H488" t="n">
        <v>6.9</v>
      </c>
      <c r="I488" t="n">
        <v>17.4</v>
      </c>
      <c r="J488" t="n">
        <v>7.6</v>
      </c>
      <c r="K488" t="n">
        <v>11.6</v>
      </c>
      <c r="L488" t="n">
        <v>1.5</v>
      </c>
      <c r="M488" t="n">
        <v>1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1201</v>
      </c>
      <c r="Z488" t="inlineStr"/>
      <c r="AA488" t="inlineStr"/>
      <c r="AB488" t="inlineStr">
        <is>
          <t>U0487</t>
        </is>
      </c>
      <c r="AC488" t="inlineStr">
        <is>
          <t>UN</t>
        </is>
      </c>
      <c r="AD488" t="inlineStr"/>
      <c r="AE488" t="n">
        <v>6.9</v>
      </c>
      <c r="AF488" t="inlineStr"/>
      <c r="AG488" t="inlineStr"/>
      <c r="AH488" t="inlineStr"/>
      <c r="AI488" t="n">
        <v>4.2</v>
      </c>
      <c r="AJ488" t="n">
        <v>15.48</v>
      </c>
    </row>
    <row r="489">
      <c r="A489" t="inlineStr">
        <is>
          <t>Harvard University</t>
        </is>
      </c>
      <c r="B489" t="inlineStr">
        <is>
          <t>United States</t>
        </is>
      </c>
      <c r="C489" t="inlineStr">
        <is>
          <t>4</t>
        </is>
      </c>
      <c r="D489" t="n">
        <v>96.8</v>
      </c>
      <c r="E489" t="n">
        <v>100</v>
      </c>
      <c r="F489" t="n">
        <v>100</v>
      </c>
      <c r="G489" t="n">
        <v>96.3</v>
      </c>
      <c r="H489" t="n">
        <v>100</v>
      </c>
      <c r="I489" t="n">
        <v>74.09999999999999</v>
      </c>
      <c r="J489" t="n">
        <v>69</v>
      </c>
      <c r="K489" t="n">
        <v>99.59999999999999</v>
      </c>
      <c r="L489" t="n">
        <v>100</v>
      </c>
      <c r="M489" t="n">
        <v>84.40000000000001</v>
      </c>
      <c r="N489" t="inlineStr">
        <is>
          <t>4</t>
        </is>
      </c>
      <c r="O489" t="inlineStr">
        <is>
          <t>97.8</t>
        </is>
      </c>
      <c r="P489" t="n">
        <v>97.7</v>
      </c>
      <c r="Q489" t="n">
        <v>99.90000000000001</v>
      </c>
      <c r="R489" t="n">
        <v>99.40000000000001</v>
      </c>
      <c r="S489" t="n">
        <v>84.2</v>
      </c>
      <c r="T489" t="n">
        <v>90.8</v>
      </c>
      <c r="U489" t="inlineStr">
        <is>
          <t>20,050</t>
        </is>
      </c>
      <c r="V489" t="n">
        <v>9</v>
      </c>
      <c r="W489" t="inlineStr">
        <is>
          <t>25%</t>
        </is>
      </c>
      <c r="X489" t="inlineStr">
        <is>
          <t>51 : 49</t>
        </is>
      </c>
      <c r="Y489" t="n">
        <v>4</v>
      </c>
      <c r="Z489" t="n">
        <v>4</v>
      </c>
      <c r="AA489" t="n">
        <v>97.8</v>
      </c>
      <c r="AB489" t="inlineStr">
        <is>
          <t>U0488</t>
        </is>
      </c>
      <c r="AC489" t="inlineStr">
        <is>
          <t>UN</t>
        </is>
      </c>
      <c r="AD489" t="n">
        <v>96.8</v>
      </c>
      <c r="AE489" t="n">
        <v>100</v>
      </c>
      <c r="AF489" t="n">
        <v>9</v>
      </c>
      <c r="AG489" t="inlineStr">
        <is>
          <t>1:9.0</t>
        </is>
      </c>
      <c r="AH489" t="inlineStr">
        <is>
          <t>25%</t>
        </is>
      </c>
      <c r="AI489" t="n">
        <v>100</v>
      </c>
      <c r="AJ489" t="n">
        <v>98.01000000000001</v>
      </c>
    </row>
    <row r="490">
      <c r="A490" t="inlineStr">
        <is>
          <t>Hasanuddin University</t>
        </is>
      </c>
      <c r="B490" t="inlineStr">
        <is>
          <t>Indonesia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1501+</t>
        </is>
      </c>
      <c r="O490" t="inlineStr">
        <is>
          <t>9.7–22.7</t>
        </is>
      </c>
      <c r="P490" t="n">
        <v>18.8</v>
      </c>
      <c r="Q490" t="n">
        <v>11.2</v>
      </c>
      <c r="R490" t="n">
        <v>25.8</v>
      </c>
      <c r="S490" t="n">
        <v>27.5</v>
      </c>
      <c r="T490" t="n">
        <v>19.8</v>
      </c>
      <c r="U490" t="inlineStr">
        <is>
          <t>38,942</t>
        </is>
      </c>
      <c r="V490" t="n">
        <v>16.6</v>
      </c>
      <c r="W490" t="inlineStr">
        <is>
          <t>0%</t>
        </is>
      </c>
      <c r="X490" t="inlineStr">
        <is>
          <t>51 : 49</t>
        </is>
      </c>
      <c r="Y490" t="inlineStr"/>
      <c r="Z490" t="n">
        <v>1501</v>
      </c>
      <c r="AA490" t="n">
        <v>16.2</v>
      </c>
      <c r="AB490" t="inlineStr">
        <is>
          <t>U0489</t>
        </is>
      </c>
      <c r="AC490" t="inlineStr">
        <is>
          <t>IN</t>
        </is>
      </c>
      <c r="AD490" t="n">
        <v>16.2</v>
      </c>
      <c r="AE490" t="n">
        <v>25.8</v>
      </c>
      <c r="AF490" t="n">
        <v>16.6</v>
      </c>
      <c r="AG490" t="inlineStr">
        <is>
          <t>1:16.6</t>
        </is>
      </c>
      <c r="AH490" t="inlineStr">
        <is>
          <t>0%</t>
        </is>
      </c>
      <c r="AI490" t="inlineStr"/>
      <c r="AJ490" t="n">
        <v>11.87</v>
      </c>
    </row>
    <row r="491">
      <c r="A491" t="inlineStr">
        <is>
          <t>The Hashemite University</t>
        </is>
      </c>
      <c r="B491" t="inlineStr">
        <is>
          <t>Jordan</t>
        </is>
      </c>
      <c r="C491" t="inlineStr">
        <is>
          <t>1001-1200</t>
        </is>
      </c>
      <c r="D491" t="inlineStr"/>
      <c r="E491" t="n">
        <v>9.4</v>
      </c>
      <c r="F491" t="n">
        <v>14.6</v>
      </c>
      <c r="G491" t="n">
        <v>4.2</v>
      </c>
      <c r="H491" t="n">
        <v>3.6</v>
      </c>
      <c r="I491" t="n">
        <v>7.2</v>
      </c>
      <c r="J491" t="n">
        <v>14.6</v>
      </c>
      <c r="K491" t="n">
        <v>39.1</v>
      </c>
      <c r="L491" t="n">
        <v>3.6</v>
      </c>
      <c r="M491" t="n">
        <v>2.4</v>
      </c>
      <c r="N491" t="inlineStr">
        <is>
          <t>1201–1500</t>
        </is>
      </c>
      <c r="O491" t="inlineStr">
        <is>
          <t>22.8–28.2</t>
        </is>
      </c>
      <c r="P491" t="n">
        <v>13.2</v>
      </c>
      <c r="Q491" t="n">
        <v>14.2</v>
      </c>
      <c r="R491" t="n">
        <v>40.6</v>
      </c>
      <c r="S491" t="n">
        <v>25.4</v>
      </c>
      <c r="T491" t="n">
        <v>53.1</v>
      </c>
      <c r="U491" t="inlineStr">
        <is>
          <t>17,665</t>
        </is>
      </c>
      <c r="V491" t="n">
        <v>23</v>
      </c>
      <c r="W491" t="inlineStr">
        <is>
          <t>7%</t>
        </is>
      </c>
      <c r="X491" t="inlineStr">
        <is>
          <t>63 : 37</t>
        </is>
      </c>
      <c r="Y491" t="n">
        <v>1001</v>
      </c>
      <c r="Z491" t="n">
        <v>1201</v>
      </c>
      <c r="AA491" t="n">
        <v>25.5</v>
      </c>
      <c r="AB491" t="inlineStr">
        <is>
          <t>U0490</t>
        </is>
      </c>
      <c r="AC491" t="inlineStr">
        <is>
          <t>JO</t>
        </is>
      </c>
      <c r="AD491" t="n">
        <v>25.5</v>
      </c>
      <c r="AE491" t="n">
        <v>3.6</v>
      </c>
      <c r="AF491" t="n">
        <v>23</v>
      </c>
      <c r="AG491" t="inlineStr">
        <is>
          <t>1:23.0</t>
        </is>
      </c>
      <c r="AH491" t="inlineStr">
        <is>
          <t>7%</t>
        </is>
      </c>
      <c r="AI491" t="n">
        <v>9.4</v>
      </c>
      <c r="AJ491" t="n">
        <v>14.77</v>
      </c>
    </row>
    <row r="492">
      <c r="A492" t="inlineStr">
        <is>
          <t xml:space="preserve">Hasselt University </t>
        </is>
      </c>
      <c r="B492" t="inlineStr">
        <is>
          <t>Belgium</t>
        </is>
      </c>
      <c r="C492" t="inlineStr">
        <is>
          <t>554</t>
        </is>
      </c>
      <c r="D492" t="n">
        <v>22.4</v>
      </c>
      <c r="E492" t="n">
        <v>5.8</v>
      </c>
      <c r="F492" t="n">
        <v>3.3</v>
      </c>
      <c r="G492" t="n">
        <v>82.09999999999999</v>
      </c>
      <c r="H492" t="n">
        <v>15.4</v>
      </c>
      <c r="I492" t="n">
        <v>74.2</v>
      </c>
      <c r="J492" t="n">
        <v>25.3</v>
      </c>
      <c r="K492" t="n">
        <v>69.59999999999999</v>
      </c>
      <c r="L492" t="n">
        <v>2.4</v>
      </c>
      <c r="M492" t="n">
        <v>26.8</v>
      </c>
      <c r="N492" t="inlineStr">
        <is>
          <t>351–400</t>
        </is>
      </c>
      <c r="O492" t="inlineStr">
        <is>
          <t>49.1–51.0</t>
        </is>
      </c>
      <c r="P492" t="n">
        <v>33.5</v>
      </c>
      <c r="Q492" t="n">
        <v>38.1</v>
      </c>
      <c r="R492" t="n">
        <v>69.09999999999999</v>
      </c>
      <c r="S492" t="n">
        <v>83.90000000000001</v>
      </c>
      <c r="T492" t="n">
        <v>71.59999999999999</v>
      </c>
      <c r="U492" t="inlineStr">
        <is>
          <t>5,749</t>
        </is>
      </c>
      <c r="V492" t="n">
        <v>30.9</v>
      </c>
      <c r="W492" t="inlineStr">
        <is>
          <t>14%</t>
        </is>
      </c>
      <c r="X492" t="inlineStr">
        <is>
          <t>50 : 50</t>
        </is>
      </c>
      <c r="Y492" t="n">
        <v>554</v>
      </c>
      <c r="Z492" t="n">
        <v>351</v>
      </c>
      <c r="AA492" t="n">
        <v>50.05</v>
      </c>
      <c r="AB492" t="inlineStr">
        <is>
          <t>U0491</t>
        </is>
      </c>
      <c r="AC492" t="inlineStr">
        <is>
          <t>BE</t>
        </is>
      </c>
      <c r="AD492" t="n">
        <v>22.4</v>
      </c>
      <c r="AE492" t="n">
        <v>15.4</v>
      </c>
      <c r="AF492" t="n">
        <v>30.9</v>
      </c>
      <c r="AG492" t="inlineStr">
        <is>
          <t>1:30.9</t>
        </is>
      </c>
      <c r="AH492" t="inlineStr">
        <is>
          <t>14%</t>
        </is>
      </c>
      <c r="AI492" t="n">
        <v>5.8</v>
      </c>
      <c r="AJ492" t="n">
        <v>35.34</v>
      </c>
    </row>
    <row r="493">
      <c r="A493" t="inlineStr">
        <is>
          <t>Hassiba Benbouali University of Chlef</t>
        </is>
      </c>
      <c r="B493" t="inlineStr">
        <is>
          <t>Algeria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>
        <is>
          <t>1501+</t>
        </is>
      </c>
      <c r="O493" t="inlineStr">
        <is>
          <t>9.7–22.7</t>
        </is>
      </c>
      <c r="P493" t="n">
        <v>15.5</v>
      </c>
      <c r="Q493" t="n">
        <v>12.3</v>
      </c>
      <c r="R493" t="n">
        <v>20.7</v>
      </c>
      <c r="S493" t="n">
        <v>32.7</v>
      </c>
      <c r="T493" t="n">
        <v>41.9</v>
      </c>
      <c r="U493" t="inlineStr">
        <is>
          <t>30,200</t>
        </is>
      </c>
      <c r="V493" t="n">
        <v>22</v>
      </c>
      <c r="W493" t="inlineStr">
        <is>
          <t>1%</t>
        </is>
      </c>
      <c r="X493" t="inlineStr">
        <is>
          <t>72 : 28</t>
        </is>
      </c>
      <c r="Y493" t="inlineStr"/>
      <c r="Z493" t="n">
        <v>1501</v>
      </c>
      <c r="AA493" t="n">
        <v>16.2</v>
      </c>
      <c r="AB493" t="inlineStr">
        <is>
          <t>U0492</t>
        </is>
      </c>
      <c r="AC493" t="inlineStr">
        <is>
          <t>AL</t>
        </is>
      </c>
      <c r="AD493" t="n">
        <v>16.2</v>
      </c>
      <c r="AE493" t="n">
        <v>20.7</v>
      </c>
      <c r="AF493" t="n">
        <v>22</v>
      </c>
      <c r="AG493" t="inlineStr">
        <is>
          <t>1:22.0</t>
        </is>
      </c>
      <c r="AH493" t="inlineStr">
        <is>
          <t>1%</t>
        </is>
      </c>
      <c r="AI493" t="inlineStr"/>
      <c r="AJ493" t="n">
        <v>16.24</v>
      </c>
    </row>
    <row r="494">
      <c r="A494" t="inlineStr">
        <is>
          <t>Hazara University Mansehra</t>
        </is>
      </c>
      <c r="B494" t="inlineStr">
        <is>
          <t>Pakistan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>
        <is>
          <t>801–1000</t>
        </is>
      </c>
      <c r="O494" t="inlineStr">
        <is>
          <t>32.7–36.9</t>
        </is>
      </c>
      <c r="P494" t="n">
        <v>27.1</v>
      </c>
      <c r="Q494" t="n">
        <v>10.7</v>
      </c>
      <c r="R494" t="n">
        <v>70.90000000000001</v>
      </c>
      <c r="S494" t="n">
        <v>16.7</v>
      </c>
      <c r="T494" t="n">
        <v>49</v>
      </c>
      <c r="U494" t="inlineStr">
        <is>
          <t>11,056</t>
        </is>
      </c>
      <c r="V494" t="n">
        <v>21.3</v>
      </c>
      <c r="W494" t="inlineStr">
        <is>
          <t>0%</t>
        </is>
      </c>
      <c r="X494" t="inlineStr">
        <is>
          <t>54 : 46</t>
        </is>
      </c>
      <c r="Y494" t="inlineStr"/>
      <c r="Z494" t="n">
        <v>801</v>
      </c>
      <c r="AA494" t="n">
        <v>34.8</v>
      </c>
      <c r="AB494" t="inlineStr">
        <is>
          <t>U0493</t>
        </is>
      </c>
      <c r="AC494" t="inlineStr">
        <is>
          <t>PA</t>
        </is>
      </c>
      <c r="AD494" t="n">
        <v>34.8</v>
      </c>
      <c r="AE494" t="n">
        <v>70.90000000000001</v>
      </c>
      <c r="AF494" t="n">
        <v>21.3</v>
      </c>
      <c r="AG494" t="inlineStr">
        <is>
          <t>1:21.3</t>
        </is>
      </c>
      <c r="AH494" t="inlineStr">
        <is>
          <t>0%</t>
        </is>
      </c>
      <c r="AI494" t="inlineStr"/>
      <c r="AJ494" t="n">
        <v>32.34</v>
      </c>
    </row>
    <row r="495">
      <c r="A495" t="inlineStr">
        <is>
          <t>The Hebrew University of Jerusalem</t>
        </is>
      </c>
      <c r="B495" t="inlineStr">
        <is>
          <t>Israel</t>
        </is>
      </c>
      <c r="C495" t="inlineStr">
        <is>
          <t>281</t>
        </is>
      </c>
      <c r="D495" t="n">
        <v>37.9</v>
      </c>
      <c r="E495" t="n">
        <v>32.8</v>
      </c>
      <c r="F495" t="n">
        <v>18.2</v>
      </c>
      <c r="G495" t="n">
        <v>79.3</v>
      </c>
      <c r="H495" t="n">
        <v>19.4</v>
      </c>
      <c r="I495" t="n">
        <v>53.2</v>
      </c>
      <c r="J495" t="n">
        <v>23.8</v>
      </c>
      <c r="K495" t="n">
        <v>77.8</v>
      </c>
      <c r="L495" t="n">
        <v>94.59999999999999</v>
      </c>
      <c r="M495" t="n">
        <v>34.2</v>
      </c>
      <c r="N495" t="inlineStr">
        <is>
          <t>301–350</t>
        </is>
      </c>
      <c r="O495" t="inlineStr">
        <is>
          <t>51.1–53.0</t>
        </is>
      </c>
      <c r="P495" t="n">
        <v>46.4</v>
      </c>
      <c r="Q495" t="n">
        <v>36.3</v>
      </c>
      <c r="R495" t="n">
        <v>68.90000000000001</v>
      </c>
      <c r="S495" t="n">
        <v>71</v>
      </c>
      <c r="T495" t="n">
        <v>46.8</v>
      </c>
      <c r="U495" t="inlineStr">
        <is>
          <t>19,267</t>
        </is>
      </c>
      <c r="V495" t="n">
        <v>8.9</v>
      </c>
      <c r="W495" t="inlineStr">
        <is>
          <t>5%</t>
        </is>
      </c>
      <c r="X495" t="inlineStr">
        <is>
          <t>58 : 42</t>
        </is>
      </c>
      <c r="Y495" t="n">
        <v>281</v>
      </c>
      <c r="Z495" t="n">
        <v>301</v>
      </c>
      <c r="AA495" t="n">
        <v>52.05</v>
      </c>
      <c r="AB495" t="inlineStr">
        <is>
          <t>U0494</t>
        </is>
      </c>
      <c r="AC495" t="inlineStr">
        <is>
          <t>IS</t>
        </is>
      </c>
      <c r="AD495" t="n">
        <v>37.9</v>
      </c>
      <c r="AE495" t="n">
        <v>19.4</v>
      </c>
      <c r="AF495" t="n">
        <v>8.9</v>
      </c>
      <c r="AG495" t="inlineStr">
        <is>
          <t>1:8.9</t>
        </is>
      </c>
      <c r="AH495" t="inlineStr">
        <is>
          <t>5%</t>
        </is>
      </c>
      <c r="AI495" t="n">
        <v>32.8</v>
      </c>
      <c r="AJ495" t="n">
        <v>29.61</v>
      </c>
    </row>
    <row r="496">
      <c r="A496" t="inlineStr">
        <is>
          <t>Heinrich Heine University Düsseldorf</t>
        </is>
      </c>
      <c r="B496" t="inlineStr">
        <is>
          <t>Germany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251–300</t>
        </is>
      </c>
      <c r="O496" t="inlineStr">
        <is>
          <t>53.1–55.8</t>
        </is>
      </c>
      <c r="P496" t="n">
        <v>36.7</v>
      </c>
      <c r="Q496" t="n">
        <v>34.5</v>
      </c>
      <c r="R496" t="n">
        <v>82.3</v>
      </c>
      <c r="S496" t="n">
        <v>82.2</v>
      </c>
      <c r="T496" t="n">
        <v>66.8</v>
      </c>
      <c r="U496" t="inlineStr">
        <is>
          <t>28,121</t>
        </is>
      </c>
      <c r="V496" t="n">
        <v>30.1</v>
      </c>
      <c r="W496" t="inlineStr">
        <is>
          <t>13%</t>
        </is>
      </c>
      <c r="X496" t="inlineStr">
        <is>
          <t>58 : 42</t>
        </is>
      </c>
      <c r="Y496" t="inlineStr"/>
      <c r="Z496" t="n">
        <v>251</v>
      </c>
      <c r="AA496" t="n">
        <v>54.45</v>
      </c>
      <c r="AB496" t="inlineStr">
        <is>
          <t>U0495</t>
        </is>
      </c>
      <c r="AC496" t="inlineStr">
        <is>
          <t>GE</t>
        </is>
      </c>
      <c r="AD496" t="n">
        <v>54.45</v>
      </c>
      <c r="AE496" t="n">
        <v>82.3</v>
      </c>
      <c r="AF496" t="n">
        <v>30.1</v>
      </c>
      <c r="AG496" t="inlineStr">
        <is>
          <t>1:30.1</t>
        </is>
      </c>
      <c r="AH496" t="inlineStr">
        <is>
          <t>13%</t>
        </is>
      </c>
      <c r="AI496" t="inlineStr"/>
      <c r="AJ496" t="n">
        <v>52.57</v>
      </c>
    </row>
    <row r="497">
      <c r="A497" t="inlineStr">
        <is>
          <t>Hellenic Open University</t>
        </is>
      </c>
      <c r="B497" t="inlineStr">
        <is>
          <t>Greece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>
        <is>
          <t>1501+</t>
        </is>
      </c>
      <c r="O497" t="inlineStr">
        <is>
          <t>9.7–22.7</t>
        </is>
      </c>
      <c r="P497" t="n">
        <v>22.4</v>
      </c>
      <c r="Q497" t="n">
        <v>8.5</v>
      </c>
      <c r="R497" t="n">
        <v>34.2</v>
      </c>
      <c r="S497" t="n">
        <v>15.8</v>
      </c>
      <c r="T497" t="n">
        <v>26.2</v>
      </c>
      <c r="U497" t="inlineStr">
        <is>
          <t>19,612</t>
        </is>
      </c>
      <c r="V497" t="n">
        <v>6.8</v>
      </c>
      <c r="W497" t="inlineStr">
        <is>
          <t>1%</t>
        </is>
      </c>
      <c r="X497" t="inlineStr">
        <is>
          <t>60 : 40</t>
        </is>
      </c>
      <c r="Y497" t="inlineStr"/>
      <c r="Z497" t="n">
        <v>1501</v>
      </c>
      <c r="AA497" t="n">
        <v>16.2</v>
      </c>
      <c r="AB497" t="inlineStr">
        <is>
          <t>U0496</t>
        </is>
      </c>
      <c r="AC497" t="inlineStr">
        <is>
          <t>GR</t>
        </is>
      </c>
      <c r="AD497" t="n">
        <v>16.2</v>
      </c>
      <c r="AE497" t="n">
        <v>34.2</v>
      </c>
      <c r="AF497" t="n">
        <v>6.8</v>
      </c>
      <c r="AG497" t="inlineStr">
        <is>
          <t>1:6.8</t>
        </is>
      </c>
      <c r="AH497" t="inlineStr">
        <is>
          <t>1%</t>
        </is>
      </c>
      <c r="AI497" t="inlineStr"/>
      <c r="AJ497" t="n">
        <v>14.55</v>
      </c>
    </row>
    <row r="498">
      <c r="A498" t="inlineStr">
        <is>
          <t xml:space="preserve">Helwan University </t>
        </is>
      </c>
      <c r="B498" t="inlineStr">
        <is>
          <t>Egypt</t>
        </is>
      </c>
      <c r="C498" t="inlineStr">
        <is>
          <t>1201-1400</t>
        </is>
      </c>
      <c r="D498" t="inlineStr"/>
      <c r="E498" t="n">
        <v>7.3</v>
      </c>
      <c r="F498" t="n">
        <v>12.4</v>
      </c>
      <c r="G498" t="n">
        <v>3.6</v>
      </c>
      <c r="H498" t="n">
        <v>1.6</v>
      </c>
      <c r="I498" t="n">
        <v>1.1</v>
      </c>
      <c r="J498" t="n">
        <v>1.6</v>
      </c>
      <c r="K498" t="n">
        <v>50.7</v>
      </c>
      <c r="L498" t="n">
        <v>13.2</v>
      </c>
      <c r="M498" t="n">
        <v>1.5</v>
      </c>
      <c r="N498" t="inlineStr">
        <is>
          <t>1201–1500</t>
        </is>
      </c>
      <c r="O498" t="inlineStr">
        <is>
          <t>22.8–28.2</t>
        </is>
      </c>
      <c r="P498" t="n">
        <v>16.2</v>
      </c>
      <c r="Q498" t="n">
        <v>8.9</v>
      </c>
      <c r="R498" t="n">
        <v>38.8</v>
      </c>
      <c r="S498" t="n">
        <v>19.9</v>
      </c>
      <c r="T498" t="n">
        <v>47.6</v>
      </c>
      <c r="U498" t="inlineStr">
        <is>
          <t>124,886</t>
        </is>
      </c>
      <c r="V498" t="n">
        <v>22.4</v>
      </c>
      <c r="W498" t="inlineStr">
        <is>
          <t>2%</t>
        </is>
      </c>
      <c r="X498" t="inlineStr">
        <is>
          <t>54 : 46</t>
        </is>
      </c>
      <c r="Y498" t="n">
        <v>1201</v>
      </c>
      <c r="Z498" t="n">
        <v>1201</v>
      </c>
      <c r="AA498" t="n">
        <v>25.5</v>
      </c>
      <c r="AB498" t="inlineStr">
        <is>
          <t>U0497</t>
        </is>
      </c>
      <c r="AC498" t="inlineStr">
        <is>
          <t>EG</t>
        </is>
      </c>
      <c r="AD498" t="n">
        <v>25.5</v>
      </c>
      <c r="AE498" t="n">
        <v>1.6</v>
      </c>
      <c r="AF498" t="n">
        <v>22.4</v>
      </c>
      <c r="AG498" t="inlineStr">
        <is>
          <t>1:22.4</t>
        </is>
      </c>
      <c r="AH498" t="inlineStr">
        <is>
          <t>2%</t>
        </is>
      </c>
      <c r="AI498" t="n">
        <v>7.3</v>
      </c>
      <c r="AJ498" t="n">
        <v>10.05</v>
      </c>
    </row>
    <row r="499">
      <c r="A499" t="inlineStr">
        <is>
          <t>Heriot-Watt University</t>
        </is>
      </c>
      <c r="B499" t="inlineStr">
        <is>
          <t>United Kingdom</t>
        </is>
      </c>
      <c r="C499" t="inlineStr">
        <is>
          <t>256</t>
        </is>
      </c>
      <c r="D499" t="n">
        <v>39.9</v>
      </c>
      <c r="E499" t="n">
        <v>17.8</v>
      </c>
      <c r="F499" t="n">
        <v>27.1</v>
      </c>
      <c r="G499" t="n">
        <v>17.6</v>
      </c>
      <c r="H499" t="n">
        <v>65.2</v>
      </c>
      <c r="I499" t="n">
        <v>100</v>
      </c>
      <c r="J499" t="n">
        <v>98.09999999999999</v>
      </c>
      <c r="K499" t="n">
        <v>75.40000000000001</v>
      </c>
      <c r="L499" t="n">
        <v>26.3</v>
      </c>
      <c r="M499" t="n">
        <v>25.7</v>
      </c>
      <c r="N499" t="inlineStr">
        <is>
          <t>351–400</t>
        </is>
      </c>
      <c r="O499" t="inlineStr">
        <is>
          <t>49.1–51.0</t>
        </is>
      </c>
      <c r="P499" t="n">
        <v>34.3</v>
      </c>
      <c r="Q499" t="n">
        <v>33.4</v>
      </c>
      <c r="R499" t="n">
        <v>65.2</v>
      </c>
      <c r="S499" t="n">
        <v>75.09999999999999</v>
      </c>
      <c r="T499" t="n">
        <v>94.8</v>
      </c>
      <c r="U499" t="inlineStr">
        <is>
          <t>9,735</t>
        </is>
      </c>
      <c r="V499" t="n">
        <v>18.2</v>
      </c>
      <c r="W499" t="inlineStr">
        <is>
          <t>36%</t>
        </is>
      </c>
      <c r="X499" t="inlineStr">
        <is>
          <t>39 : 61</t>
        </is>
      </c>
      <c r="Y499" t="n">
        <v>256</v>
      </c>
      <c r="Z499" t="n">
        <v>351</v>
      </c>
      <c r="AA499" t="n">
        <v>50.05</v>
      </c>
      <c r="AB499" t="inlineStr">
        <is>
          <t>U0498</t>
        </is>
      </c>
      <c r="AC499" t="inlineStr">
        <is>
          <t>UN</t>
        </is>
      </c>
      <c r="AD499" t="n">
        <v>39.9</v>
      </c>
      <c r="AE499" t="n">
        <v>65.2</v>
      </c>
      <c r="AF499" t="n">
        <v>18.2</v>
      </c>
      <c r="AG499" t="inlineStr">
        <is>
          <t>1:18.2</t>
        </is>
      </c>
      <c r="AH499" t="inlineStr">
        <is>
          <t>36%</t>
        </is>
      </c>
      <c r="AI499" t="n">
        <v>17.8</v>
      </c>
      <c r="AJ499" t="n">
        <v>53.58</v>
      </c>
    </row>
    <row r="500">
      <c r="A500" t="inlineStr">
        <is>
          <t>The Herzen State Pedagogical University of Russia</t>
        </is>
      </c>
      <c r="B500" t="inlineStr">
        <is>
          <t>Russian Federation</t>
        </is>
      </c>
      <c r="C500" t="inlineStr">
        <is>
          <t>1201-1400</t>
        </is>
      </c>
      <c r="D500" t="inlineStr"/>
      <c r="E500" t="n">
        <v>3.8</v>
      </c>
      <c r="F500" t="n">
        <v>2</v>
      </c>
      <c r="G500" t="n">
        <v>20.1</v>
      </c>
      <c r="H500" t="n">
        <v>1.2</v>
      </c>
      <c r="I500" t="n">
        <v>1.4</v>
      </c>
      <c r="J500" t="n">
        <v>41.1</v>
      </c>
      <c r="K500" t="n">
        <v>12.7</v>
      </c>
      <c r="L500" t="n">
        <v>5.5</v>
      </c>
      <c r="M500" t="n">
        <v>1</v>
      </c>
      <c r="N500" t="inlineStr">
        <is>
          <t>1501+</t>
        </is>
      </c>
      <c r="O500" t="inlineStr">
        <is>
          <t>9.7–22.7</t>
        </is>
      </c>
      <c r="P500" t="n">
        <v>20.2</v>
      </c>
      <c r="Q500" t="n">
        <v>11.5</v>
      </c>
      <c r="R500" t="n">
        <v>9.800000000000001</v>
      </c>
      <c r="S500" t="n">
        <v>17.6</v>
      </c>
      <c r="T500" t="n">
        <v>39.2</v>
      </c>
      <c r="U500" t="inlineStr">
        <is>
          <t>15,645</t>
        </is>
      </c>
      <c r="V500" t="n">
        <v>15.4</v>
      </c>
      <c r="W500" t="inlineStr">
        <is>
          <t>18%</t>
        </is>
      </c>
      <c r="X500" t="inlineStr">
        <is>
          <t>75 : 25</t>
        </is>
      </c>
      <c r="Y500" t="n">
        <v>1201</v>
      </c>
      <c r="Z500" t="n">
        <v>1501</v>
      </c>
      <c r="AA500" t="n">
        <v>16.2</v>
      </c>
      <c r="AB500" t="inlineStr">
        <is>
          <t>U0499</t>
        </is>
      </c>
      <c r="AC500" t="inlineStr">
        <is>
          <t>RU</t>
        </is>
      </c>
      <c r="AD500" t="n">
        <v>16.2</v>
      </c>
      <c r="AE500" t="n">
        <v>1.2</v>
      </c>
      <c r="AF500" t="n">
        <v>15.4</v>
      </c>
      <c r="AG500" t="inlineStr">
        <is>
          <t>1:15.4</t>
        </is>
      </c>
      <c r="AH500" t="inlineStr">
        <is>
          <t>18%</t>
        </is>
      </c>
      <c r="AI500" t="n">
        <v>3.8</v>
      </c>
      <c r="AJ500" t="n">
        <v>9.26</v>
      </c>
    </row>
    <row r="501">
      <c r="A501" t="inlineStr">
        <is>
          <t>Hindustan Institute of Technology and Science</t>
        </is>
      </c>
      <c r="B501" t="inlineStr">
        <is>
          <t>India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>
        <is>
          <t>1501+</t>
        </is>
      </c>
      <c r="O501" t="inlineStr">
        <is>
          <t>9.7–22.7</t>
        </is>
      </c>
      <c r="P501" t="n">
        <v>21.9</v>
      </c>
      <c r="Q501" t="n">
        <v>9.300000000000001</v>
      </c>
      <c r="R501" t="n">
        <v>33.6</v>
      </c>
      <c r="S501" t="n">
        <v>16.3</v>
      </c>
      <c r="T501" t="n">
        <v>23.4</v>
      </c>
      <c r="U501" t="inlineStr">
        <is>
          <t>7,325</t>
        </is>
      </c>
      <c r="V501" t="n">
        <v>11.3</v>
      </c>
      <c r="W501" t="inlineStr">
        <is>
          <t>1%</t>
        </is>
      </c>
      <c r="X501" t="inlineStr">
        <is>
          <t>47 : 53</t>
        </is>
      </c>
      <c r="Y501" t="inlineStr"/>
      <c r="Z501" t="n">
        <v>1501</v>
      </c>
      <c r="AA501" t="n">
        <v>16.2</v>
      </c>
      <c r="AB501" t="inlineStr">
        <is>
          <t>U0500</t>
        </is>
      </c>
      <c r="AC501" t="inlineStr">
        <is>
          <t>IN</t>
        </is>
      </c>
      <c r="AD501" t="n">
        <v>16.2</v>
      </c>
      <c r="AE501" t="n">
        <v>33.6</v>
      </c>
      <c r="AF501" t="n">
        <v>11.3</v>
      </c>
      <c r="AG501" t="inlineStr">
        <is>
          <t>1:11.3</t>
        </is>
      </c>
      <c r="AH501" t="inlineStr">
        <is>
          <t>1%</t>
        </is>
      </c>
      <c r="AI501" t="inlineStr"/>
      <c r="AJ501" t="n">
        <v>14.11</v>
      </c>
    </row>
    <row r="502">
      <c r="A502" t="inlineStr">
        <is>
          <t>Hiroshima University</t>
        </is>
      </c>
      <c r="B502" t="inlineStr">
        <is>
          <t>Japan</t>
        </is>
      </c>
      <c r="C502" t="inlineStr">
        <is>
          <t>474</t>
        </is>
      </c>
      <c r="D502" t="n">
        <v>25.2</v>
      </c>
      <c r="E502" t="n">
        <v>24.1</v>
      </c>
      <c r="F502" t="n">
        <v>12.3</v>
      </c>
      <c r="G502" t="n">
        <v>75.90000000000001</v>
      </c>
      <c r="H502" t="n">
        <v>8.9</v>
      </c>
      <c r="I502" t="n">
        <v>13.2</v>
      </c>
      <c r="J502" t="n">
        <v>12.9</v>
      </c>
      <c r="K502" t="n">
        <v>70.09999999999999</v>
      </c>
      <c r="L502" t="n">
        <v>6.9</v>
      </c>
      <c r="M502" t="n">
        <v>50.8</v>
      </c>
      <c r="N502" t="inlineStr">
        <is>
          <t>601–800</t>
        </is>
      </c>
      <c r="O502" t="inlineStr">
        <is>
          <t>37.0–41.8</t>
        </is>
      </c>
      <c r="P502" t="n">
        <v>39.6</v>
      </c>
      <c r="Q502" t="n">
        <v>26.4</v>
      </c>
      <c r="R502" t="n">
        <v>44.7</v>
      </c>
      <c r="S502" t="n">
        <v>68.5</v>
      </c>
      <c r="T502" t="n">
        <v>51.5</v>
      </c>
      <c r="U502" t="inlineStr">
        <is>
          <t>14,590</t>
        </is>
      </c>
      <c r="V502" t="n">
        <v>7.6</v>
      </c>
      <c r="W502" t="inlineStr">
        <is>
          <t>10%</t>
        </is>
      </c>
      <c r="X502" t="inlineStr">
        <is>
          <t>38 : 62</t>
        </is>
      </c>
      <c r="Y502" t="n">
        <v>474</v>
      </c>
      <c r="Z502" t="n">
        <v>601</v>
      </c>
      <c r="AA502" t="n">
        <v>39.4</v>
      </c>
      <c r="AB502" t="inlineStr">
        <is>
          <t>U0501</t>
        </is>
      </c>
      <c r="AC502" t="inlineStr">
        <is>
          <t>JA</t>
        </is>
      </c>
      <c r="AD502" t="n">
        <v>25.2</v>
      </c>
      <c r="AE502" t="n">
        <v>8.9</v>
      </c>
      <c r="AF502" t="n">
        <v>7.6</v>
      </c>
      <c r="AG502" t="inlineStr">
        <is>
          <t>1:7.6</t>
        </is>
      </c>
      <c r="AH502" t="inlineStr">
        <is>
          <t>10%</t>
        </is>
      </c>
      <c r="AI502" t="n">
        <v>24.1</v>
      </c>
      <c r="AJ502" t="n">
        <v>22.38</v>
      </c>
    </row>
    <row r="503">
      <c r="A503" t="inlineStr">
        <is>
          <t>Hitit University</t>
        </is>
      </c>
      <c r="B503" t="inlineStr">
        <is>
          <t>Turkey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>
        <is>
          <t>1501+</t>
        </is>
      </c>
      <c r="O503" t="inlineStr">
        <is>
          <t>9.7–22.7</t>
        </is>
      </c>
      <c r="P503" t="n">
        <v>15.2</v>
      </c>
      <c r="Q503" t="n">
        <v>9.800000000000001</v>
      </c>
      <c r="R503" t="n">
        <v>15.1</v>
      </c>
      <c r="S503" t="n">
        <v>16.5</v>
      </c>
      <c r="T503" t="n">
        <v>22.8</v>
      </c>
      <c r="U503" t="inlineStr">
        <is>
          <t>10,501</t>
        </is>
      </c>
      <c r="V503" t="n">
        <v>22.6</v>
      </c>
      <c r="W503" t="inlineStr">
        <is>
          <t>4%</t>
        </is>
      </c>
      <c r="X503" t="inlineStr">
        <is>
          <t>48 : 52</t>
        </is>
      </c>
      <c r="Y503" t="inlineStr"/>
      <c r="Z503" t="n">
        <v>1501</v>
      </c>
      <c r="AA503" t="n">
        <v>16.2</v>
      </c>
      <c r="AB503" t="inlineStr">
        <is>
          <t>U0502</t>
        </is>
      </c>
      <c r="AC503" t="inlineStr">
        <is>
          <t>TU</t>
        </is>
      </c>
      <c r="AD503" t="n">
        <v>16.2</v>
      </c>
      <c r="AE503" t="n">
        <v>15.1</v>
      </c>
      <c r="AF503" t="n">
        <v>22.6</v>
      </c>
      <c r="AG503" t="inlineStr">
        <is>
          <t>1:22.6</t>
        </is>
      </c>
      <c r="AH503" t="inlineStr">
        <is>
          <t>4%</t>
        </is>
      </c>
      <c r="AI503" t="inlineStr"/>
      <c r="AJ503" t="n">
        <v>8.619999999999999</v>
      </c>
    </row>
    <row r="504">
      <c r="A504" t="inlineStr">
        <is>
          <t>Hitotsubashi University</t>
        </is>
      </c>
      <c r="B504" t="inlineStr">
        <is>
          <t>Japan</t>
        </is>
      </c>
      <c r="C504" t="inlineStr">
        <is>
          <t>539</t>
        </is>
      </c>
      <c r="D504" t="n">
        <v>22.8</v>
      </c>
      <c r="E504" t="n">
        <v>14.4</v>
      </c>
      <c r="F504" t="n">
        <v>73</v>
      </c>
      <c r="G504" t="n">
        <v>30.8</v>
      </c>
      <c r="H504" t="n">
        <v>2.1</v>
      </c>
      <c r="I504" t="n">
        <v>19.8</v>
      </c>
      <c r="J504" t="n">
        <v>20</v>
      </c>
      <c r="K504" t="n">
        <v>7.5</v>
      </c>
      <c r="L504" t="n">
        <v>51.9</v>
      </c>
      <c r="M504" t="n">
        <v>1.1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539</v>
      </c>
      <c r="Z504" t="inlineStr"/>
      <c r="AA504" t="inlineStr"/>
      <c r="AB504" t="inlineStr">
        <is>
          <t>U0503</t>
        </is>
      </c>
      <c r="AC504" t="inlineStr">
        <is>
          <t>JA</t>
        </is>
      </c>
      <c r="AD504" t="n">
        <v>22.8</v>
      </c>
      <c r="AE504" t="n">
        <v>2.1</v>
      </c>
      <c r="AF504" t="inlineStr"/>
      <c r="AG504" t="inlineStr"/>
      <c r="AH504" t="inlineStr"/>
      <c r="AI504" t="n">
        <v>14.4</v>
      </c>
      <c r="AJ504" t="n">
        <v>14.02</v>
      </c>
    </row>
    <row r="505">
      <c r="A505" t="inlineStr">
        <is>
          <t>Hohai University</t>
        </is>
      </c>
      <c r="B505" t="inlineStr">
        <is>
          <t>China</t>
        </is>
      </c>
      <c r="C505" t="inlineStr">
        <is>
          <t>1001-1200</t>
        </is>
      </c>
      <c r="D505" t="inlineStr"/>
      <c r="E505" t="n">
        <v>4.1</v>
      </c>
      <c r="F505" t="n">
        <v>1.5</v>
      </c>
      <c r="G505" t="n">
        <v>7.9</v>
      </c>
      <c r="H505" t="n">
        <v>16.5</v>
      </c>
      <c r="I505" t="inlineStr"/>
      <c r="J505" t="inlineStr"/>
      <c r="K505" t="n">
        <v>70.7</v>
      </c>
      <c r="L505" t="n">
        <v>2.2</v>
      </c>
      <c r="M505" t="n">
        <v>2.4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1001</v>
      </c>
      <c r="Z505" t="inlineStr"/>
      <c r="AA505" t="inlineStr"/>
      <c r="AB505" t="inlineStr">
        <is>
          <t>U0504</t>
        </is>
      </c>
      <c r="AC505" t="inlineStr">
        <is>
          <t>CH</t>
        </is>
      </c>
      <c r="AD505" t="inlineStr"/>
      <c r="AE505" t="n">
        <v>16.5</v>
      </c>
      <c r="AF505" t="inlineStr"/>
      <c r="AG505" t="inlineStr"/>
      <c r="AH505" t="inlineStr"/>
      <c r="AI505" t="n">
        <v>4.1</v>
      </c>
      <c r="AJ505" t="n">
        <v>18.39</v>
      </c>
    </row>
    <row r="506">
      <c r="A506" t="inlineStr">
        <is>
          <t>Hokkaido University</t>
        </is>
      </c>
      <c r="B506" t="inlineStr">
        <is>
          <t>Japan</t>
        </is>
      </c>
      <c r="C506" t="inlineStr">
        <is>
          <t>173</t>
        </is>
      </c>
      <c r="D506" t="n">
        <v>49.8</v>
      </c>
      <c r="E506" t="n">
        <v>59</v>
      </c>
      <c r="F506" t="n">
        <v>63.3</v>
      </c>
      <c r="G506" t="n">
        <v>76.2</v>
      </c>
      <c r="H506" t="n">
        <v>26</v>
      </c>
      <c r="I506" t="n">
        <v>18.7</v>
      </c>
      <c r="J506" t="n">
        <v>12.1</v>
      </c>
      <c r="K506" t="n">
        <v>77.7</v>
      </c>
      <c r="L506" t="n">
        <v>15.5</v>
      </c>
      <c r="M506" t="n">
        <v>78.09999999999999</v>
      </c>
      <c r="N506" t="inlineStr">
        <is>
          <t>351–400</t>
        </is>
      </c>
      <c r="O506" t="inlineStr">
        <is>
          <t>49.1–51.0</t>
        </is>
      </c>
      <c r="P506" t="n">
        <v>51.2</v>
      </c>
      <c r="Q506" t="n">
        <v>44</v>
      </c>
      <c r="R506" t="n">
        <v>47.4</v>
      </c>
      <c r="S506" t="n">
        <v>95.09999999999999</v>
      </c>
      <c r="T506" t="n">
        <v>47.5</v>
      </c>
      <c r="U506" t="inlineStr">
        <is>
          <t>17,659</t>
        </is>
      </c>
      <c r="V506" t="n">
        <v>8.199999999999999</v>
      </c>
      <c r="W506" t="inlineStr">
        <is>
          <t>10%</t>
        </is>
      </c>
      <c r="X506" t="inlineStr">
        <is>
          <t>29 : 71</t>
        </is>
      </c>
      <c r="Y506" t="n">
        <v>173</v>
      </c>
      <c r="Z506" t="n">
        <v>351</v>
      </c>
      <c r="AA506" t="n">
        <v>50.05</v>
      </c>
      <c r="AB506" t="inlineStr">
        <is>
          <t>U0505</t>
        </is>
      </c>
      <c r="AC506" t="inlineStr">
        <is>
          <t>JA</t>
        </is>
      </c>
      <c r="AD506" t="n">
        <v>49.8</v>
      </c>
      <c r="AE506" t="n">
        <v>26</v>
      </c>
      <c r="AF506" t="n">
        <v>8.199999999999999</v>
      </c>
      <c r="AG506" t="inlineStr">
        <is>
          <t>1:8.2</t>
        </is>
      </c>
      <c r="AH506" t="inlineStr">
        <is>
          <t>10%</t>
        </is>
      </c>
      <c r="AI506" t="n">
        <v>59</v>
      </c>
      <c r="AJ506" t="n">
        <v>35.82</v>
      </c>
    </row>
    <row r="507">
      <c r="A507" t="inlineStr">
        <is>
          <t xml:space="preserve">Holy Spirit University of Kaslik </t>
        </is>
      </c>
      <c r="B507" t="inlineStr">
        <is>
          <t>Lebanon</t>
        </is>
      </c>
      <c r="C507" t="inlineStr">
        <is>
          <t>771-780</t>
        </is>
      </c>
      <c r="D507" t="inlineStr"/>
      <c r="E507" t="n">
        <v>6.7</v>
      </c>
      <c r="F507" t="n">
        <v>6.4</v>
      </c>
      <c r="G507" t="n">
        <v>62.3</v>
      </c>
      <c r="H507" t="n">
        <v>2.1</v>
      </c>
      <c r="I507" t="n">
        <v>98.90000000000001</v>
      </c>
      <c r="J507" t="n">
        <v>37.8</v>
      </c>
      <c r="K507" t="n">
        <v>6.5</v>
      </c>
      <c r="L507" t="n">
        <v>5.7</v>
      </c>
      <c r="M507" t="n">
        <v>1.1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771</v>
      </c>
      <c r="Z507" t="inlineStr"/>
      <c r="AA507" t="inlineStr"/>
      <c r="AB507" t="inlineStr">
        <is>
          <t>U0506</t>
        </is>
      </c>
      <c r="AC507" t="inlineStr">
        <is>
          <t>LE</t>
        </is>
      </c>
      <c r="AD507" t="inlineStr"/>
      <c r="AE507" t="n">
        <v>2.1</v>
      </c>
      <c r="AF507" t="inlineStr"/>
      <c r="AG507" t="inlineStr"/>
      <c r="AH507" t="inlineStr"/>
      <c r="AI507" t="n">
        <v>6.7</v>
      </c>
      <c r="AJ507" t="n">
        <v>14.02</v>
      </c>
    </row>
    <row r="508">
      <c r="A508" t="inlineStr">
        <is>
          <t>Hong Kong Baptist University</t>
        </is>
      </c>
      <c r="B508" t="inlineStr">
        <is>
          <t>Hong Kong</t>
        </is>
      </c>
      <c r="C508" t="inlineStr">
        <is>
          <t>252</t>
        </is>
      </c>
      <c r="D508" t="n">
        <v>40.3</v>
      </c>
      <c r="E508" t="n">
        <v>18.2</v>
      </c>
      <c r="F508" t="n">
        <v>12</v>
      </c>
      <c r="G508" t="n">
        <v>60</v>
      </c>
      <c r="H508" t="n">
        <v>61.4</v>
      </c>
      <c r="I508" t="n">
        <v>98.90000000000001</v>
      </c>
      <c r="J508" t="n">
        <v>100</v>
      </c>
      <c r="K508" t="n">
        <v>37</v>
      </c>
      <c r="L508" t="n">
        <v>15.7</v>
      </c>
      <c r="M508" t="n">
        <v>54.4</v>
      </c>
      <c r="N508" t="inlineStr">
        <is>
          <t>301–350</t>
        </is>
      </c>
      <c r="O508" t="inlineStr">
        <is>
          <t>51.1–53.0</t>
        </is>
      </c>
      <c r="P508" t="n">
        <v>34</v>
      </c>
      <c r="Q508" t="n">
        <v>28.9</v>
      </c>
      <c r="R508" t="n">
        <v>77.2</v>
      </c>
      <c r="S508" t="n">
        <v>69.59999999999999</v>
      </c>
      <c r="T508" t="n">
        <v>97.8</v>
      </c>
      <c r="U508" t="inlineStr">
        <is>
          <t>7,460</t>
        </is>
      </c>
      <c r="V508" t="n">
        <v>10.2</v>
      </c>
      <c r="W508" t="inlineStr">
        <is>
          <t>55%</t>
        </is>
      </c>
      <c r="X508" t="inlineStr">
        <is>
          <t>65 : 35</t>
        </is>
      </c>
      <c r="Y508" t="n">
        <v>252</v>
      </c>
      <c r="Z508" t="n">
        <v>301</v>
      </c>
      <c r="AA508" t="n">
        <v>52.05</v>
      </c>
      <c r="AB508" t="inlineStr">
        <is>
          <t>U0507</t>
        </is>
      </c>
      <c r="AC508" t="inlineStr">
        <is>
          <t>HO</t>
        </is>
      </c>
      <c r="AD508" t="n">
        <v>40.3</v>
      </c>
      <c r="AE508" t="n">
        <v>61.4</v>
      </c>
      <c r="AF508" t="n">
        <v>10.2</v>
      </c>
      <c r="AG508" t="inlineStr">
        <is>
          <t>1:10.2</t>
        </is>
      </c>
      <c r="AH508" t="inlineStr">
        <is>
          <t>55%</t>
        </is>
      </c>
      <c r="AI508" t="n">
        <v>18.2</v>
      </c>
      <c r="AJ508" t="n">
        <v>50.8</v>
      </c>
    </row>
    <row r="509">
      <c r="A509" t="inlineStr">
        <is>
          <t>The Hong Kong Polytechnic University</t>
        </is>
      </c>
      <c r="B509" t="inlineStr">
        <is>
          <t>Hong Kong</t>
        </is>
      </c>
      <c r="C509" t="inlineStr">
        <is>
          <t>57</t>
        </is>
      </c>
      <c r="D509" t="n">
        <v>72.09999999999999</v>
      </c>
      <c r="E509" t="n">
        <v>68</v>
      </c>
      <c r="F509" t="n">
        <v>35.6</v>
      </c>
      <c r="G509" t="n">
        <v>65</v>
      </c>
      <c r="H509" t="n">
        <v>94.90000000000001</v>
      </c>
      <c r="I509" t="n">
        <v>100</v>
      </c>
      <c r="J509" t="n">
        <v>91.90000000000001</v>
      </c>
      <c r="K509" t="n">
        <v>78.90000000000001</v>
      </c>
      <c r="L509" t="n">
        <v>64.5</v>
      </c>
      <c r="M509" t="n">
        <v>77.40000000000001</v>
      </c>
      <c r="N509">
        <f>87</f>
        <v/>
      </c>
      <c r="O509" t="inlineStr">
        <is>
          <t>68.2</t>
        </is>
      </c>
      <c r="P509" t="n">
        <v>45.7</v>
      </c>
      <c r="Q509" t="n">
        <v>54.1</v>
      </c>
      <c r="R509" t="n">
        <v>94.5</v>
      </c>
      <c r="S509" t="n">
        <v>87.40000000000001</v>
      </c>
      <c r="T509" t="n">
        <v>96.3</v>
      </c>
      <c r="U509" t="inlineStr">
        <is>
          <t>20,034</t>
        </is>
      </c>
      <c r="V509" t="n">
        <v>30.6</v>
      </c>
      <c r="W509" t="inlineStr">
        <is>
          <t>30%</t>
        </is>
      </c>
      <c r="X509" t="inlineStr">
        <is>
          <t>51 : 49</t>
        </is>
      </c>
      <c r="Y509" t="n">
        <v>57</v>
      </c>
      <c r="Z509" t="n">
        <v>87</v>
      </c>
      <c r="AA509" t="n">
        <v>68.2</v>
      </c>
      <c r="AB509" t="inlineStr">
        <is>
          <t>U0508</t>
        </is>
      </c>
      <c r="AC509" t="inlineStr">
        <is>
          <t>HO</t>
        </is>
      </c>
      <c r="AD509" t="n">
        <v>72.09999999999999</v>
      </c>
      <c r="AE509" t="n">
        <v>94.90000000000001</v>
      </c>
      <c r="AF509" t="n">
        <v>30.6</v>
      </c>
      <c r="AG509" t="inlineStr">
        <is>
          <t>1:30.6</t>
        </is>
      </c>
      <c r="AH509" t="inlineStr">
        <is>
          <t>30%</t>
        </is>
      </c>
      <c r="AI509" t="n">
        <v>68</v>
      </c>
      <c r="AJ509" t="n">
        <v>73.79000000000001</v>
      </c>
    </row>
    <row r="510">
      <c r="A510" t="inlineStr">
        <is>
          <t>The Hong Kong University of Science and Technology</t>
        </is>
      </c>
      <c r="B510" t="inlineStr">
        <is>
          <t>Hong Kong</t>
        </is>
      </c>
      <c r="C510" t="inlineStr">
        <is>
          <t>47</t>
        </is>
      </c>
      <c r="D510" t="n">
        <v>77.09999999999999</v>
      </c>
      <c r="E510" t="n">
        <v>81.09999999999999</v>
      </c>
      <c r="F510" t="n">
        <v>50.3</v>
      </c>
      <c r="G510" t="n">
        <v>56.7</v>
      </c>
      <c r="H510" t="n">
        <v>99.7</v>
      </c>
      <c r="I510" t="n">
        <v>100</v>
      </c>
      <c r="J510" t="n">
        <v>95.40000000000001</v>
      </c>
      <c r="K510" t="n">
        <v>46.7</v>
      </c>
      <c r="L510" t="n">
        <v>65.40000000000001</v>
      </c>
      <c r="M510" t="n">
        <v>77.59999999999999</v>
      </c>
      <c r="N510">
        <f>64</f>
        <v/>
      </c>
      <c r="O510" t="inlineStr">
        <is>
          <t>73.0</t>
        </is>
      </c>
      <c r="P510" t="n">
        <v>54</v>
      </c>
      <c r="Q510" t="n">
        <v>62.1</v>
      </c>
      <c r="R510" t="n">
        <v>92.90000000000001</v>
      </c>
      <c r="S510" t="n">
        <v>100</v>
      </c>
      <c r="T510" t="n">
        <v>95.5</v>
      </c>
      <c r="U510" t="inlineStr">
        <is>
          <t>9,794</t>
        </is>
      </c>
      <c r="V510" t="n">
        <v>19.9</v>
      </c>
      <c r="W510" t="inlineStr">
        <is>
          <t>30%</t>
        </is>
      </c>
      <c r="X510" t="inlineStr"/>
      <c r="Y510" t="n">
        <v>47</v>
      </c>
      <c r="Z510" t="n">
        <v>64</v>
      </c>
      <c r="AA510" t="n">
        <v>73</v>
      </c>
      <c r="AB510" t="inlineStr">
        <is>
          <t>U0509</t>
        </is>
      </c>
      <c r="AC510" t="inlineStr">
        <is>
          <t>HO</t>
        </is>
      </c>
      <c r="AD510" t="n">
        <v>77.09999999999999</v>
      </c>
      <c r="AE510" t="n">
        <v>99.7</v>
      </c>
      <c r="AF510" t="n">
        <v>19.9</v>
      </c>
      <c r="AG510" t="inlineStr">
        <is>
          <t>1:19.9</t>
        </is>
      </c>
      <c r="AH510" t="inlineStr">
        <is>
          <t>30%</t>
        </is>
      </c>
      <c r="AI510" t="n">
        <v>81.09999999999999</v>
      </c>
      <c r="AJ510" t="n">
        <v>79.25</v>
      </c>
    </row>
    <row r="511">
      <c r="A511" t="inlineStr">
        <is>
          <t xml:space="preserve">Hongik University </t>
        </is>
      </c>
      <c r="B511" t="inlineStr">
        <is>
          <t>South Korea</t>
        </is>
      </c>
      <c r="C511" t="inlineStr">
        <is>
          <t>1201-1400</t>
        </is>
      </c>
      <c r="D511" t="inlineStr"/>
      <c r="E511" t="n">
        <v>4.2</v>
      </c>
      <c r="F511" t="n">
        <v>5.6</v>
      </c>
      <c r="G511" t="n">
        <v>9.800000000000001</v>
      </c>
      <c r="H511" t="n">
        <v>3</v>
      </c>
      <c r="I511" t="n">
        <v>16</v>
      </c>
      <c r="J511" t="n">
        <v>9.6</v>
      </c>
      <c r="K511" t="n">
        <v>14.2</v>
      </c>
      <c r="L511" t="n">
        <v>4.8</v>
      </c>
      <c r="M511" t="n">
        <v>1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1201</v>
      </c>
      <c r="Z511" t="inlineStr"/>
      <c r="AA511" t="inlineStr"/>
      <c r="AB511" t="inlineStr">
        <is>
          <t>U0510</t>
        </is>
      </c>
      <c r="AC511" t="inlineStr">
        <is>
          <t>SO</t>
        </is>
      </c>
      <c r="AD511" t="inlineStr"/>
      <c r="AE511" t="n">
        <v>3</v>
      </c>
      <c r="AF511" t="inlineStr"/>
      <c r="AG511" t="inlineStr"/>
      <c r="AH511" t="inlineStr"/>
      <c r="AI511" t="n">
        <v>4.2</v>
      </c>
      <c r="AJ511" t="n">
        <v>14.3</v>
      </c>
    </row>
    <row r="512">
      <c r="A512" t="inlineStr">
        <is>
          <t>Hosei University</t>
        </is>
      </c>
      <c r="B512" t="inlineStr">
        <is>
          <t>Japan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>
        <is>
          <t>1501+</t>
        </is>
      </c>
      <c r="O512" t="inlineStr">
        <is>
          <t>9.7–22.7</t>
        </is>
      </c>
      <c r="P512" t="n">
        <v>15.2</v>
      </c>
      <c r="Q512" t="n">
        <v>11</v>
      </c>
      <c r="R512" t="n">
        <v>34</v>
      </c>
      <c r="S512" t="n">
        <v>23.9</v>
      </c>
      <c r="T512" t="n">
        <v>38.3</v>
      </c>
      <c r="U512" t="inlineStr">
        <is>
          <t>29,180</t>
        </is>
      </c>
      <c r="V512" t="n">
        <v>37.7</v>
      </c>
      <c r="W512" t="inlineStr">
        <is>
          <t>5%</t>
        </is>
      </c>
      <c r="X512" t="inlineStr">
        <is>
          <t>38 : 62</t>
        </is>
      </c>
      <c r="Y512" t="inlineStr"/>
      <c r="Z512" t="n">
        <v>1501</v>
      </c>
      <c r="AA512" t="n">
        <v>16.2</v>
      </c>
      <c r="AB512" t="inlineStr">
        <is>
          <t>U0511</t>
        </is>
      </c>
      <c r="AC512" t="inlineStr">
        <is>
          <t>JA</t>
        </is>
      </c>
      <c r="AD512" t="n">
        <v>16.2</v>
      </c>
      <c r="AE512" t="n">
        <v>34</v>
      </c>
      <c r="AF512" t="n">
        <v>37.7</v>
      </c>
      <c r="AG512" t="inlineStr">
        <is>
          <t>1:37.7</t>
        </is>
      </c>
      <c r="AH512" t="inlineStr">
        <is>
          <t>5%</t>
        </is>
      </c>
      <c r="AI512" t="inlineStr"/>
      <c r="AJ512" t="n">
        <v>18.72</v>
      </c>
    </row>
    <row r="513">
      <c r="A513" t="inlineStr">
        <is>
          <t>Howard University</t>
        </is>
      </c>
      <c r="B513" t="inlineStr">
        <is>
          <t>United States</t>
        </is>
      </c>
      <c r="C513" t="inlineStr">
        <is>
          <t>1001-1200</t>
        </is>
      </c>
      <c r="D513" t="inlineStr"/>
      <c r="E513" t="n">
        <v>7</v>
      </c>
      <c r="F513" t="n">
        <v>9.199999999999999</v>
      </c>
      <c r="G513" t="n">
        <v>38.9</v>
      </c>
      <c r="H513" t="n">
        <v>3</v>
      </c>
      <c r="I513" t="n">
        <v>1.1</v>
      </c>
      <c r="J513" t="n">
        <v>4.1</v>
      </c>
      <c r="K513" t="n">
        <v>31.9</v>
      </c>
      <c r="L513" t="n">
        <v>18.8</v>
      </c>
      <c r="M513" t="n">
        <v>1.1</v>
      </c>
      <c r="N513" t="inlineStr">
        <is>
          <t>801–1000</t>
        </is>
      </c>
      <c r="O513" t="inlineStr">
        <is>
          <t>32.7–36.9</t>
        </is>
      </c>
      <c r="P513" t="n">
        <v>48</v>
      </c>
      <c r="Q513" t="n">
        <v>18.8</v>
      </c>
      <c r="R513" t="n">
        <v>41.6</v>
      </c>
      <c r="S513" t="n">
        <v>39.8</v>
      </c>
      <c r="T513" t="n">
        <v>39.3</v>
      </c>
      <c r="U513" t="inlineStr">
        <is>
          <t>10,199</t>
        </is>
      </c>
      <c r="V513" t="n">
        <v>9.699999999999999</v>
      </c>
      <c r="W513" t="inlineStr">
        <is>
          <t>5%</t>
        </is>
      </c>
      <c r="X513" t="inlineStr">
        <is>
          <t>71 : 29</t>
        </is>
      </c>
      <c r="Y513" t="n">
        <v>1001</v>
      </c>
      <c r="Z513" t="n">
        <v>801</v>
      </c>
      <c r="AA513" t="n">
        <v>34.8</v>
      </c>
      <c r="AB513" t="inlineStr">
        <is>
          <t>U0512</t>
        </is>
      </c>
      <c r="AC513" t="inlineStr">
        <is>
          <t>UN</t>
        </is>
      </c>
      <c r="AD513" t="n">
        <v>34.8</v>
      </c>
      <c r="AE513" t="n">
        <v>3</v>
      </c>
      <c r="AF513" t="n">
        <v>9.699999999999999</v>
      </c>
      <c r="AG513" t="inlineStr">
        <is>
          <t>1:9.7</t>
        </is>
      </c>
      <c r="AH513" t="inlineStr">
        <is>
          <t>5%</t>
        </is>
      </c>
      <c r="AI513" t="n">
        <v>7</v>
      </c>
      <c r="AJ513" t="n">
        <v>13.66</v>
      </c>
    </row>
    <row r="514">
      <c r="A514" t="inlineStr">
        <is>
          <t>HSE University</t>
        </is>
      </c>
      <c r="B514" t="inlineStr">
        <is>
          <t>Russian Federation</t>
        </is>
      </c>
      <c r="C514" t="inlineStr">
        <is>
          <t>410</t>
        </is>
      </c>
      <c r="D514" t="n">
        <v>29</v>
      </c>
      <c r="E514" t="n">
        <v>24</v>
      </c>
      <c r="F514" t="n">
        <v>38.4</v>
      </c>
      <c r="G514" t="n">
        <v>84.8</v>
      </c>
      <c r="H514" t="n">
        <v>1.8</v>
      </c>
      <c r="I514" t="n">
        <v>6.6</v>
      </c>
      <c r="J514" t="n">
        <v>13.5</v>
      </c>
      <c r="K514" t="n">
        <v>83.59999999999999</v>
      </c>
      <c r="L514" t="n">
        <v>13</v>
      </c>
      <c r="M514" t="n">
        <v>44.6</v>
      </c>
      <c r="N514" t="inlineStr">
        <is>
          <t>401–500</t>
        </is>
      </c>
      <c r="O514" t="inlineStr">
        <is>
          <t>45.4–49.0</t>
        </is>
      </c>
      <c r="P514" t="n">
        <v>34.4</v>
      </c>
      <c r="Q514" t="n">
        <v>44</v>
      </c>
      <c r="R514" t="n">
        <v>57.3</v>
      </c>
      <c r="S514" t="n">
        <v>56.5</v>
      </c>
      <c r="T514" t="n">
        <v>51.4</v>
      </c>
      <c r="U514" t="inlineStr">
        <is>
          <t>34,656</t>
        </is>
      </c>
      <c r="V514" t="n">
        <v>18.6</v>
      </c>
      <c r="W514" t="inlineStr">
        <is>
          <t>12%</t>
        </is>
      </c>
      <c r="X514" t="inlineStr"/>
      <c r="Y514" t="n">
        <v>410</v>
      </c>
      <c r="Z514" t="n">
        <v>401</v>
      </c>
      <c r="AA514" t="n">
        <v>47.2</v>
      </c>
      <c r="AB514" t="inlineStr">
        <is>
          <t>U0513</t>
        </is>
      </c>
      <c r="AC514" t="inlineStr">
        <is>
          <t>RU</t>
        </is>
      </c>
      <c r="AD514" t="n">
        <v>29</v>
      </c>
      <c r="AE514" t="n">
        <v>1.8</v>
      </c>
      <c r="AF514" t="n">
        <v>18.6</v>
      </c>
      <c r="AG514" t="inlineStr">
        <is>
          <t>1:18.6</t>
        </is>
      </c>
      <c r="AH514" t="inlineStr">
        <is>
          <t>12%</t>
        </is>
      </c>
      <c r="AI514" t="n">
        <v>24</v>
      </c>
      <c r="AJ514" t="n">
        <v>29.43</v>
      </c>
    </row>
    <row r="515">
      <c r="A515" t="inlineStr">
        <is>
          <t>Huaqiao University</t>
        </is>
      </c>
      <c r="B515" t="inlineStr">
        <is>
          <t>China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>
        <is>
          <t>1001–1200</t>
        </is>
      </c>
      <c r="O515" t="inlineStr">
        <is>
          <t>28.3–32.6</t>
        </is>
      </c>
      <c r="P515" t="n">
        <v>15.5</v>
      </c>
      <c r="Q515" t="n">
        <v>14.3</v>
      </c>
      <c r="R515" t="n">
        <v>48.1</v>
      </c>
      <c r="S515" t="n">
        <v>28.4</v>
      </c>
      <c r="T515" t="n">
        <v>70.90000000000001</v>
      </c>
      <c r="U515" t="inlineStr">
        <is>
          <t>33,228</t>
        </is>
      </c>
      <c r="V515" t="n">
        <v>17.8</v>
      </c>
      <c r="W515" t="inlineStr">
        <is>
          <t>19%</t>
        </is>
      </c>
      <c r="X515" t="inlineStr">
        <is>
          <t>51 : 49</t>
        </is>
      </c>
      <c r="Y515" t="inlineStr"/>
      <c r="Z515" t="n">
        <v>1001</v>
      </c>
      <c r="AA515" t="n">
        <v>30.45</v>
      </c>
      <c r="AB515" t="inlineStr">
        <is>
          <t>U0514</t>
        </is>
      </c>
      <c r="AC515" t="inlineStr">
        <is>
          <t>CH</t>
        </is>
      </c>
      <c r="AD515" t="n">
        <v>30.45</v>
      </c>
      <c r="AE515" t="n">
        <v>48.1</v>
      </c>
      <c r="AF515" t="n">
        <v>17.8</v>
      </c>
      <c r="AG515" t="inlineStr">
        <is>
          <t>1:17.8</t>
        </is>
      </c>
      <c r="AH515" t="inlineStr">
        <is>
          <t>19%</t>
        </is>
      </c>
      <c r="AI515" t="inlineStr"/>
      <c r="AJ515" t="n">
        <v>32.61</v>
      </c>
    </row>
    <row r="516">
      <c r="A516" t="inlineStr">
        <is>
          <t>Huazhong Agricultural University</t>
        </is>
      </c>
      <c r="B516" t="inlineStr">
        <is>
          <t>China</t>
        </is>
      </c>
      <c r="C516" t="inlineStr">
        <is>
          <t>801-850</t>
        </is>
      </c>
      <c r="D516" t="inlineStr"/>
      <c r="E516" t="n">
        <v>4.2</v>
      </c>
      <c r="F516" t="n">
        <v>2.1</v>
      </c>
      <c r="G516" t="n">
        <v>6</v>
      </c>
      <c r="H516" t="n">
        <v>59.7</v>
      </c>
      <c r="I516" t="n">
        <v>3.7</v>
      </c>
      <c r="J516" t="n">
        <v>1.6</v>
      </c>
      <c r="K516" t="n">
        <v>31.6</v>
      </c>
      <c r="L516" t="n">
        <v>3</v>
      </c>
      <c r="M516" t="n">
        <v>2.9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801</v>
      </c>
      <c r="Z516" t="inlineStr"/>
      <c r="AA516" t="inlineStr"/>
      <c r="AB516" t="inlineStr">
        <is>
          <t>U0515</t>
        </is>
      </c>
      <c r="AC516" t="inlineStr">
        <is>
          <t>CH</t>
        </is>
      </c>
      <c r="AD516" t="inlineStr"/>
      <c r="AE516" t="n">
        <v>59.7</v>
      </c>
      <c r="AF516" t="inlineStr"/>
      <c r="AG516" t="inlineStr"/>
      <c r="AH516" t="inlineStr"/>
      <c r="AI516" t="n">
        <v>4.2</v>
      </c>
      <c r="AJ516" t="n">
        <v>31.48</v>
      </c>
    </row>
    <row r="517">
      <c r="A517" t="inlineStr">
        <is>
          <t>Huazhong University of Science and Technology</t>
        </is>
      </c>
      <c r="B517" t="inlineStr">
        <is>
          <t>China</t>
        </is>
      </c>
      <c r="C517" t="inlineStr">
        <is>
          <t>300</t>
        </is>
      </c>
      <c r="D517" t="n">
        <v>36.4</v>
      </c>
      <c r="E517" t="n">
        <v>20.4</v>
      </c>
      <c r="F517" t="n">
        <v>28.2</v>
      </c>
      <c r="G517" t="n">
        <v>7.9</v>
      </c>
      <c r="H517" t="n">
        <v>99.90000000000001</v>
      </c>
      <c r="I517" t="n">
        <v>5.2</v>
      </c>
      <c r="J517" t="n">
        <v>2.7</v>
      </c>
      <c r="K517" t="n">
        <v>79.40000000000001</v>
      </c>
      <c r="L517" t="n">
        <v>17.6</v>
      </c>
      <c r="M517" t="n">
        <v>15</v>
      </c>
      <c r="N517">
        <f>158</f>
        <v/>
      </c>
      <c r="O517" t="inlineStr">
        <is>
          <t>61.7</t>
        </is>
      </c>
      <c r="P517" t="n">
        <v>48.8</v>
      </c>
      <c r="Q517" t="n">
        <v>48.1</v>
      </c>
      <c r="R517" t="n">
        <v>90</v>
      </c>
      <c r="S517" t="n">
        <v>96.90000000000001</v>
      </c>
      <c r="T517" t="n">
        <v>32.9</v>
      </c>
      <c r="U517" t="inlineStr">
        <is>
          <t>57,663</t>
        </is>
      </c>
      <c r="V517" t="n">
        <v>15.5</v>
      </c>
      <c r="W517" t="inlineStr">
        <is>
          <t>4%</t>
        </is>
      </c>
      <c r="X517" t="inlineStr"/>
      <c r="Y517" t="n">
        <v>300</v>
      </c>
      <c r="Z517" t="n">
        <v>158</v>
      </c>
      <c r="AA517" t="n">
        <v>61.7</v>
      </c>
      <c r="AB517" t="inlineStr">
        <is>
          <t>U0516</t>
        </is>
      </c>
      <c r="AC517" t="inlineStr">
        <is>
          <t>CH</t>
        </is>
      </c>
      <c r="AD517" t="n">
        <v>36.4</v>
      </c>
      <c r="AE517" t="n">
        <v>99.90000000000001</v>
      </c>
      <c r="AF517" t="n">
        <v>15.5</v>
      </c>
      <c r="AG517" t="inlineStr">
        <is>
          <t>1:15.5</t>
        </is>
      </c>
      <c r="AH517" t="inlineStr">
        <is>
          <t>4%</t>
        </is>
      </c>
      <c r="AI517" t="n">
        <v>20.4</v>
      </c>
      <c r="AJ517" t="n">
        <v>56.83</v>
      </c>
    </row>
    <row r="518">
      <c r="A518" t="inlineStr">
        <is>
          <t>Hue University</t>
        </is>
      </c>
      <c r="B518" t="inlineStr">
        <is>
          <t>Vietnam</t>
        </is>
      </c>
      <c r="C518" t="inlineStr">
        <is>
          <t>1201-1400</t>
        </is>
      </c>
      <c r="D518" t="inlineStr"/>
      <c r="E518" t="n">
        <v>4.6</v>
      </c>
      <c r="F518" t="n">
        <v>12.9</v>
      </c>
      <c r="G518" t="n">
        <v>3</v>
      </c>
      <c r="H518" t="n">
        <v>1.6</v>
      </c>
      <c r="I518" t="n">
        <v>4.8</v>
      </c>
      <c r="J518" t="n">
        <v>1.4</v>
      </c>
      <c r="K518" t="n">
        <v>41.6</v>
      </c>
      <c r="L518" t="n">
        <v>4.5</v>
      </c>
      <c r="M518" t="n">
        <v>1.1</v>
      </c>
      <c r="N518" t="inlineStr">
        <is>
          <t>1501+</t>
        </is>
      </c>
      <c r="O518" t="inlineStr">
        <is>
          <t>9.7–22.7</t>
        </is>
      </c>
      <c r="P518" t="n">
        <v>13.3</v>
      </c>
      <c r="Q518" t="n">
        <v>8.699999999999999</v>
      </c>
      <c r="R518" t="n">
        <v>16.4</v>
      </c>
      <c r="S518" t="n">
        <v>16.2</v>
      </c>
      <c r="T518" t="n">
        <v>49.2</v>
      </c>
      <c r="U518" t="inlineStr">
        <is>
          <t>48,943</t>
        </is>
      </c>
      <c r="V518" t="n">
        <v>23</v>
      </c>
      <c r="W518" t="inlineStr">
        <is>
          <t>1%</t>
        </is>
      </c>
      <c r="X518" t="inlineStr">
        <is>
          <t>56 : 44</t>
        </is>
      </c>
      <c r="Y518" t="n">
        <v>1201</v>
      </c>
      <c r="Z518" t="n">
        <v>1501</v>
      </c>
      <c r="AA518" t="n">
        <v>16.2</v>
      </c>
      <c r="AB518" t="inlineStr">
        <is>
          <t>U0517</t>
        </is>
      </c>
      <c r="AC518" t="inlineStr">
        <is>
          <t>VI</t>
        </is>
      </c>
      <c r="AD518" t="n">
        <v>16.2</v>
      </c>
      <c r="AE518" t="n">
        <v>1.6</v>
      </c>
      <c r="AF518" t="n">
        <v>23</v>
      </c>
      <c r="AG518" t="inlineStr">
        <is>
          <t>1:23.0</t>
        </is>
      </c>
      <c r="AH518" t="inlineStr">
        <is>
          <t>1%</t>
        </is>
      </c>
      <c r="AI518" t="n">
        <v>4.6</v>
      </c>
      <c r="AJ518" t="n">
        <v>10.34</v>
      </c>
    </row>
    <row r="519">
      <c r="A519" t="inlineStr">
        <is>
          <t xml:space="preserve">HUFS - Hankuk (Korea) University of Foreign Studies </t>
        </is>
      </c>
      <c r="B519" t="inlineStr">
        <is>
          <t>South Korea</t>
        </is>
      </c>
      <c r="C519" t="inlineStr">
        <is>
          <t>651-660</t>
        </is>
      </c>
      <c r="D519" t="inlineStr"/>
      <c r="E519" t="n">
        <v>11.5</v>
      </c>
      <c r="F519" t="n">
        <v>21.3</v>
      </c>
      <c r="G519" t="n">
        <v>81.2</v>
      </c>
      <c r="H519" t="n">
        <v>1.6</v>
      </c>
      <c r="I519" t="n">
        <v>32</v>
      </c>
      <c r="J519" t="n">
        <v>47.9</v>
      </c>
      <c r="K519" t="n">
        <v>12.6</v>
      </c>
      <c r="L519" t="n">
        <v>1.7</v>
      </c>
      <c r="M519" t="n">
        <v>8.1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651</v>
      </c>
      <c r="Z519" t="inlineStr"/>
      <c r="AA519" t="inlineStr"/>
      <c r="AB519" t="inlineStr">
        <is>
          <t>U0518</t>
        </is>
      </c>
      <c r="AC519" t="inlineStr">
        <is>
          <t>SO</t>
        </is>
      </c>
      <c r="AD519" t="inlineStr"/>
      <c r="AE519" t="n">
        <v>1.6</v>
      </c>
      <c r="AF519" t="inlineStr"/>
      <c r="AG519" t="inlineStr"/>
      <c r="AH519" t="inlineStr"/>
      <c r="AI519" t="n">
        <v>11.5</v>
      </c>
      <c r="AJ519" t="n">
        <v>13.87</v>
      </c>
    </row>
    <row r="520">
      <c r="A520" t="inlineStr">
        <is>
          <t>Humanitas University</t>
        </is>
      </c>
      <c r="B520" t="inlineStr">
        <is>
          <t>Italy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>
        <is>
          <t>251–300</t>
        </is>
      </c>
      <c r="O520" t="inlineStr">
        <is>
          <t>53.1–55.8</t>
        </is>
      </c>
      <c r="P520" t="n">
        <v>32.3</v>
      </c>
      <c r="Q520" t="n">
        <v>27.9</v>
      </c>
      <c r="R520" t="n">
        <v>98</v>
      </c>
      <c r="S520" t="n">
        <v>62.8</v>
      </c>
      <c r="T520" t="n">
        <v>67.09999999999999</v>
      </c>
      <c r="U520" t="inlineStr">
        <is>
          <t>1,988</t>
        </is>
      </c>
      <c r="V520" t="n">
        <v>17.9</v>
      </c>
      <c r="W520" t="inlineStr">
        <is>
          <t>18%</t>
        </is>
      </c>
      <c r="X520" t="inlineStr">
        <is>
          <t>59 : 41</t>
        </is>
      </c>
      <c r="Y520" t="inlineStr"/>
      <c r="Z520" t="n">
        <v>251</v>
      </c>
      <c r="AA520" t="n">
        <v>54.45</v>
      </c>
      <c r="AB520" t="inlineStr">
        <is>
          <t>U0519</t>
        </is>
      </c>
      <c r="AC520" t="inlineStr">
        <is>
          <t>IT</t>
        </is>
      </c>
      <c r="AD520" t="n">
        <v>54.45</v>
      </c>
      <c r="AE520" t="n">
        <v>98</v>
      </c>
      <c r="AF520" t="n">
        <v>17.9</v>
      </c>
      <c r="AG520" t="inlineStr">
        <is>
          <t>1:17.9</t>
        </is>
      </c>
      <c r="AH520" t="inlineStr">
        <is>
          <t>18%</t>
        </is>
      </c>
      <c r="AI520" t="inlineStr"/>
      <c r="AJ520" t="n">
        <v>53.94</v>
      </c>
    </row>
    <row r="521">
      <c r="A521" t="inlineStr">
        <is>
          <t>Humboldt State University</t>
        </is>
      </c>
      <c r="B521" t="inlineStr">
        <is>
          <t>United States</t>
        </is>
      </c>
      <c r="C521" t="inlineStr">
        <is>
          <t>1401+</t>
        </is>
      </c>
      <c r="D521" t="inlineStr"/>
      <c r="E521" t="n">
        <v>3</v>
      </c>
      <c r="F521" t="n">
        <v>2.5</v>
      </c>
      <c r="G521" t="n">
        <v>9.699999999999999</v>
      </c>
      <c r="H521" t="n">
        <v>3.7</v>
      </c>
      <c r="I521" t="n">
        <v>2.9</v>
      </c>
      <c r="J521" t="n">
        <v>1.2</v>
      </c>
      <c r="K521" t="n">
        <v>9.9</v>
      </c>
      <c r="L521" t="n">
        <v>3.1</v>
      </c>
      <c r="M521" t="n">
        <v>1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1401</v>
      </c>
      <c r="Z521" t="inlineStr"/>
      <c r="AA521" t="inlineStr"/>
      <c r="AB521" t="inlineStr">
        <is>
          <t>U0520</t>
        </is>
      </c>
      <c r="AC521" t="inlineStr">
        <is>
          <t>UN</t>
        </is>
      </c>
      <c r="AD521" t="inlineStr"/>
      <c r="AE521" t="n">
        <v>3.7</v>
      </c>
      <c r="AF521" t="inlineStr"/>
      <c r="AG521" t="inlineStr"/>
      <c r="AH521" t="inlineStr"/>
      <c r="AI521" t="n">
        <v>3</v>
      </c>
      <c r="AJ521" t="n">
        <v>14.51</v>
      </c>
    </row>
    <row r="522">
      <c r="A522" t="inlineStr">
        <is>
          <t>Humboldt-Universität zu Berlin</t>
        </is>
      </c>
      <c r="B522" t="inlineStr">
        <is>
          <t>Germany</t>
        </is>
      </c>
      <c r="C522" t="inlineStr">
        <is>
          <t>126</t>
        </is>
      </c>
      <c r="D522" t="n">
        <v>55</v>
      </c>
      <c r="E522" t="n">
        <v>89.2</v>
      </c>
      <c r="F522" t="n">
        <v>69.90000000000001</v>
      </c>
      <c r="G522" t="n">
        <v>7.4</v>
      </c>
      <c r="H522" t="n">
        <v>27</v>
      </c>
      <c r="I522" t="n">
        <v>69.09999999999999</v>
      </c>
      <c r="J522" t="n">
        <v>35.1</v>
      </c>
      <c r="K522" t="n">
        <v>93.09999999999999</v>
      </c>
      <c r="L522" t="n">
        <v>19</v>
      </c>
      <c r="M522" t="n">
        <v>19.9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n">
        <v>126</v>
      </c>
      <c r="Z522" t="inlineStr"/>
      <c r="AA522" t="inlineStr"/>
      <c r="AB522" t="inlineStr">
        <is>
          <t>U0521</t>
        </is>
      </c>
      <c r="AC522" t="inlineStr">
        <is>
          <t>GE</t>
        </is>
      </c>
      <c r="AD522" t="n">
        <v>55</v>
      </c>
      <c r="AE522" t="n">
        <v>27</v>
      </c>
      <c r="AF522" t="inlineStr"/>
      <c r="AG522" t="inlineStr"/>
      <c r="AH522" t="inlineStr"/>
      <c r="AI522" t="n">
        <v>89.2</v>
      </c>
      <c r="AJ522" t="n">
        <v>21.57</v>
      </c>
    </row>
    <row r="523">
      <c r="A523" t="inlineStr">
        <is>
          <t>Humboldt University of Berlin</t>
        </is>
      </c>
      <c r="B523" t="inlineStr">
        <is>
          <t>Germany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>
        <f>87</f>
        <v/>
      </c>
      <c r="O523" t="inlineStr">
        <is>
          <t>68.2</t>
        </is>
      </c>
      <c r="P523" t="n">
        <v>55.3</v>
      </c>
      <c r="Q523" t="n">
        <v>63.7</v>
      </c>
      <c r="R523" t="n">
        <v>82.8</v>
      </c>
      <c r="S523" t="n">
        <v>65.40000000000001</v>
      </c>
      <c r="T523" t="n">
        <v>79</v>
      </c>
      <c r="U523" t="inlineStr">
        <is>
          <t>34,761</t>
        </is>
      </c>
      <c r="V523" t="n">
        <v>54.5</v>
      </c>
      <c r="W523" t="inlineStr">
        <is>
          <t>18%</t>
        </is>
      </c>
      <c r="X523" t="inlineStr"/>
      <c r="Y523" t="inlineStr"/>
      <c r="Z523" t="n">
        <v>87</v>
      </c>
      <c r="AA523" t="n">
        <v>68.2</v>
      </c>
      <c r="AB523" t="inlineStr">
        <is>
          <t>U0522</t>
        </is>
      </c>
      <c r="AC523" t="inlineStr">
        <is>
          <t>GE</t>
        </is>
      </c>
      <c r="AD523" t="n">
        <v>68.2</v>
      </c>
      <c r="AE523" t="n">
        <v>82.8</v>
      </c>
      <c r="AF523" t="n">
        <v>54.5</v>
      </c>
      <c r="AG523" t="inlineStr">
        <is>
          <t>1:54.5</t>
        </is>
      </c>
      <c r="AH523" t="inlineStr">
        <is>
          <t>18%</t>
        </is>
      </c>
      <c r="AI523" t="inlineStr"/>
      <c r="AJ523" t="n">
        <v>70.97</v>
      </c>
    </row>
    <row r="524">
      <c r="A524" t="inlineStr">
        <is>
          <t xml:space="preserve">Hunan University </t>
        </is>
      </c>
      <c r="B524" t="inlineStr">
        <is>
          <t>China</t>
        </is>
      </c>
      <c r="C524" t="inlineStr">
        <is>
          <t>448</t>
        </is>
      </c>
      <c r="D524" t="n">
        <v>26.6</v>
      </c>
      <c r="E524" t="n">
        <v>7.9</v>
      </c>
      <c r="F524" t="n">
        <v>10.3</v>
      </c>
      <c r="G524" t="n">
        <v>15.2</v>
      </c>
      <c r="H524" t="n">
        <v>90.59999999999999</v>
      </c>
      <c r="I524" t="n">
        <v>4.6</v>
      </c>
      <c r="J524" t="n">
        <v>1.8</v>
      </c>
      <c r="K524" t="n">
        <v>46.5</v>
      </c>
      <c r="L524" t="n">
        <v>23.1</v>
      </c>
      <c r="M524" t="n">
        <v>2.7</v>
      </c>
      <c r="N524" t="inlineStr">
        <is>
          <t>351–400</t>
        </is>
      </c>
      <c r="O524" t="inlineStr">
        <is>
          <t>49.1–51.0</t>
        </is>
      </c>
      <c r="P524" t="n">
        <v>28.9</v>
      </c>
      <c r="Q524" t="n">
        <v>30.4</v>
      </c>
      <c r="R524" t="n">
        <v>92</v>
      </c>
      <c r="S524" t="n">
        <v>75.2</v>
      </c>
      <c r="T524" t="n">
        <v>32.5</v>
      </c>
      <c r="U524" t="inlineStr">
        <is>
          <t>41,481</t>
        </is>
      </c>
      <c r="V524" t="n">
        <v>17.8</v>
      </c>
      <c r="W524" t="inlineStr">
        <is>
          <t>2%</t>
        </is>
      </c>
      <c r="X524" t="inlineStr">
        <is>
          <t>47 : 53</t>
        </is>
      </c>
      <c r="Y524" t="n">
        <v>448</v>
      </c>
      <c r="Z524" t="n">
        <v>351</v>
      </c>
      <c r="AA524" t="n">
        <v>50.05</v>
      </c>
      <c r="AB524" t="inlineStr">
        <is>
          <t>U0523</t>
        </is>
      </c>
      <c r="AC524" t="inlineStr">
        <is>
          <t>CH</t>
        </is>
      </c>
      <c r="AD524" t="n">
        <v>26.6</v>
      </c>
      <c r="AE524" t="n">
        <v>90.59999999999999</v>
      </c>
      <c r="AF524" t="n">
        <v>17.8</v>
      </c>
      <c r="AG524" t="inlineStr">
        <is>
          <t>1:17.8</t>
        </is>
      </c>
      <c r="AH524" t="inlineStr">
        <is>
          <t>2%</t>
        </is>
      </c>
      <c r="AI524" t="n">
        <v>7.9</v>
      </c>
      <c r="AJ524" t="n">
        <v>44.64</v>
      </c>
    </row>
    <row r="525">
      <c r="A525" t="inlineStr">
        <is>
          <t>Hungarian University of Agriculture and Life Sciences</t>
        </is>
      </c>
      <c r="B525" t="inlineStr">
        <is>
          <t>Hungary</t>
        </is>
      </c>
      <c r="C525" t="inlineStr">
        <is>
          <t>1001-1200</t>
        </is>
      </c>
      <c r="D525" t="inlineStr"/>
      <c r="E525" t="n">
        <v>6</v>
      </c>
      <c r="F525" t="n">
        <v>4.9</v>
      </c>
      <c r="G525" t="n">
        <v>30.4</v>
      </c>
      <c r="H525" t="n">
        <v>3.2</v>
      </c>
      <c r="I525" t="n">
        <v>2.2</v>
      </c>
      <c r="J525" t="n">
        <v>29.2</v>
      </c>
      <c r="K525" t="n">
        <v>53.5</v>
      </c>
      <c r="L525" t="n">
        <v>3.6</v>
      </c>
      <c r="M525" t="n">
        <v>1.3</v>
      </c>
      <c r="N525" t="inlineStr">
        <is>
          <t>1201–1500</t>
        </is>
      </c>
      <c r="O525" t="inlineStr">
        <is>
          <t>22.8–28.2</t>
        </is>
      </c>
      <c r="P525" t="n">
        <v>25.8</v>
      </c>
      <c r="Q525" t="n">
        <v>11.6</v>
      </c>
      <c r="R525" t="n">
        <v>32.5</v>
      </c>
      <c r="S525" t="n">
        <v>23</v>
      </c>
      <c r="T525" t="n">
        <v>62.3</v>
      </c>
      <c r="U525" t="inlineStr">
        <is>
          <t>10,252</t>
        </is>
      </c>
      <c r="V525" t="n">
        <v>11.6</v>
      </c>
      <c r="W525" t="inlineStr">
        <is>
          <t>16%</t>
        </is>
      </c>
      <c r="X525" t="inlineStr">
        <is>
          <t>53 : 47</t>
        </is>
      </c>
      <c r="Y525" t="n">
        <v>1001</v>
      </c>
      <c r="Z525" t="n">
        <v>1201</v>
      </c>
      <c r="AA525" t="n">
        <v>25.5</v>
      </c>
      <c r="AB525" t="inlineStr">
        <is>
          <t>U0524</t>
        </is>
      </c>
      <c r="AC525" t="inlineStr">
        <is>
          <t>HU</t>
        </is>
      </c>
      <c r="AD525" t="n">
        <v>25.5</v>
      </c>
      <c r="AE525" t="n">
        <v>3.2</v>
      </c>
      <c r="AF525" t="n">
        <v>11.6</v>
      </c>
      <c r="AG525" t="inlineStr">
        <is>
          <t>1:11.6</t>
        </is>
      </c>
      <c r="AH525" t="inlineStr">
        <is>
          <t>16%</t>
        </is>
      </c>
      <c r="AI525" t="n">
        <v>6</v>
      </c>
      <c r="AJ525" t="n">
        <v>15.51</v>
      </c>
    </row>
    <row r="526">
      <c r="A526" t="inlineStr">
        <is>
          <t>Hyogo Medical University</t>
        </is>
      </c>
      <c r="B526" t="inlineStr">
        <is>
          <t>Japan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>
        <is>
          <t>1201–1500</t>
        </is>
      </c>
      <c r="O526" t="inlineStr">
        <is>
          <t>22.8–28.2</t>
        </is>
      </c>
      <c r="P526" t="n">
        <v>29</v>
      </c>
      <c r="Q526" t="n">
        <v>13.5</v>
      </c>
      <c r="R526" t="n">
        <v>36.5</v>
      </c>
      <c r="S526" t="n">
        <v>53.1</v>
      </c>
      <c r="T526" t="n">
        <v>19.2</v>
      </c>
      <c r="U526" t="inlineStr">
        <is>
          <t>2,603</t>
        </is>
      </c>
      <c r="V526" t="n">
        <v>4.6</v>
      </c>
      <c r="W526" t="inlineStr">
        <is>
          <t>1%</t>
        </is>
      </c>
      <c r="X526" t="inlineStr">
        <is>
          <t>59 : 41</t>
        </is>
      </c>
      <c r="Y526" t="inlineStr"/>
      <c r="Z526" t="n">
        <v>1201</v>
      </c>
      <c r="AA526" t="n">
        <v>25.5</v>
      </c>
      <c r="AB526" t="inlineStr">
        <is>
          <t>U0525</t>
        </is>
      </c>
      <c r="AC526" t="inlineStr">
        <is>
          <t>JA</t>
        </is>
      </c>
      <c r="AD526" t="n">
        <v>25.5</v>
      </c>
      <c r="AE526" t="n">
        <v>36.5</v>
      </c>
      <c r="AF526" t="n">
        <v>4.6</v>
      </c>
      <c r="AG526" t="inlineStr">
        <is>
          <t>1:4.6</t>
        </is>
      </c>
      <c r="AH526" t="inlineStr">
        <is>
          <t>1%</t>
        </is>
      </c>
      <c r="AI526" t="inlineStr"/>
      <c r="AJ526" t="n">
        <v>16.17</v>
      </c>
    </row>
    <row r="527">
      <c r="A527" t="inlineStr">
        <is>
          <t>I-Shou University</t>
        </is>
      </c>
      <c r="B527" t="inlineStr">
        <is>
          <t>Taiwan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>
        <is>
          <t>1201–1500</t>
        </is>
      </c>
      <c r="O527" t="inlineStr">
        <is>
          <t>22.8–28.2</t>
        </is>
      </c>
      <c r="P527" t="n">
        <v>15</v>
      </c>
      <c r="Q527" t="n">
        <v>21.2</v>
      </c>
      <c r="R527" t="n">
        <v>27.8</v>
      </c>
      <c r="S527" t="n">
        <v>68.5</v>
      </c>
      <c r="T527" t="n">
        <v>44.2</v>
      </c>
      <c r="U527" t="inlineStr">
        <is>
          <t>11,567</t>
        </is>
      </c>
      <c r="V527" t="n">
        <v>27.9</v>
      </c>
      <c r="W527" t="inlineStr">
        <is>
          <t>15%</t>
        </is>
      </c>
      <c r="X527" t="inlineStr">
        <is>
          <t>50 : 50</t>
        </is>
      </c>
      <c r="Y527" t="inlineStr"/>
      <c r="Z527" t="n">
        <v>1201</v>
      </c>
      <c r="AA527" t="n">
        <v>25.5</v>
      </c>
      <c r="AB527" t="inlineStr">
        <is>
          <t>U0526</t>
        </is>
      </c>
      <c r="AC527" t="inlineStr">
        <is>
          <t>TA</t>
        </is>
      </c>
      <c r="AD527" t="n">
        <v>25.5</v>
      </c>
      <c r="AE527" t="n">
        <v>27.8</v>
      </c>
      <c r="AF527" t="n">
        <v>27.9</v>
      </c>
      <c r="AG527" t="inlineStr">
        <is>
          <t>1:27.9</t>
        </is>
      </c>
      <c r="AH527" t="inlineStr">
        <is>
          <t>15%</t>
        </is>
      </c>
      <c r="AI527" t="inlineStr"/>
      <c r="AJ527" t="n">
        <v>23.62</v>
      </c>
    </row>
    <row r="528">
      <c r="A528" t="inlineStr">
        <is>
          <t>Ibaraki University</t>
        </is>
      </c>
      <c r="B528" t="inlineStr">
        <is>
          <t>Japan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>
        <is>
          <t>1501+</t>
        </is>
      </c>
      <c r="O528" t="inlineStr">
        <is>
          <t>9.7–22.7</t>
        </is>
      </c>
      <c r="P528" t="n">
        <v>18.9</v>
      </c>
      <c r="Q528" t="n">
        <v>12.5</v>
      </c>
      <c r="R528" t="n">
        <v>12.2</v>
      </c>
      <c r="S528" t="n">
        <v>36.9</v>
      </c>
      <c r="T528" t="n">
        <v>27.4</v>
      </c>
      <c r="U528" t="inlineStr">
        <is>
          <t>7,741</t>
        </is>
      </c>
      <c r="V528" t="n">
        <v>14.8</v>
      </c>
      <c r="W528" t="inlineStr">
        <is>
          <t>3%</t>
        </is>
      </c>
      <c r="X528" t="inlineStr">
        <is>
          <t>34 : 66</t>
        </is>
      </c>
      <c r="Y528" t="inlineStr"/>
      <c r="Z528" t="n">
        <v>1501</v>
      </c>
      <c r="AA528" t="n">
        <v>16.2</v>
      </c>
      <c r="AB528" t="inlineStr">
        <is>
          <t>U0527</t>
        </is>
      </c>
      <c r="AC528" t="inlineStr">
        <is>
          <t>JA</t>
        </is>
      </c>
      <c r="AD528" t="n">
        <v>16.2</v>
      </c>
      <c r="AE528" t="n">
        <v>12.2</v>
      </c>
      <c r="AF528" t="n">
        <v>14.8</v>
      </c>
      <c r="AG528" t="inlineStr">
        <is>
          <t>1:14.8</t>
        </is>
      </c>
      <c r="AH528" t="inlineStr">
        <is>
          <t>3%</t>
        </is>
      </c>
      <c r="AI528" t="inlineStr"/>
      <c r="AJ528" t="n">
        <v>10.27</v>
      </c>
    </row>
    <row r="529">
      <c r="A529" t="inlineStr">
        <is>
          <t>Ibn Tofaïl University</t>
        </is>
      </c>
      <c r="B529" t="inlineStr">
        <is>
          <t>Morocco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>
        <is>
          <t>1201–1500</t>
        </is>
      </c>
      <c r="O529" t="inlineStr">
        <is>
          <t>22.8–28.2</t>
        </is>
      </c>
      <c r="P529" t="n">
        <v>24.6</v>
      </c>
      <c r="Q529" t="n">
        <v>13</v>
      </c>
      <c r="R529" t="n">
        <v>44.8</v>
      </c>
      <c r="S529" t="n">
        <v>18.7</v>
      </c>
      <c r="T529" t="n">
        <v>28.5</v>
      </c>
      <c r="U529" t="inlineStr">
        <is>
          <t>66,964</t>
        </is>
      </c>
      <c r="V529" t="n">
        <v>88.7</v>
      </c>
      <c r="W529" t="inlineStr">
        <is>
          <t>3%</t>
        </is>
      </c>
      <c r="X529" t="inlineStr">
        <is>
          <t>52 : 48</t>
        </is>
      </c>
      <c r="Y529" t="inlineStr"/>
      <c r="Z529" t="n">
        <v>1201</v>
      </c>
      <c r="AA529" t="n">
        <v>25.5</v>
      </c>
      <c r="AB529" t="inlineStr">
        <is>
          <t>U0528</t>
        </is>
      </c>
      <c r="AC529" t="inlineStr">
        <is>
          <t>MO</t>
        </is>
      </c>
      <c r="AD529" t="n">
        <v>25.5</v>
      </c>
      <c r="AE529" t="n">
        <v>44.8</v>
      </c>
      <c r="AF529" t="n">
        <v>88.7</v>
      </c>
      <c r="AG529" t="inlineStr">
        <is>
          <t>1:88.7</t>
        </is>
      </c>
      <c r="AH529" t="inlineStr">
        <is>
          <t>3%</t>
        </is>
      </c>
      <c r="AI529" t="inlineStr"/>
      <c r="AJ529" t="n">
        <v>20.67</v>
      </c>
    </row>
    <row r="530">
      <c r="A530" t="inlineStr">
        <is>
          <t>Icesi University</t>
        </is>
      </c>
      <c r="B530" t="inlineStr">
        <is>
          <t>Colombia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1001–1200</t>
        </is>
      </c>
      <c r="O530" t="inlineStr">
        <is>
          <t>28.3–32.6</t>
        </is>
      </c>
      <c r="P530" t="n">
        <v>23.5</v>
      </c>
      <c r="Q530" t="n">
        <v>10.5</v>
      </c>
      <c r="R530" t="n">
        <v>55.8</v>
      </c>
      <c r="S530" t="n">
        <v>16.1</v>
      </c>
      <c r="T530" t="n">
        <v>41.1</v>
      </c>
      <c r="U530" t="inlineStr">
        <is>
          <t>6,013</t>
        </is>
      </c>
      <c r="V530" t="n">
        <v>7.2</v>
      </c>
      <c r="W530" t="inlineStr">
        <is>
          <t>2%</t>
        </is>
      </c>
      <c r="X530" t="inlineStr">
        <is>
          <t>53 : 47</t>
        </is>
      </c>
      <c r="Y530" t="inlineStr"/>
      <c r="Z530" t="n">
        <v>1001</v>
      </c>
      <c r="AA530" t="n">
        <v>30.45</v>
      </c>
      <c r="AB530" t="inlineStr">
        <is>
          <t>U0529</t>
        </is>
      </c>
      <c r="AC530" t="inlineStr">
        <is>
          <t>CO</t>
        </is>
      </c>
      <c r="AD530" t="n">
        <v>30.45</v>
      </c>
      <c r="AE530" t="n">
        <v>55.8</v>
      </c>
      <c r="AF530" t="n">
        <v>7.2</v>
      </c>
      <c r="AG530" t="inlineStr">
        <is>
          <t>1:7.2</t>
        </is>
      </c>
      <c r="AH530" t="inlineStr">
        <is>
          <t>2%</t>
        </is>
      </c>
      <c r="AI530" t="inlineStr"/>
      <c r="AJ530" t="n">
        <v>25.74</v>
      </c>
    </row>
    <row r="531">
      <c r="A531" t="inlineStr">
        <is>
          <t>IE University</t>
        </is>
      </c>
      <c r="B531" t="inlineStr">
        <is>
          <t>Spain</t>
        </is>
      </c>
      <c r="C531" t="inlineStr">
        <is>
          <t>435</t>
        </is>
      </c>
      <c r="D531" t="n">
        <v>27.4</v>
      </c>
      <c r="E531" t="n">
        <v>8.1</v>
      </c>
      <c r="F531" t="n">
        <v>49.3</v>
      </c>
      <c r="G531" t="n">
        <v>46.5</v>
      </c>
      <c r="H531" t="n">
        <v>2.2</v>
      </c>
      <c r="I531" t="n">
        <v>95.2</v>
      </c>
      <c r="J531" t="n">
        <v>100</v>
      </c>
      <c r="K531" t="n">
        <v>3.5</v>
      </c>
      <c r="L531" t="n">
        <v>65.59999999999999</v>
      </c>
      <c r="M531" t="n">
        <v>4.6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435</v>
      </c>
      <c r="Z531" t="inlineStr"/>
      <c r="AA531" t="inlineStr"/>
      <c r="AB531" t="inlineStr">
        <is>
          <t>U0530</t>
        </is>
      </c>
      <c r="AC531" t="inlineStr">
        <is>
          <t>SP</t>
        </is>
      </c>
      <c r="AD531" t="n">
        <v>27.4</v>
      </c>
      <c r="AE531" t="n">
        <v>2.2</v>
      </c>
      <c r="AF531" t="inlineStr"/>
      <c r="AG531" t="inlineStr"/>
      <c r="AH531" t="inlineStr"/>
      <c r="AI531" t="n">
        <v>8.1</v>
      </c>
      <c r="AJ531" t="n">
        <v>14.06</v>
      </c>
    </row>
    <row r="532">
      <c r="A532" t="inlineStr">
        <is>
          <t>Ilam University</t>
        </is>
      </c>
      <c r="B532" t="inlineStr">
        <is>
          <t>Iran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>
        <is>
          <t>1201–1500</t>
        </is>
      </c>
      <c r="O532" t="inlineStr">
        <is>
          <t>22.8–28.2</t>
        </is>
      </c>
      <c r="P532" t="n">
        <v>17.1</v>
      </c>
      <c r="Q532" t="n">
        <v>12.8</v>
      </c>
      <c r="R532" t="n">
        <v>50.9</v>
      </c>
      <c r="S532" t="n">
        <v>18.2</v>
      </c>
      <c r="T532" t="n">
        <v>25.2</v>
      </c>
      <c r="U532" t="inlineStr">
        <is>
          <t>44,187</t>
        </is>
      </c>
      <c r="V532" t="n">
        <v>199.9</v>
      </c>
      <c r="W532" t="inlineStr">
        <is>
          <t>2%</t>
        </is>
      </c>
      <c r="X532" t="inlineStr">
        <is>
          <t>52 : 48</t>
        </is>
      </c>
      <c r="Y532" t="inlineStr"/>
      <c r="Z532" t="n">
        <v>1201</v>
      </c>
      <c r="AA532" t="n">
        <v>25.5</v>
      </c>
      <c r="AB532" t="inlineStr">
        <is>
          <t>U0531</t>
        </is>
      </c>
      <c r="AC532" t="inlineStr">
        <is>
          <t>IR</t>
        </is>
      </c>
      <c r="AD532" t="n">
        <v>25.5</v>
      </c>
      <c r="AE532" t="n">
        <v>50.9</v>
      </c>
      <c r="AF532" t="n">
        <v>199.9</v>
      </c>
      <c r="AG532" t="inlineStr">
        <is>
          <t>1:199.9</t>
        </is>
      </c>
      <c r="AH532" t="inlineStr">
        <is>
          <t>2%</t>
        </is>
      </c>
      <c r="AI532" t="inlineStr"/>
      <c r="AJ532" t="n">
        <v>21.62</v>
      </c>
    </row>
    <row r="533">
      <c r="A533" t="inlineStr">
        <is>
          <t>Ilam University of Medical Sciences</t>
        </is>
      </c>
      <c r="B533" t="inlineStr">
        <is>
          <t>Iran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801–1000</t>
        </is>
      </c>
      <c r="O533" t="inlineStr">
        <is>
          <t>32.7–36.9</t>
        </is>
      </c>
      <c r="P533" t="n">
        <v>30.8</v>
      </c>
      <c r="Q533" t="n">
        <v>12</v>
      </c>
      <c r="R533" t="n">
        <v>65.7</v>
      </c>
      <c r="S533" t="n">
        <v>17.2</v>
      </c>
      <c r="T533" t="n">
        <v>23.4</v>
      </c>
      <c r="U533" t="inlineStr">
        <is>
          <t>2,854</t>
        </is>
      </c>
      <c r="V533" t="n">
        <v>13.2</v>
      </c>
      <c r="W533" t="inlineStr">
        <is>
          <t>5%</t>
        </is>
      </c>
      <c r="X533" t="inlineStr">
        <is>
          <t>52 : 48</t>
        </is>
      </c>
      <c r="Y533" t="inlineStr"/>
      <c r="Z533" t="n">
        <v>801</v>
      </c>
      <c r="AA533" t="n">
        <v>34.8</v>
      </c>
      <c r="AB533" t="inlineStr">
        <is>
          <t>U0532</t>
        </is>
      </c>
      <c r="AC533" t="inlineStr">
        <is>
          <t>IR</t>
        </is>
      </c>
      <c r="AD533" t="n">
        <v>34.8</v>
      </c>
      <c r="AE533" t="n">
        <v>65.7</v>
      </c>
      <c r="AF533" t="n">
        <v>13.2</v>
      </c>
      <c r="AG533" t="inlineStr">
        <is>
          <t>1:13.2</t>
        </is>
      </c>
      <c r="AH533" t="inlineStr">
        <is>
          <t>5%</t>
        </is>
      </c>
      <c r="AI533" t="inlineStr"/>
      <c r="AJ533" t="n">
        <v>25.25</v>
      </c>
    </row>
    <row r="534">
      <c r="A534" t="inlineStr">
        <is>
          <t>Ilia State University</t>
        </is>
      </c>
      <c r="B534" t="inlineStr">
        <is>
          <t>Georgia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1201–1500</t>
        </is>
      </c>
      <c r="O534" t="inlineStr">
        <is>
          <t>22.8–28.2</t>
        </is>
      </c>
      <c r="P534" t="n">
        <v>18.1</v>
      </c>
      <c r="Q534" t="n">
        <v>10</v>
      </c>
      <c r="R534" t="n">
        <v>47.7</v>
      </c>
      <c r="S534" t="n">
        <v>16.1</v>
      </c>
      <c r="T534" t="n">
        <v>52</v>
      </c>
      <c r="U534" t="inlineStr">
        <is>
          <t>15,400</t>
        </is>
      </c>
      <c r="V534" t="n">
        <v>13.4</v>
      </c>
      <c r="W534" t="inlineStr">
        <is>
          <t>4%</t>
        </is>
      </c>
      <c r="X534" t="inlineStr">
        <is>
          <t>62 : 38</t>
        </is>
      </c>
      <c r="Y534" t="inlineStr"/>
      <c r="Z534" t="n">
        <v>1201</v>
      </c>
      <c r="AA534" t="n">
        <v>25.5</v>
      </c>
      <c r="AB534" t="inlineStr">
        <is>
          <t>U0533</t>
        </is>
      </c>
      <c r="AC534" t="inlineStr">
        <is>
          <t>GE</t>
        </is>
      </c>
      <c r="AD534" t="n">
        <v>25.5</v>
      </c>
      <c r="AE534" t="n">
        <v>47.7</v>
      </c>
      <c r="AF534" t="n">
        <v>13.4</v>
      </c>
      <c r="AG534" t="inlineStr">
        <is>
          <t>1:13.4</t>
        </is>
      </c>
      <c r="AH534" t="inlineStr">
        <is>
          <t>4%</t>
        </is>
      </c>
      <c r="AI534" t="inlineStr"/>
      <c r="AJ534" t="n">
        <v>25.66</v>
      </c>
    </row>
    <row r="535">
      <c r="A535" t="inlineStr">
        <is>
          <t>Illinois Institute of Technology</t>
        </is>
      </c>
      <c r="B535" t="inlineStr">
        <is>
          <t>United States</t>
        </is>
      </c>
      <c r="C535" t="inlineStr">
        <is>
          <t>601-610</t>
        </is>
      </c>
      <c r="D535" t="inlineStr"/>
      <c r="E535" t="n">
        <v>12.8</v>
      </c>
      <c r="F535" t="n">
        <v>11</v>
      </c>
      <c r="G535" t="n">
        <v>14.1</v>
      </c>
      <c r="H535" t="n">
        <v>35.9</v>
      </c>
      <c r="I535" t="n">
        <v>19.2</v>
      </c>
      <c r="J535" t="n">
        <v>97.3</v>
      </c>
      <c r="K535" t="n">
        <v>18.9</v>
      </c>
      <c r="L535" t="n">
        <v>12.2</v>
      </c>
      <c r="M535" t="n">
        <v>1.6</v>
      </c>
      <c r="N535" t="inlineStr">
        <is>
          <t>351–400</t>
        </is>
      </c>
      <c r="O535" t="inlineStr">
        <is>
          <t>49.1–51.0</t>
        </is>
      </c>
      <c r="P535" t="n">
        <v>42.6</v>
      </c>
      <c r="Q535" t="n">
        <v>26.9</v>
      </c>
      <c r="R535" t="n">
        <v>67.8</v>
      </c>
      <c r="S535" t="n">
        <v>91.5</v>
      </c>
      <c r="T535" t="n">
        <v>73.2</v>
      </c>
      <c r="U535" t="inlineStr">
        <is>
          <t>6,107</t>
        </is>
      </c>
      <c r="V535" t="n">
        <v>12.2</v>
      </c>
      <c r="W535" t="inlineStr">
        <is>
          <t>36%</t>
        </is>
      </c>
      <c r="X535" t="inlineStr">
        <is>
          <t>37 : 63</t>
        </is>
      </c>
      <c r="Y535" t="n">
        <v>601</v>
      </c>
      <c r="Z535" t="n">
        <v>351</v>
      </c>
      <c r="AA535" t="n">
        <v>50.05</v>
      </c>
      <c r="AB535" t="inlineStr">
        <is>
          <t>U0534</t>
        </is>
      </c>
      <c r="AC535" t="inlineStr">
        <is>
          <t>UN</t>
        </is>
      </c>
      <c r="AD535" t="n">
        <v>50.05</v>
      </c>
      <c r="AE535" t="n">
        <v>35.9</v>
      </c>
      <c r="AF535" t="n">
        <v>12.2</v>
      </c>
      <c r="AG535" t="inlineStr">
        <is>
          <t>1:12.2</t>
        </is>
      </c>
      <c r="AH535" t="inlineStr">
        <is>
          <t>36%</t>
        </is>
      </c>
      <c r="AI535" t="n">
        <v>12.8</v>
      </c>
      <c r="AJ535" t="n">
        <v>36.07</v>
      </c>
    </row>
    <row r="536">
      <c r="A536" t="inlineStr">
        <is>
          <t>Illinois State University</t>
        </is>
      </c>
      <c r="B536" t="inlineStr">
        <is>
          <t>United States</t>
        </is>
      </c>
      <c r="C536" t="inlineStr">
        <is>
          <t>1401+</t>
        </is>
      </c>
      <c r="D536" t="inlineStr"/>
      <c r="E536" t="n">
        <v>3.4</v>
      </c>
      <c r="F536" t="n">
        <v>2.8</v>
      </c>
      <c r="G536" t="n">
        <v>5.6</v>
      </c>
      <c r="H536" t="n">
        <v>4.1</v>
      </c>
      <c r="I536" t="n">
        <v>4.7</v>
      </c>
      <c r="J536" t="n">
        <v>3.1</v>
      </c>
      <c r="K536" t="n">
        <v>20</v>
      </c>
      <c r="L536" t="n">
        <v>7.6</v>
      </c>
      <c r="M536" t="n">
        <v>1.1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n">
        <v>1401</v>
      </c>
      <c r="Z536" t="inlineStr"/>
      <c r="AA536" t="inlineStr"/>
      <c r="AB536" t="inlineStr">
        <is>
          <t>U0535</t>
        </is>
      </c>
      <c r="AC536" t="inlineStr">
        <is>
          <t>UN</t>
        </is>
      </c>
      <c r="AD536" t="inlineStr"/>
      <c r="AE536" t="n">
        <v>4.1</v>
      </c>
      <c r="AF536" t="inlineStr"/>
      <c r="AG536" t="inlineStr"/>
      <c r="AH536" t="inlineStr"/>
      <c r="AI536" t="n">
        <v>3.4</v>
      </c>
      <c r="AJ536" t="n">
        <v>14.63</v>
      </c>
    </row>
    <row r="537">
      <c r="A537" t="inlineStr">
        <is>
          <t>Ilmenau University of Technology</t>
        </is>
      </c>
      <c r="B537" t="inlineStr">
        <is>
          <t>Germany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1001–1200</t>
        </is>
      </c>
      <c r="O537" t="inlineStr">
        <is>
          <t>28.3–32.6</t>
        </is>
      </c>
      <c r="P537" t="n">
        <v>31</v>
      </c>
      <c r="Q537" t="n">
        <v>21.4</v>
      </c>
      <c r="R537" t="n">
        <v>32.8</v>
      </c>
      <c r="S537" t="n">
        <v>64.90000000000001</v>
      </c>
      <c r="T537" t="n">
        <v>57.1</v>
      </c>
      <c r="U537" t="inlineStr">
        <is>
          <t>5,224</t>
        </is>
      </c>
      <c r="V537" t="n">
        <v>18.4</v>
      </c>
      <c r="W537" t="inlineStr">
        <is>
          <t>31%</t>
        </is>
      </c>
      <c r="X537" t="inlineStr">
        <is>
          <t>28 : 72</t>
        </is>
      </c>
      <c r="Y537" t="inlineStr"/>
      <c r="Z537" t="n">
        <v>1001</v>
      </c>
      <c r="AA537" t="n">
        <v>30.45</v>
      </c>
      <c r="AB537" t="inlineStr">
        <is>
          <t>U0536</t>
        </is>
      </c>
      <c r="AC537" t="inlineStr">
        <is>
          <t>GE</t>
        </is>
      </c>
      <c r="AD537" t="n">
        <v>30.45</v>
      </c>
      <c r="AE537" t="n">
        <v>32.8</v>
      </c>
      <c r="AF537" t="n">
        <v>18.4</v>
      </c>
      <c r="AG537" t="inlineStr">
        <is>
          <t>1:18.4</t>
        </is>
      </c>
      <c r="AH537" t="inlineStr">
        <is>
          <t>31%</t>
        </is>
      </c>
      <c r="AI537" t="inlineStr"/>
      <c r="AJ537" t="n">
        <v>28.36</v>
      </c>
    </row>
    <row r="538">
      <c r="A538" t="inlineStr">
        <is>
          <t>Imam Abdulrahman Bin Faisal University (IAU) (formerly UNIVERSITY OF DAMMAM)</t>
        </is>
      </c>
      <c r="B538" t="inlineStr">
        <is>
          <t>Saudi Arabia</t>
        </is>
      </c>
      <c r="C538" t="inlineStr">
        <is>
          <t>513</t>
        </is>
      </c>
      <c r="D538" t="n">
        <v>23.7</v>
      </c>
      <c r="E538" t="n">
        <v>10.5</v>
      </c>
      <c r="F538" t="n">
        <v>11.4</v>
      </c>
      <c r="G538" t="n">
        <v>89.5</v>
      </c>
      <c r="H538" t="n">
        <v>2.6</v>
      </c>
      <c r="I538" t="n">
        <v>98.2</v>
      </c>
      <c r="J538" t="n">
        <v>19.7</v>
      </c>
      <c r="K538" t="n">
        <v>68.3</v>
      </c>
      <c r="L538" t="n">
        <v>2.4</v>
      </c>
      <c r="M538" t="n">
        <v>18.4</v>
      </c>
      <c r="N538" t="inlineStr">
        <is>
          <t>601–800</t>
        </is>
      </c>
      <c r="O538" t="inlineStr">
        <is>
          <t>37.0–41.8</t>
        </is>
      </c>
      <c r="P538" t="n">
        <v>27.7</v>
      </c>
      <c r="Q538" t="n">
        <v>13.9</v>
      </c>
      <c r="R538" t="n">
        <v>70.59999999999999</v>
      </c>
      <c r="S538" t="n">
        <v>20.8</v>
      </c>
      <c r="T538" t="n">
        <v>75.3</v>
      </c>
      <c r="U538" t="inlineStr">
        <is>
          <t>23,781</t>
        </is>
      </c>
      <c r="V538" t="n">
        <v>11.3</v>
      </c>
      <c r="W538" t="inlineStr">
        <is>
          <t>4%</t>
        </is>
      </c>
      <c r="X538" t="inlineStr">
        <is>
          <t>84 : 16</t>
        </is>
      </c>
      <c r="Y538" t="n">
        <v>513</v>
      </c>
      <c r="Z538" t="n">
        <v>601</v>
      </c>
      <c r="AA538" t="n">
        <v>39.4</v>
      </c>
      <c r="AB538" t="inlineStr">
        <is>
          <t>U0537</t>
        </is>
      </c>
      <c r="AC538" t="inlineStr">
        <is>
          <t>SA</t>
        </is>
      </c>
      <c r="AD538" t="n">
        <v>23.7</v>
      </c>
      <c r="AE538" t="n">
        <v>2.6</v>
      </c>
      <c r="AF538" t="n">
        <v>11.3</v>
      </c>
      <c r="AG538" t="inlineStr">
        <is>
          <t>1:11.3</t>
        </is>
      </c>
      <c r="AH538" t="inlineStr">
        <is>
          <t>4%</t>
        </is>
      </c>
      <c r="AI538" t="n">
        <v>10.5</v>
      </c>
      <c r="AJ538" t="n">
        <v>19.68</v>
      </c>
    </row>
    <row r="539">
      <c r="A539" t="inlineStr">
        <is>
          <t>Imam Khomeini International University</t>
        </is>
      </c>
      <c r="B539" t="inlineStr">
        <is>
          <t>Iran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601–800</t>
        </is>
      </c>
      <c r="O539" t="inlineStr">
        <is>
          <t>37.0–41.8</t>
        </is>
      </c>
      <c r="P539" t="n">
        <v>30.6</v>
      </c>
      <c r="Q539" t="n">
        <v>19.6</v>
      </c>
      <c r="R539" t="n">
        <v>72.40000000000001</v>
      </c>
      <c r="S539" t="n">
        <v>26.7</v>
      </c>
      <c r="T539" t="n">
        <v>26.9</v>
      </c>
      <c r="U539" t="inlineStr">
        <is>
          <t>8,156</t>
        </is>
      </c>
      <c r="V539" t="n">
        <v>25.8</v>
      </c>
      <c r="W539" t="inlineStr">
        <is>
          <t>5%</t>
        </is>
      </c>
      <c r="X539" t="inlineStr">
        <is>
          <t>54 : 46</t>
        </is>
      </c>
      <c r="Y539" t="inlineStr"/>
      <c r="Z539" t="n">
        <v>601</v>
      </c>
      <c r="AA539" t="n">
        <v>39.4</v>
      </c>
      <c r="AB539" t="inlineStr">
        <is>
          <t>U0538</t>
        </is>
      </c>
      <c r="AC539" t="inlineStr">
        <is>
          <t>IR</t>
        </is>
      </c>
      <c r="AD539" t="n">
        <v>39.4</v>
      </c>
      <c r="AE539" t="n">
        <v>72.40000000000001</v>
      </c>
      <c r="AF539" t="n">
        <v>25.8</v>
      </c>
      <c r="AG539" t="inlineStr">
        <is>
          <t>1:25.8</t>
        </is>
      </c>
      <c r="AH539" t="inlineStr">
        <is>
          <t>5%</t>
        </is>
      </c>
      <c r="AI539" t="inlineStr"/>
      <c r="AJ539" t="n">
        <v>32.11</v>
      </c>
    </row>
    <row r="540">
      <c r="A540" t="inlineStr">
        <is>
          <t>Imam Mohammad Ibn Saud Islamic University</t>
        </is>
      </c>
      <c r="B540" t="inlineStr">
        <is>
          <t>Saudi Arabia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401–500</t>
        </is>
      </c>
      <c r="O540" t="inlineStr">
        <is>
          <t>45.4–49.0</t>
        </is>
      </c>
      <c r="P540" t="n">
        <v>43.4</v>
      </c>
      <c r="Q540" t="n">
        <v>23.4</v>
      </c>
      <c r="R540" t="n">
        <v>65.8</v>
      </c>
      <c r="S540" t="n">
        <v>21.5</v>
      </c>
      <c r="T540" t="n">
        <v>69.8</v>
      </c>
      <c r="U540" t="inlineStr">
        <is>
          <t>42,107</t>
        </is>
      </c>
      <c r="V540" t="n">
        <v>10.5</v>
      </c>
      <c r="W540" t="inlineStr">
        <is>
          <t>3%</t>
        </is>
      </c>
      <c r="X540" t="inlineStr">
        <is>
          <t>39 : 61</t>
        </is>
      </c>
      <c r="Y540" t="inlineStr"/>
      <c r="Z540" t="n">
        <v>401</v>
      </c>
      <c r="AA540" t="n">
        <v>47.2</v>
      </c>
      <c r="AB540" t="inlineStr">
        <is>
          <t>U0539</t>
        </is>
      </c>
      <c r="AC540" t="inlineStr">
        <is>
          <t>SA</t>
        </is>
      </c>
      <c r="AD540" t="n">
        <v>47.2</v>
      </c>
      <c r="AE540" t="n">
        <v>65.8</v>
      </c>
      <c r="AF540" t="n">
        <v>10.5</v>
      </c>
      <c r="AG540" t="inlineStr">
        <is>
          <t>1:10.5</t>
        </is>
      </c>
      <c r="AH540" t="inlineStr">
        <is>
          <t>3%</t>
        </is>
      </c>
      <c r="AI540" t="inlineStr"/>
      <c r="AJ540" t="n">
        <v>42.48</v>
      </c>
    </row>
    <row r="541">
      <c r="A541" t="inlineStr">
        <is>
          <t>Imam Mohammad Ibn Saud Islamic University – IMSIU</t>
        </is>
      </c>
      <c r="B541" t="inlineStr">
        <is>
          <t>Saudi Arabia</t>
        </is>
      </c>
      <c r="C541" t="inlineStr">
        <is>
          <t>901-950</t>
        </is>
      </c>
      <c r="D541" t="inlineStr"/>
      <c r="E541" t="n">
        <v>14.8</v>
      </c>
      <c r="F541" t="n">
        <v>7.6</v>
      </c>
      <c r="G541" t="n">
        <v>17.4</v>
      </c>
      <c r="H541" t="n">
        <v>1.5</v>
      </c>
      <c r="I541" t="n">
        <v>46.2</v>
      </c>
      <c r="J541" t="n">
        <v>4.2</v>
      </c>
      <c r="K541" t="n">
        <v>41.9</v>
      </c>
      <c r="L541" t="n">
        <v>26.5</v>
      </c>
      <c r="M541" t="n">
        <v>1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901</v>
      </c>
      <c r="Z541" t="inlineStr"/>
      <c r="AA541" t="inlineStr"/>
      <c r="AB541" t="inlineStr">
        <is>
          <t>U0540</t>
        </is>
      </c>
      <c r="AC541" t="inlineStr">
        <is>
          <t>SA</t>
        </is>
      </c>
      <c r="AD541" t="inlineStr"/>
      <c r="AE541" t="n">
        <v>1.5</v>
      </c>
      <c r="AF541" t="inlineStr"/>
      <c r="AG541" t="inlineStr"/>
      <c r="AH541" t="inlineStr"/>
      <c r="AI541" t="n">
        <v>14.8</v>
      </c>
      <c r="AJ541" t="n">
        <v>13.84</v>
      </c>
    </row>
    <row r="542">
      <c r="A542" t="inlineStr">
        <is>
          <t>Immanuel Kant Baltic Federal University</t>
        </is>
      </c>
      <c r="B542" t="inlineStr">
        <is>
          <t>Russian Federation</t>
        </is>
      </c>
      <c r="C542" t="inlineStr">
        <is>
          <t>801-850</t>
        </is>
      </c>
      <c r="D542" t="inlineStr"/>
      <c r="E542" t="n">
        <v>7.6</v>
      </c>
      <c r="F542" t="n">
        <v>2.5</v>
      </c>
      <c r="G542" t="n">
        <v>79.40000000000001</v>
      </c>
      <c r="H542" t="n">
        <v>1.8</v>
      </c>
      <c r="I542" t="n">
        <v>21.8</v>
      </c>
      <c r="J542" t="n">
        <v>40.2</v>
      </c>
      <c r="K542" t="n">
        <v>35.2</v>
      </c>
      <c r="L542" t="n">
        <v>1.9</v>
      </c>
      <c r="M542" t="n">
        <v>1.2</v>
      </c>
      <c r="N542" t="inlineStr">
        <is>
          <t>1201–1500</t>
        </is>
      </c>
      <c r="O542" t="inlineStr">
        <is>
          <t>22.8–28.2</t>
        </is>
      </c>
      <c r="P542" t="n">
        <v>35.9</v>
      </c>
      <c r="Q542" t="n">
        <v>18.8</v>
      </c>
      <c r="R542" t="n">
        <v>16.9</v>
      </c>
      <c r="S542" t="n">
        <v>34.4</v>
      </c>
      <c r="T542" t="n">
        <v>62.4</v>
      </c>
      <c r="U542" t="inlineStr">
        <is>
          <t>6,857</t>
        </is>
      </c>
      <c r="V542" t="n">
        <v>17.1</v>
      </c>
      <c r="W542" t="inlineStr">
        <is>
          <t>19%</t>
        </is>
      </c>
      <c r="X542" t="inlineStr">
        <is>
          <t>59 : 41</t>
        </is>
      </c>
      <c r="Y542" t="n">
        <v>801</v>
      </c>
      <c r="Z542" t="n">
        <v>1201</v>
      </c>
      <c r="AA542" t="n">
        <v>25.5</v>
      </c>
      <c r="AB542" t="inlineStr">
        <is>
          <t>U0541</t>
        </is>
      </c>
      <c r="AC542" t="inlineStr">
        <is>
          <t>RU</t>
        </is>
      </c>
      <c r="AD542" t="n">
        <v>25.5</v>
      </c>
      <c r="AE542" t="n">
        <v>1.8</v>
      </c>
      <c r="AF542" t="n">
        <v>17.1</v>
      </c>
      <c r="AG542" t="inlineStr">
        <is>
          <t>1:17.1</t>
        </is>
      </c>
      <c r="AH542" t="inlineStr">
        <is>
          <t>19%</t>
        </is>
      </c>
      <c r="AI542" t="n">
        <v>7.6</v>
      </c>
      <c r="AJ542" t="n">
        <v>18.88</v>
      </c>
    </row>
    <row r="543">
      <c r="A543" t="inlineStr">
        <is>
          <t>Imperial College London</t>
        </is>
      </c>
      <c r="B543" t="inlineStr">
        <is>
          <t>United Kingdom</t>
        </is>
      </c>
      <c r="C543" t="inlineStr">
        <is>
          <t>2</t>
        </is>
      </c>
      <c r="D543" t="n">
        <v>98.5</v>
      </c>
      <c r="E543" t="n">
        <v>98.5</v>
      </c>
      <c r="F543" t="n">
        <v>99.5</v>
      </c>
      <c r="G543" t="n">
        <v>98.2</v>
      </c>
      <c r="H543" t="n">
        <v>93.90000000000001</v>
      </c>
      <c r="I543" t="n">
        <v>100</v>
      </c>
      <c r="J543" t="n">
        <v>99.59999999999999</v>
      </c>
      <c r="K543" t="n">
        <v>97.40000000000001</v>
      </c>
      <c r="L543" t="n">
        <v>93.40000000000001</v>
      </c>
      <c r="M543" t="n">
        <v>99.7</v>
      </c>
      <c r="N543" t="inlineStr">
        <is>
          <t>8</t>
        </is>
      </c>
      <c r="O543" t="inlineStr">
        <is>
          <t>95.1</t>
        </is>
      </c>
      <c r="P543" t="n">
        <v>90.90000000000001</v>
      </c>
      <c r="Q543" t="n">
        <v>95.5</v>
      </c>
      <c r="R543" t="n">
        <v>98.59999999999999</v>
      </c>
      <c r="S543" t="n">
        <v>90.90000000000001</v>
      </c>
      <c r="T543" t="n">
        <v>98.3</v>
      </c>
      <c r="U543" t="inlineStr">
        <is>
          <t>20,275</t>
        </is>
      </c>
      <c r="V543" t="n">
        <v>11.8</v>
      </c>
      <c r="W543" t="inlineStr">
        <is>
          <t>61%</t>
        </is>
      </c>
      <c r="X543" t="inlineStr">
        <is>
          <t>42 : 58</t>
        </is>
      </c>
      <c r="Y543" t="n">
        <v>2</v>
      </c>
      <c r="Z543" t="n">
        <v>8</v>
      </c>
      <c r="AA543" t="n">
        <v>95.09999999999999</v>
      </c>
      <c r="AB543" t="inlineStr">
        <is>
          <t>U0542</t>
        </is>
      </c>
      <c r="AC543" t="inlineStr">
        <is>
          <t>UN</t>
        </is>
      </c>
      <c r="AD543" t="n">
        <v>98.5</v>
      </c>
      <c r="AE543" t="n">
        <v>93.90000000000001</v>
      </c>
      <c r="AF543" t="n">
        <v>11.8</v>
      </c>
      <c r="AG543" t="inlineStr">
        <is>
          <t>1:11.8</t>
        </is>
      </c>
      <c r="AH543" t="inlineStr">
        <is>
          <t>61%</t>
        </is>
      </c>
      <c r="AI543" t="n">
        <v>98.5</v>
      </c>
      <c r="AJ543" t="n">
        <v>95.67</v>
      </c>
    </row>
    <row r="544">
      <c r="A544" t="inlineStr">
        <is>
          <t>IMT Atlantique</t>
        </is>
      </c>
      <c r="B544" t="inlineStr">
        <is>
          <t>France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401–500</t>
        </is>
      </c>
      <c r="O544" t="inlineStr">
        <is>
          <t>45.4–49.0</t>
        </is>
      </c>
      <c r="P544" t="n">
        <v>47.5</v>
      </c>
      <c r="Q544" t="n">
        <v>36.5</v>
      </c>
      <c r="R544" t="n">
        <v>43.6</v>
      </c>
      <c r="S544" t="n">
        <v>90.5</v>
      </c>
      <c r="T544" t="n">
        <v>84.8</v>
      </c>
      <c r="U544" t="inlineStr">
        <is>
          <t>1,683</t>
        </is>
      </c>
      <c r="V544" t="n">
        <v>9.4</v>
      </c>
      <c r="W544" t="inlineStr">
        <is>
          <t>37%</t>
        </is>
      </c>
      <c r="X544" t="inlineStr">
        <is>
          <t>25 : 75</t>
        </is>
      </c>
      <c r="Y544" t="inlineStr"/>
      <c r="Z544" t="n">
        <v>401</v>
      </c>
      <c r="AA544" t="n">
        <v>47.2</v>
      </c>
      <c r="AB544" t="inlineStr">
        <is>
          <t>U0543</t>
        </is>
      </c>
      <c r="AC544" t="inlineStr">
        <is>
          <t>FR</t>
        </is>
      </c>
      <c r="AD544" t="n">
        <v>47.2</v>
      </c>
      <c r="AE544" t="n">
        <v>43.6</v>
      </c>
      <c r="AF544" t="n">
        <v>9.4</v>
      </c>
      <c r="AG544" t="inlineStr">
        <is>
          <t>1:9.4</t>
        </is>
      </c>
      <c r="AH544" t="inlineStr">
        <is>
          <t>37%</t>
        </is>
      </c>
      <c r="AI544" t="inlineStr"/>
      <c r="AJ544" t="n">
        <v>46.24</v>
      </c>
    </row>
    <row r="545">
      <c r="A545" t="inlineStr">
        <is>
          <t>IMT Nord Europe</t>
        </is>
      </c>
      <c r="B545" t="inlineStr">
        <is>
          <t>France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1001–1200</t>
        </is>
      </c>
      <c r="O545" t="inlineStr">
        <is>
          <t>28.3–32.6</t>
        </is>
      </c>
      <c r="P545" t="n">
        <v>32.2</v>
      </c>
      <c r="Q545" t="n">
        <v>25.2</v>
      </c>
      <c r="R545" t="n">
        <v>19.7</v>
      </c>
      <c r="S545" t="n">
        <v>64.8</v>
      </c>
      <c r="T545" t="n">
        <v>73.40000000000001</v>
      </c>
      <c r="U545" t="inlineStr">
        <is>
          <t>1,592</t>
        </is>
      </c>
      <c r="V545" t="n">
        <v>15</v>
      </c>
      <c r="W545" t="inlineStr">
        <is>
          <t>19%</t>
        </is>
      </c>
      <c r="X545" t="inlineStr">
        <is>
          <t>25 : 75</t>
        </is>
      </c>
      <c r="Y545" t="inlineStr"/>
      <c r="Z545" t="n">
        <v>1001</v>
      </c>
      <c r="AA545" t="n">
        <v>30.45</v>
      </c>
      <c r="AB545" t="inlineStr">
        <is>
          <t>U0544</t>
        </is>
      </c>
      <c r="AC545" t="inlineStr">
        <is>
          <t>FR</t>
        </is>
      </c>
      <c r="AD545" t="n">
        <v>30.45</v>
      </c>
      <c r="AE545" t="n">
        <v>19.7</v>
      </c>
      <c r="AF545" t="n">
        <v>15</v>
      </c>
      <c r="AG545" t="inlineStr">
        <is>
          <t>1:15.0</t>
        </is>
      </c>
      <c r="AH545" t="inlineStr">
        <is>
          <t>19%</t>
        </is>
      </c>
      <c r="AI545" t="inlineStr"/>
      <c r="AJ545" t="n">
        <v>30.32</v>
      </c>
    </row>
    <row r="546">
      <c r="A546" t="inlineStr">
        <is>
          <t>Inönü University</t>
        </is>
      </c>
      <c r="B546" t="inlineStr">
        <is>
          <t>Turkey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1501+</t>
        </is>
      </c>
      <c r="O546" t="inlineStr">
        <is>
          <t>9.7–22.7</t>
        </is>
      </c>
      <c r="P546" t="n">
        <v>17.8</v>
      </c>
      <c r="Q546" t="n">
        <v>9.4</v>
      </c>
      <c r="R546" t="n">
        <v>21.5</v>
      </c>
      <c r="S546" t="n">
        <v>18</v>
      </c>
      <c r="T546" t="n">
        <v>21.1</v>
      </c>
      <c r="U546" t="inlineStr">
        <is>
          <t>36,388</t>
        </is>
      </c>
      <c r="V546" t="n">
        <v>22.2</v>
      </c>
      <c r="W546" t="inlineStr">
        <is>
          <t>3%</t>
        </is>
      </c>
      <c r="X546" t="inlineStr">
        <is>
          <t>51 : 49</t>
        </is>
      </c>
      <c r="Y546" t="inlineStr"/>
      <c r="Z546" t="n">
        <v>1501</v>
      </c>
      <c r="AA546" t="n">
        <v>16.2</v>
      </c>
      <c r="AB546" t="inlineStr">
        <is>
          <t>U0545</t>
        </is>
      </c>
      <c r="AC546" t="inlineStr">
        <is>
          <t>TU</t>
        </is>
      </c>
      <c r="AD546" t="n">
        <v>16.2</v>
      </c>
      <c r="AE546" t="n">
        <v>21.5</v>
      </c>
      <c r="AF546" t="n">
        <v>22.2</v>
      </c>
      <c r="AG546" t="inlineStr">
        <is>
          <t>1:22.2</t>
        </is>
      </c>
      <c r="AH546" t="inlineStr">
        <is>
          <t>3%</t>
        </is>
      </c>
      <c r="AI546" t="inlineStr"/>
      <c r="AJ546" t="n">
        <v>9.94</v>
      </c>
    </row>
    <row r="547">
      <c r="A547" t="inlineStr">
        <is>
          <t>Incheon National University</t>
        </is>
      </c>
      <c r="B547" t="inlineStr">
        <is>
          <t>South Korea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1201–1500</t>
        </is>
      </c>
      <c r="O547" t="inlineStr">
        <is>
          <t>22.8–28.2</t>
        </is>
      </c>
      <c r="P547" t="n">
        <v>22.8</v>
      </c>
      <c r="Q547" t="n">
        <v>17.3</v>
      </c>
      <c r="R547" t="n">
        <v>36.9</v>
      </c>
      <c r="S547" t="n">
        <v>33.6</v>
      </c>
      <c r="T547" t="n">
        <v>36.4</v>
      </c>
      <c r="U547" t="inlineStr">
        <is>
          <t>12,885</t>
        </is>
      </c>
      <c r="V547" t="n">
        <v>15.7</v>
      </c>
      <c r="W547" t="inlineStr">
        <is>
          <t>3%</t>
        </is>
      </c>
      <c r="X547" t="inlineStr">
        <is>
          <t>45 : 55</t>
        </is>
      </c>
      <c r="Y547" t="inlineStr"/>
      <c r="Z547" t="n">
        <v>1201</v>
      </c>
      <c r="AA547" t="n">
        <v>25.5</v>
      </c>
      <c r="AB547" t="inlineStr">
        <is>
          <t>U0546</t>
        </is>
      </c>
      <c r="AC547" t="inlineStr">
        <is>
          <t>SO</t>
        </is>
      </c>
      <c r="AD547" t="n">
        <v>25.5</v>
      </c>
      <c r="AE547" t="n">
        <v>36.9</v>
      </c>
      <c r="AF547" t="n">
        <v>15.7</v>
      </c>
      <c r="AG547" t="inlineStr">
        <is>
          <t>1:15.7</t>
        </is>
      </c>
      <c r="AH547" t="inlineStr">
        <is>
          <t>3%</t>
        </is>
      </c>
      <c r="AI547" t="inlineStr"/>
      <c r="AJ547" t="n">
        <v>22.44</v>
      </c>
    </row>
    <row r="548">
      <c r="A548" t="inlineStr">
        <is>
          <t>Indian Institute of Information Technology, Allahabad</t>
        </is>
      </c>
      <c r="B548" t="inlineStr">
        <is>
          <t>India</t>
        </is>
      </c>
      <c r="C548" t="inlineStr">
        <is>
          <t>1401+</t>
        </is>
      </c>
      <c r="D548" t="inlineStr"/>
      <c r="E548" t="n">
        <v>4.1</v>
      </c>
      <c r="F548" t="n">
        <v>4.4</v>
      </c>
      <c r="G548" t="n">
        <v>2</v>
      </c>
      <c r="H548" t="n">
        <v>10.7</v>
      </c>
      <c r="I548" t="inlineStr"/>
      <c r="J548" t="n">
        <v>2.1</v>
      </c>
      <c r="K548" t="n">
        <v>2.6</v>
      </c>
      <c r="L548" t="n">
        <v>2.1</v>
      </c>
      <c r="M548" t="n">
        <v>1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1401</v>
      </c>
      <c r="Z548" t="inlineStr"/>
      <c r="AA548" t="inlineStr"/>
      <c r="AB548" t="inlineStr">
        <is>
          <t>U0547</t>
        </is>
      </c>
      <c r="AC548" t="inlineStr">
        <is>
          <t>IN</t>
        </is>
      </c>
      <c r="AD548" t="inlineStr"/>
      <c r="AE548" t="n">
        <v>10.7</v>
      </c>
      <c r="AF548" t="inlineStr"/>
      <c r="AG548" t="inlineStr"/>
      <c r="AH548" t="inlineStr"/>
      <c r="AI548" t="n">
        <v>4.1</v>
      </c>
      <c r="AJ548" t="n">
        <v>16.63</v>
      </c>
    </row>
    <row r="549">
      <c r="A549" t="inlineStr">
        <is>
          <t>Indian Institute of Science</t>
        </is>
      </c>
      <c r="B549" t="inlineStr">
        <is>
          <t>India</t>
        </is>
      </c>
      <c r="C549" t="inlineStr">
        <is>
          <t>211</t>
        </is>
      </c>
      <c r="D549" t="n">
        <v>45</v>
      </c>
      <c r="E549" t="n">
        <v>45.7</v>
      </c>
      <c r="F549" t="n">
        <v>26.3</v>
      </c>
      <c r="G549" t="n">
        <v>37.9</v>
      </c>
      <c r="H549" t="n">
        <v>99.90000000000001</v>
      </c>
      <c r="I549" t="n">
        <v>3.7</v>
      </c>
      <c r="J549" t="n">
        <v>1.5</v>
      </c>
      <c r="K549" t="n">
        <v>39.1</v>
      </c>
      <c r="L549" t="n">
        <v>13.1</v>
      </c>
      <c r="M549" t="n">
        <v>23.7</v>
      </c>
      <c r="N549" t="inlineStr">
        <is>
          <t>201–250</t>
        </is>
      </c>
      <c r="O549" t="inlineStr">
        <is>
          <t>55.9–58.6</t>
        </is>
      </c>
      <c r="P549" t="n">
        <v>62.9</v>
      </c>
      <c r="Q549" t="n">
        <v>57.8</v>
      </c>
      <c r="R549" t="n">
        <v>53.9</v>
      </c>
      <c r="S549" t="n">
        <v>96</v>
      </c>
      <c r="T549" t="n">
        <v>31.1</v>
      </c>
      <c r="U549" t="inlineStr">
        <is>
          <t>4,495</t>
        </is>
      </c>
      <c r="V549" t="n">
        <v>9.6</v>
      </c>
      <c r="W549" t="inlineStr">
        <is>
          <t>1%</t>
        </is>
      </c>
      <c r="X549" t="inlineStr">
        <is>
          <t>27 : 73</t>
        </is>
      </c>
      <c r="Y549" t="n">
        <v>211</v>
      </c>
      <c r="Z549" t="n">
        <v>201</v>
      </c>
      <c r="AA549" t="n">
        <v>57.25</v>
      </c>
      <c r="AB549" t="inlineStr">
        <is>
          <t>U0548</t>
        </is>
      </c>
      <c r="AC549" t="inlineStr">
        <is>
          <t>IN</t>
        </is>
      </c>
      <c r="AD549" t="n">
        <v>45</v>
      </c>
      <c r="AE549" t="n">
        <v>99.90000000000001</v>
      </c>
      <c r="AF549" t="n">
        <v>9.6</v>
      </c>
      <c r="AG549" t="inlineStr">
        <is>
          <t>1:9.6</t>
        </is>
      </c>
      <c r="AH549" t="inlineStr">
        <is>
          <t>1%</t>
        </is>
      </c>
      <c r="AI549" t="n">
        <v>45.7</v>
      </c>
      <c r="AJ549" t="n">
        <v>61.48</v>
      </c>
    </row>
    <row r="550">
      <c r="A550" t="inlineStr">
        <is>
          <t>Indian Institute of Science Education and Research Bhopal</t>
        </is>
      </c>
      <c r="B550" t="inlineStr">
        <is>
          <t>India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1201–1500</t>
        </is>
      </c>
      <c r="O550" t="inlineStr">
        <is>
          <t>22.8–28.2</t>
        </is>
      </c>
      <c r="P550" t="n">
        <v>35.8</v>
      </c>
      <c r="Q550" t="n">
        <v>14.6</v>
      </c>
      <c r="R550" t="n">
        <v>24.1</v>
      </c>
      <c r="S550" t="n">
        <v>19.5</v>
      </c>
      <c r="T550" t="n">
        <v>24.5</v>
      </c>
      <c r="U550" t="inlineStr">
        <is>
          <t>1,913</t>
        </is>
      </c>
      <c r="V550" t="n">
        <v>14.3</v>
      </c>
      <c r="W550" t="inlineStr">
        <is>
          <t>0%</t>
        </is>
      </c>
      <c r="X550" t="inlineStr">
        <is>
          <t>33 : 67</t>
        </is>
      </c>
      <c r="Y550" t="inlineStr"/>
      <c r="Z550" t="n">
        <v>1201</v>
      </c>
      <c r="AA550" t="n">
        <v>25.5</v>
      </c>
      <c r="AB550" t="inlineStr">
        <is>
          <t>U0549</t>
        </is>
      </c>
      <c r="AC550" t="inlineStr">
        <is>
          <t>IN</t>
        </is>
      </c>
      <c r="AD550" t="n">
        <v>25.5</v>
      </c>
      <c r="AE550" t="n">
        <v>24.1</v>
      </c>
      <c r="AF550" t="n">
        <v>14.3</v>
      </c>
      <c r="AG550" t="inlineStr">
        <is>
          <t>1:14.3</t>
        </is>
      </c>
      <c r="AH550" t="inlineStr">
        <is>
          <t>0%</t>
        </is>
      </c>
      <c r="AI550" t="inlineStr"/>
      <c r="AJ550" t="n">
        <v>14.27</v>
      </c>
    </row>
    <row r="551">
      <c r="A551" t="inlineStr">
        <is>
          <t>Indian Institute of Science Education and Research Kolkata</t>
        </is>
      </c>
      <c r="B551" t="inlineStr">
        <is>
          <t>India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1001–1200</t>
        </is>
      </c>
      <c r="O551" t="inlineStr">
        <is>
          <t>28.3–32.6</t>
        </is>
      </c>
      <c r="P551" t="n">
        <v>40.8</v>
      </c>
      <c r="Q551" t="n">
        <v>19.4</v>
      </c>
      <c r="R551" t="n">
        <v>33.4</v>
      </c>
      <c r="S551" t="n">
        <v>28.8</v>
      </c>
      <c r="T551" t="n">
        <v>24</v>
      </c>
      <c r="U551" t="inlineStr">
        <is>
          <t>1,589</t>
        </is>
      </c>
      <c r="V551" t="n">
        <v>12.6</v>
      </c>
      <c r="W551" t="inlineStr">
        <is>
          <t>0%</t>
        </is>
      </c>
      <c r="X551" t="inlineStr">
        <is>
          <t>28 : 72</t>
        </is>
      </c>
      <c r="Y551" t="inlineStr"/>
      <c r="Z551" t="n">
        <v>1001</v>
      </c>
      <c r="AA551" t="n">
        <v>30.45</v>
      </c>
      <c r="AB551" t="inlineStr">
        <is>
          <t>U0550</t>
        </is>
      </c>
      <c r="AC551" t="inlineStr">
        <is>
          <t>IN</t>
        </is>
      </c>
      <c r="AD551" t="n">
        <v>30.45</v>
      </c>
      <c r="AE551" t="n">
        <v>33.4</v>
      </c>
      <c r="AF551" t="n">
        <v>12.6</v>
      </c>
      <c r="AG551" t="inlineStr">
        <is>
          <t>1:12.6</t>
        </is>
      </c>
      <c r="AH551" t="inlineStr">
        <is>
          <t>0%</t>
        </is>
      </c>
      <c r="AI551" t="inlineStr"/>
      <c r="AJ551" t="n">
        <v>19.49</v>
      </c>
    </row>
    <row r="552">
      <c r="A552" t="inlineStr">
        <is>
          <t>Indian Institute of Science Education and Research, Pune</t>
        </is>
      </c>
      <c r="B552" t="inlineStr">
        <is>
          <t>India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>
        <is>
          <t>801–1000</t>
        </is>
      </c>
      <c r="O552" t="inlineStr">
        <is>
          <t>32.7–36.9</t>
        </is>
      </c>
      <c r="P552" t="n">
        <v>42.9</v>
      </c>
      <c r="Q552" t="n">
        <v>25.1</v>
      </c>
      <c r="R552" t="n">
        <v>35.7</v>
      </c>
      <c r="S552" t="n">
        <v>25.4</v>
      </c>
      <c r="T552" t="n">
        <v>38.9</v>
      </c>
      <c r="U552" t="inlineStr">
        <is>
          <t>1,654</t>
        </is>
      </c>
      <c r="V552" t="n">
        <v>11.1</v>
      </c>
      <c r="W552" t="inlineStr">
        <is>
          <t>0%</t>
        </is>
      </c>
      <c r="X552" t="inlineStr">
        <is>
          <t>31 : 69</t>
        </is>
      </c>
      <c r="Y552" t="inlineStr"/>
      <c r="Z552" t="n">
        <v>801</v>
      </c>
      <c r="AA552" t="n">
        <v>34.8</v>
      </c>
      <c r="AB552" t="inlineStr">
        <is>
          <t>U0551</t>
        </is>
      </c>
      <c r="AC552" t="inlineStr">
        <is>
          <t>IN</t>
        </is>
      </c>
      <c r="AD552" t="n">
        <v>34.8</v>
      </c>
      <c r="AE552" t="n">
        <v>35.7</v>
      </c>
      <c r="AF552" t="n">
        <v>11.1</v>
      </c>
      <c r="AG552" t="inlineStr">
        <is>
          <t>1:11.1</t>
        </is>
      </c>
      <c r="AH552" t="inlineStr">
        <is>
          <t>0%</t>
        </is>
      </c>
      <c r="AI552" t="inlineStr"/>
      <c r="AJ552" t="n">
        <v>26.77</v>
      </c>
    </row>
    <row r="553">
      <c r="A553" t="inlineStr">
        <is>
          <t>Indian Institute of Technology Bhubaneswar</t>
        </is>
      </c>
      <c r="B553" t="inlineStr">
        <is>
          <t>India</t>
        </is>
      </c>
      <c r="C553" t="inlineStr">
        <is>
          <t>951-1000</t>
        </is>
      </c>
      <c r="D553" t="inlineStr"/>
      <c r="E553" t="n">
        <v>4.3</v>
      </c>
      <c r="F553" t="n">
        <v>3.5</v>
      </c>
      <c r="G553" t="n">
        <v>10</v>
      </c>
      <c r="H553" t="n">
        <v>50.2</v>
      </c>
      <c r="I553" t="n">
        <v>1.5</v>
      </c>
      <c r="J553" t="n">
        <v>1</v>
      </c>
      <c r="K553" t="n">
        <v>6.8</v>
      </c>
      <c r="L553" t="n">
        <v>2.1</v>
      </c>
      <c r="M553" t="n">
        <v>1.9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951</v>
      </c>
      <c r="Z553" t="inlineStr"/>
      <c r="AA553" t="inlineStr"/>
      <c r="AB553" t="inlineStr">
        <is>
          <t>U0552</t>
        </is>
      </c>
      <c r="AC553" t="inlineStr">
        <is>
          <t>IN</t>
        </is>
      </c>
      <c r="AD553" t="inlineStr"/>
      <c r="AE553" t="n">
        <v>50.2</v>
      </c>
      <c r="AF553" t="inlineStr"/>
      <c r="AG553" t="inlineStr"/>
      <c r="AH553" t="inlineStr"/>
      <c r="AI553" t="n">
        <v>4.3</v>
      </c>
      <c r="AJ553" t="n">
        <v>28.6</v>
      </c>
    </row>
    <row r="554">
      <c r="A554" t="inlineStr">
        <is>
          <t>Indian Institute of Technology Bombay (IITB)</t>
        </is>
      </c>
      <c r="B554" t="inlineStr">
        <is>
          <t>India</t>
        </is>
      </c>
      <c r="C554" t="inlineStr">
        <is>
          <t>118</t>
        </is>
      </c>
      <c r="D554" t="n">
        <v>56.3</v>
      </c>
      <c r="E554" t="n">
        <v>58.5</v>
      </c>
      <c r="F554" t="n">
        <v>86</v>
      </c>
      <c r="G554" t="n">
        <v>14.4</v>
      </c>
      <c r="H554" t="n">
        <v>79.09999999999999</v>
      </c>
      <c r="I554" t="n">
        <v>4.3</v>
      </c>
      <c r="J554" t="n">
        <v>1.3</v>
      </c>
      <c r="K554" t="n">
        <v>52.3</v>
      </c>
      <c r="L554" t="n">
        <v>64.5</v>
      </c>
      <c r="M554" t="n">
        <v>52.5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n">
        <v>118</v>
      </c>
      <c r="Z554" t="inlineStr"/>
      <c r="AA554" t="inlineStr"/>
      <c r="AB554" t="inlineStr">
        <is>
          <t>U0553</t>
        </is>
      </c>
      <c r="AC554" t="inlineStr">
        <is>
          <t>IN</t>
        </is>
      </c>
      <c r="AD554" t="n">
        <v>56.3</v>
      </c>
      <c r="AE554" t="n">
        <v>79.09999999999999</v>
      </c>
      <c r="AF554" t="inlineStr"/>
      <c r="AG554" t="inlineStr"/>
      <c r="AH554" t="inlineStr"/>
      <c r="AI554" t="n">
        <v>58.5</v>
      </c>
      <c r="AJ554" t="n">
        <v>37.36</v>
      </c>
    </row>
    <row r="555">
      <c r="A555" t="inlineStr">
        <is>
          <t>Indian Institute of Technology Delhi (IITD)</t>
        </is>
      </c>
      <c r="B555" t="inlineStr">
        <is>
          <t>India</t>
        </is>
      </c>
      <c r="C555" t="inlineStr">
        <is>
          <t>150</t>
        </is>
      </c>
      <c r="D555" t="n">
        <v>52.1</v>
      </c>
      <c r="E555" t="n">
        <v>54.1</v>
      </c>
      <c r="F555" t="n">
        <v>80.90000000000001</v>
      </c>
      <c r="G555" t="n">
        <v>17.3</v>
      </c>
      <c r="H555" t="n">
        <v>77.40000000000001</v>
      </c>
      <c r="I555" t="n">
        <v>3.1</v>
      </c>
      <c r="J555" t="n">
        <v>1.5</v>
      </c>
      <c r="K555" t="n">
        <v>63.3</v>
      </c>
      <c r="L555" t="n">
        <v>35.1</v>
      </c>
      <c r="M555" t="n">
        <v>32.7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n">
        <v>150</v>
      </c>
      <c r="Z555" t="inlineStr"/>
      <c r="AA555" t="inlineStr"/>
      <c r="AB555" t="inlineStr">
        <is>
          <t>U0554</t>
        </is>
      </c>
      <c r="AC555" t="inlineStr">
        <is>
          <t>IN</t>
        </is>
      </c>
      <c r="AD555" t="n">
        <v>52.1</v>
      </c>
      <c r="AE555" t="n">
        <v>77.40000000000001</v>
      </c>
      <c r="AF555" t="inlineStr"/>
      <c r="AG555" t="inlineStr"/>
      <c r="AH555" t="inlineStr"/>
      <c r="AI555" t="n">
        <v>54.1</v>
      </c>
      <c r="AJ555" t="n">
        <v>36.84</v>
      </c>
    </row>
    <row r="556">
      <c r="A556" t="inlineStr">
        <is>
          <t>Indian Institute of Technology (Indian School of Mines) Dhanbad</t>
        </is>
      </c>
      <c r="B556" t="inlineStr">
        <is>
          <t>India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>
        <is>
          <t>601–800</t>
        </is>
      </c>
      <c r="O556" t="inlineStr">
        <is>
          <t>37.0–41.8</t>
        </is>
      </c>
      <c r="P556" t="n">
        <v>37.6</v>
      </c>
      <c r="Q556" t="n">
        <v>24.1</v>
      </c>
      <c r="R556" t="n">
        <v>59.7</v>
      </c>
      <c r="S556" t="n">
        <v>30</v>
      </c>
      <c r="T556" t="n">
        <v>18.4</v>
      </c>
      <c r="U556" t="inlineStr">
        <is>
          <t>6,174</t>
        </is>
      </c>
      <c r="V556" t="n">
        <v>16.7</v>
      </c>
      <c r="W556" t="inlineStr">
        <is>
          <t>0%</t>
        </is>
      </c>
      <c r="X556" t="inlineStr">
        <is>
          <t>18 : 82</t>
        </is>
      </c>
      <c r="Y556" t="inlineStr"/>
      <c r="Z556" t="n">
        <v>601</v>
      </c>
      <c r="AA556" t="n">
        <v>39.4</v>
      </c>
      <c r="AB556" t="inlineStr">
        <is>
          <t>U0555</t>
        </is>
      </c>
      <c r="AC556" t="inlineStr">
        <is>
          <t>IN</t>
        </is>
      </c>
      <c r="AD556" t="n">
        <v>39.4</v>
      </c>
      <c r="AE556" t="n">
        <v>59.7</v>
      </c>
      <c r="AF556" t="n">
        <v>16.7</v>
      </c>
      <c r="AG556" t="inlineStr">
        <is>
          <t>1:16.7</t>
        </is>
      </c>
      <c r="AH556" t="inlineStr">
        <is>
          <t>0%</t>
        </is>
      </c>
      <c r="AI556" t="inlineStr"/>
      <c r="AJ556" t="n">
        <v>28.56</v>
      </c>
    </row>
    <row r="557">
      <c r="A557" t="inlineStr">
        <is>
          <t>Indian Institute of Technology Gandhinagar</t>
        </is>
      </c>
      <c r="B557" t="inlineStr">
        <is>
          <t>India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>
        <is>
          <t>801–1000</t>
        </is>
      </c>
      <c r="O557" t="inlineStr">
        <is>
          <t>32.7–36.9</t>
        </is>
      </c>
      <c r="P557" t="n">
        <v>41.1</v>
      </c>
      <c r="Q557" t="n">
        <v>27.2</v>
      </c>
      <c r="R557" t="n">
        <v>39</v>
      </c>
      <c r="S557" t="n">
        <v>26.5</v>
      </c>
      <c r="T557" t="n">
        <v>29.6</v>
      </c>
      <c r="U557" t="inlineStr">
        <is>
          <t>1,848</t>
        </is>
      </c>
      <c r="V557" t="n">
        <v>14.9</v>
      </c>
      <c r="W557" t="inlineStr">
        <is>
          <t>0%</t>
        </is>
      </c>
      <c r="X557" t="inlineStr">
        <is>
          <t>28 : 72</t>
        </is>
      </c>
      <c r="Y557" t="inlineStr"/>
      <c r="Z557" t="n">
        <v>801</v>
      </c>
      <c r="AA557" t="n">
        <v>34.8</v>
      </c>
      <c r="AB557" t="inlineStr">
        <is>
          <t>U0556</t>
        </is>
      </c>
      <c r="AC557" t="inlineStr">
        <is>
          <t>IN</t>
        </is>
      </c>
      <c r="AD557" t="n">
        <v>34.8</v>
      </c>
      <c r="AE557" t="n">
        <v>39</v>
      </c>
      <c r="AF557" t="n">
        <v>14.9</v>
      </c>
      <c r="AG557" t="inlineStr">
        <is>
          <t>1:14.9</t>
        </is>
      </c>
      <c r="AH557" t="inlineStr">
        <is>
          <t>0%</t>
        </is>
      </c>
      <c r="AI557" t="inlineStr"/>
      <c r="AJ557" t="n">
        <v>26.62</v>
      </c>
    </row>
    <row r="558">
      <c r="A558" t="inlineStr">
        <is>
          <t>Indian Institute of Technology Guwahati (IITG)</t>
        </is>
      </c>
      <c r="B558" t="inlineStr">
        <is>
          <t>India</t>
        </is>
      </c>
      <c r="C558" t="inlineStr">
        <is>
          <t>344</t>
        </is>
      </c>
      <c r="D558" t="n">
        <v>32.9</v>
      </c>
      <c r="E558" t="n">
        <v>18.8</v>
      </c>
      <c r="F558" t="n">
        <v>32</v>
      </c>
      <c r="G558" t="n">
        <v>6.4</v>
      </c>
      <c r="H558" t="n">
        <v>97.59999999999999</v>
      </c>
      <c r="I558" t="n">
        <v>2.3</v>
      </c>
      <c r="J558" t="n">
        <v>1.2</v>
      </c>
      <c r="K558" t="n">
        <v>51.2</v>
      </c>
      <c r="L558" t="n">
        <v>4.9</v>
      </c>
      <c r="M558" t="n">
        <v>2.2</v>
      </c>
      <c r="N558" t="inlineStr">
        <is>
          <t>601–800</t>
        </is>
      </c>
      <c r="O558" t="inlineStr">
        <is>
          <t>37.0–41.8</t>
        </is>
      </c>
      <c r="P558" t="n">
        <v>35.5</v>
      </c>
      <c r="Q558" t="n">
        <v>24.1</v>
      </c>
      <c r="R558" t="n">
        <v>52</v>
      </c>
      <c r="S558" t="n">
        <v>49.5</v>
      </c>
      <c r="T558" t="n">
        <v>28.6</v>
      </c>
      <c r="U558" t="inlineStr">
        <is>
          <t>8,157</t>
        </is>
      </c>
      <c r="V558" t="n">
        <v>18</v>
      </c>
      <c r="W558" t="inlineStr">
        <is>
          <t>1%</t>
        </is>
      </c>
      <c r="X558" t="inlineStr">
        <is>
          <t>24 : 76</t>
        </is>
      </c>
      <c r="Y558" t="n">
        <v>344</v>
      </c>
      <c r="Z558" t="n">
        <v>601</v>
      </c>
      <c r="AA558" t="n">
        <v>39.4</v>
      </c>
      <c r="AB558" t="inlineStr">
        <is>
          <t>U0557</t>
        </is>
      </c>
      <c r="AC558" t="inlineStr">
        <is>
          <t>IN</t>
        </is>
      </c>
      <c r="AD558" t="n">
        <v>32.9</v>
      </c>
      <c r="AE558" t="n">
        <v>97.59999999999999</v>
      </c>
      <c r="AF558" t="n">
        <v>18</v>
      </c>
      <c r="AG558" t="inlineStr">
        <is>
          <t>1:18.0</t>
        </is>
      </c>
      <c r="AH558" t="inlineStr">
        <is>
          <t>1%</t>
        </is>
      </c>
      <c r="AI558" t="n">
        <v>18.8</v>
      </c>
      <c r="AJ558" t="n">
        <v>42.52</v>
      </c>
    </row>
    <row r="559">
      <c r="A559" t="inlineStr">
        <is>
          <t>Indian Institute of Technology Hyderabad</t>
        </is>
      </c>
      <c r="B559" t="inlineStr">
        <is>
          <t>India</t>
        </is>
      </c>
      <c r="C559" t="inlineStr">
        <is>
          <t>681-690</t>
        </is>
      </c>
      <c r="D559" t="inlineStr"/>
      <c r="E559" t="n">
        <v>6.2</v>
      </c>
      <c r="F559" t="n">
        <v>4.4</v>
      </c>
      <c r="G559" t="n">
        <v>18.2</v>
      </c>
      <c r="H559" t="n">
        <v>71.09999999999999</v>
      </c>
      <c r="I559" t="n">
        <v>1.2</v>
      </c>
      <c r="J559" t="n">
        <v>1.5</v>
      </c>
      <c r="K559" t="n">
        <v>13.7</v>
      </c>
      <c r="L559" t="n">
        <v>2</v>
      </c>
      <c r="M559" t="n">
        <v>4.3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681</v>
      </c>
      <c r="Z559" t="inlineStr"/>
      <c r="AA559" t="inlineStr"/>
      <c r="AB559" t="inlineStr">
        <is>
          <t>U0558</t>
        </is>
      </c>
      <c r="AC559" t="inlineStr">
        <is>
          <t>IN</t>
        </is>
      </c>
      <c r="AD559" t="inlineStr"/>
      <c r="AE559" t="n">
        <v>71.09999999999999</v>
      </c>
      <c r="AF559" t="inlineStr"/>
      <c r="AG559" t="inlineStr"/>
      <c r="AH559" t="inlineStr"/>
      <c r="AI559" t="n">
        <v>6.2</v>
      </c>
      <c r="AJ559" t="n">
        <v>34.93</v>
      </c>
    </row>
    <row r="560">
      <c r="A560" t="inlineStr">
        <is>
          <t>Indian Institute of Technology Indore (IIT Indore)</t>
        </is>
      </c>
      <c r="B560" t="inlineStr">
        <is>
          <t>India</t>
        </is>
      </c>
      <c r="C560" t="inlineStr">
        <is>
          <t>477</t>
        </is>
      </c>
      <c r="D560" t="n">
        <v>25.1</v>
      </c>
      <c r="E560" t="n">
        <v>6.1</v>
      </c>
      <c r="F560" t="n">
        <v>5</v>
      </c>
      <c r="G560" t="n">
        <v>27.1</v>
      </c>
      <c r="H560" t="n">
        <v>95.59999999999999</v>
      </c>
      <c r="I560" t="n">
        <v>2.1</v>
      </c>
      <c r="J560" t="n">
        <v>1.1</v>
      </c>
      <c r="K560" t="n">
        <v>23.6</v>
      </c>
      <c r="L560" t="n">
        <v>2.2</v>
      </c>
      <c r="M560" t="n">
        <v>4.2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n">
        <v>477</v>
      </c>
      <c r="Z560" t="inlineStr"/>
      <c r="AA560" t="inlineStr"/>
      <c r="AB560" t="inlineStr">
        <is>
          <t>U0559</t>
        </is>
      </c>
      <c r="AC560" t="inlineStr">
        <is>
          <t>IN</t>
        </is>
      </c>
      <c r="AD560" t="n">
        <v>25.1</v>
      </c>
      <c r="AE560" t="n">
        <v>95.59999999999999</v>
      </c>
      <c r="AF560" t="inlineStr"/>
      <c r="AG560" t="inlineStr"/>
      <c r="AH560" t="inlineStr"/>
      <c r="AI560" t="n">
        <v>6.1</v>
      </c>
      <c r="AJ560" t="n">
        <v>42.36</v>
      </c>
    </row>
    <row r="561">
      <c r="A561" t="inlineStr">
        <is>
          <t>Indian Institute of Technology Kanpur (IITK)</t>
        </is>
      </c>
      <c r="B561" t="inlineStr">
        <is>
          <t>India</t>
        </is>
      </c>
      <c r="C561" t="inlineStr">
        <is>
          <t>263</t>
        </is>
      </c>
      <c r="D561" t="n">
        <v>39.3</v>
      </c>
      <c r="E561" t="n">
        <v>36.9</v>
      </c>
      <c r="F561" t="n">
        <v>56.9</v>
      </c>
      <c r="G561" t="n">
        <v>14</v>
      </c>
      <c r="H561" t="n">
        <v>73.3</v>
      </c>
      <c r="I561" t="n">
        <v>2.6</v>
      </c>
      <c r="J561" t="n">
        <v>1.1</v>
      </c>
      <c r="K561" t="n">
        <v>38.8</v>
      </c>
      <c r="L561" t="n">
        <v>19.6</v>
      </c>
      <c r="M561" t="n">
        <v>22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263</v>
      </c>
      <c r="Z561" t="inlineStr"/>
      <c r="AA561" t="inlineStr"/>
      <c r="AB561" t="inlineStr">
        <is>
          <t>U0560</t>
        </is>
      </c>
      <c r="AC561" t="inlineStr">
        <is>
          <t>IN</t>
        </is>
      </c>
      <c r="AD561" t="n">
        <v>39.3</v>
      </c>
      <c r="AE561" t="n">
        <v>73.3</v>
      </c>
      <c r="AF561" t="inlineStr"/>
      <c r="AG561" t="inlineStr"/>
      <c r="AH561" t="inlineStr"/>
      <c r="AI561" t="n">
        <v>36.9</v>
      </c>
      <c r="AJ561" t="n">
        <v>35.6</v>
      </c>
    </row>
    <row r="562">
      <c r="A562" t="inlineStr">
        <is>
          <t>Indian Institute of Technology Kharagpur (IIT-KGP)</t>
        </is>
      </c>
      <c r="B562" t="inlineStr">
        <is>
          <t>India</t>
        </is>
      </c>
      <c r="C562" t="inlineStr">
        <is>
          <t>222</t>
        </is>
      </c>
      <c r="D562" t="n">
        <v>43.7</v>
      </c>
      <c r="E562" t="n">
        <v>34</v>
      </c>
      <c r="F562" t="n">
        <v>51.1</v>
      </c>
      <c r="G562" t="n">
        <v>9</v>
      </c>
      <c r="H562" t="n">
        <v>90.2</v>
      </c>
      <c r="I562" t="n">
        <v>1.1</v>
      </c>
      <c r="J562" t="n">
        <v>1.1</v>
      </c>
      <c r="K562" t="n">
        <v>69.3</v>
      </c>
      <c r="L562" t="n">
        <v>33</v>
      </c>
      <c r="M562" t="n">
        <v>44.3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222</v>
      </c>
      <c r="Z562" t="inlineStr"/>
      <c r="AA562" t="inlineStr"/>
      <c r="AB562" t="inlineStr">
        <is>
          <t>U0561</t>
        </is>
      </c>
      <c r="AC562" t="inlineStr">
        <is>
          <t>IN</t>
        </is>
      </c>
      <c r="AD562" t="n">
        <v>43.7</v>
      </c>
      <c r="AE562" t="n">
        <v>90.2</v>
      </c>
      <c r="AF562" t="inlineStr"/>
      <c r="AG562" t="inlineStr"/>
      <c r="AH562" t="inlineStr"/>
      <c r="AI562" t="n">
        <v>34</v>
      </c>
      <c r="AJ562" t="n">
        <v>40.72</v>
      </c>
    </row>
    <row r="563">
      <c r="A563" t="inlineStr">
        <is>
          <t>Indian Institute of Technology Madras (IITM)</t>
        </is>
      </c>
      <c r="B563" t="inlineStr">
        <is>
          <t>India</t>
        </is>
      </c>
      <c r="C563" t="inlineStr">
        <is>
          <t>227</t>
        </is>
      </c>
      <c r="D563" t="n">
        <v>43.5</v>
      </c>
      <c r="E563" t="n">
        <v>42.4</v>
      </c>
      <c r="F563" t="n">
        <v>63.2</v>
      </c>
      <c r="G563" t="n">
        <v>20.3</v>
      </c>
      <c r="H563" t="n">
        <v>70.3</v>
      </c>
      <c r="I563" t="n">
        <v>3.9</v>
      </c>
      <c r="J563" t="n">
        <v>1.6</v>
      </c>
      <c r="K563" t="n">
        <v>37.5</v>
      </c>
      <c r="L563" t="n">
        <v>27</v>
      </c>
      <c r="M563" t="n">
        <v>44.6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n">
        <v>227</v>
      </c>
      <c r="Z563" t="inlineStr"/>
      <c r="AA563" t="inlineStr"/>
      <c r="AB563" t="inlineStr">
        <is>
          <t>U0562</t>
        </is>
      </c>
      <c r="AC563" t="inlineStr">
        <is>
          <t>IN</t>
        </is>
      </c>
      <c r="AD563" t="n">
        <v>43.5</v>
      </c>
      <c r="AE563" t="n">
        <v>70.3</v>
      </c>
      <c r="AF563" t="inlineStr"/>
      <c r="AG563" t="inlineStr"/>
      <c r="AH563" t="inlineStr"/>
      <c r="AI563" t="n">
        <v>42.4</v>
      </c>
      <c r="AJ563" t="n">
        <v>34.69</v>
      </c>
    </row>
    <row r="564">
      <c r="A564" t="inlineStr">
        <is>
          <t>Indian Institute of Technology Mandi</t>
        </is>
      </c>
      <c r="B564" t="inlineStr">
        <is>
          <t>India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1001–1200</t>
        </is>
      </c>
      <c r="O564" t="inlineStr">
        <is>
          <t>28.3–32.6</t>
        </is>
      </c>
      <c r="P564" t="n">
        <v>36.5</v>
      </c>
      <c r="Q564" t="n">
        <v>13.4</v>
      </c>
      <c r="R564" t="n">
        <v>49.2</v>
      </c>
      <c r="S564" t="n">
        <v>18.3</v>
      </c>
      <c r="T564" t="n">
        <v>26.8</v>
      </c>
      <c r="U564" t="inlineStr">
        <is>
          <t>2,058</t>
        </is>
      </c>
      <c r="V564" t="n">
        <v>12.9</v>
      </c>
      <c r="W564" t="inlineStr">
        <is>
          <t>1%</t>
        </is>
      </c>
      <c r="X564" t="inlineStr">
        <is>
          <t>27 : 73</t>
        </is>
      </c>
      <c r="Y564" t="inlineStr"/>
      <c r="Z564" t="n">
        <v>1001</v>
      </c>
      <c r="AA564" t="n">
        <v>30.45</v>
      </c>
      <c r="AB564" t="inlineStr">
        <is>
          <t>U0563</t>
        </is>
      </c>
      <c r="AC564" t="inlineStr">
        <is>
          <t>IN</t>
        </is>
      </c>
      <c r="AD564" t="n">
        <v>30.45</v>
      </c>
      <c r="AE564" t="n">
        <v>49.2</v>
      </c>
      <c r="AF564" t="n">
        <v>12.9</v>
      </c>
      <c r="AG564" t="inlineStr">
        <is>
          <t>1:12.9</t>
        </is>
      </c>
      <c r="AH564" t="inlineStr">
        <is>
          <t>1%</t>
        </is>
      </c>
      <c r="AI564" t="inlineStr"/>
      <c r="AJ564" t="n">
        <v>21.81</v>
      </c>
    </row>
    <row r="565">
      <c r="A565" t="inlineStr">
        <is>
          <t>Indian Institute of Technology Patna</t>
        </is>
      </c>
      <c r="B565" t="inlineStr">
        <is>
          <t>India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>
        <is>
          <t>601–800</t>
        </is>
      </c>
      <c r="O565" t="inlineStr">
        <is>
          <t>37.0–41.8</t>
        </is>
      </c>
      <c r="P565" t="n">
        <v>33.2</v>
      </c>
      <c r="Q565" t="n">
        <v>24.1</v>
      </c>
      <c r="R565" t="n">
        <v>70.59999999999999</v>
      </c>
      <c r="S565" t="n">
        <v>19.8</v>
      </c>
      <c r="T565" t="n">
        <v>22.3</v>
      </c>
      <c r="U565" t="inlineStr">
        <is>
          <t>2,375</t>
        </is>
      </c>
      <c r="V565" t="n">
        <v>18.8</v>
      </c>
      <c r="W565" t="inlineStr">
        <is>
          <t>1%</t>
        </is>
      </c>
      <c r="X565" t="inlineStr">
        <is>
          <t>18 : 82</t>
        </is>
      </c>
      <c r="Y565" t="inlineStr"/>
      <c r="Z565" t="n">
        <v>601</v>
      </c>
      <c r="AA565" t="n">
        <v>39.4</v>
      </c>
      <c r="AB565" t="inlineStr">
        <is>
          <t>U0564</t>
        </is>
      </c>
      <c r="AC565" t="inlineStr">
        <is>
          <t>IN</t>
        </is>
      </c>
      <c r="AD565" t="n">
        <v>39.4</v>
      </c>
      <c r="AE565" t="n">
        <v>70.59999999999999</v>
      </c>
      <c r="AF565" t="n">
        <v>18.8</v>
      </c>
      <c r="AG565" t="inlineStr">
        <is>
          <t>1:18.8</t>
        </is>
      </c>
      <c r="AH565" t="inlineStr">
        <is>
          <t>1%</t>
        </is>
      </c>
      <c r="AI565" t="inlineStr"/>
      <c r="AJ565" t="n">
        <v>32.81</v>
      </c>
    </row>
    <row r="566">
      <c r="A566" t="inlineStr">
        <is>
          <t>Indian Institute of Technology Roorkee (IITR)</t>
        </is>
      </c>
      <c r="B566" t="inlineStr">
        <is>
          <t>India</t>
        </is>
      </c>
      <c r="C566" t="inlineStr">
        <is>
          <t>335</t>
        </is>
      </c>
      <c r="D566" t="n">
        <v>33.4</v>
      </c>
      <c r="E566" t="n">
        <v>19.4</v>
      </c>
      <c r="F566" t="n">
        <v>29</v>
      </c>
      <c r="G566" t="n">
        <v>6.8</v>
      </c>
      <c r="H566" t="n">
        <v>93.8</v>
      </c>
      <c r="I566" t="n">
        <v>1.3</v>
      </c>
      <c r="J566" t="n">
        <v>2</v>
      </c>
      <c r="K566" t="n">
        <v>44.3</v>
      </c>
      <c r="L566" t="n">
        <v>6.4</v>
      </c>
      <c r="M566" t="n">
        <v>37.9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n">
        <v>335</v>
      </c>
      <c r="Z566" t="inlineStr"/>
      <c r="AA566" t="inlineStr"/>
      <c r="AB566" t="inlineStr">
        <is>
          <t>U0565</t>
        </is>
      </c>
      <c r="AC566" t="inlineStr">
        <is>
          <t>IN</t>
        </is>
      </c>
      <c r="AD566" t="n">
        <v>33.4</v>
      </c>
      <c r="AE566" t="n">
        <v>93.8</v>
      </c>
      <c r="AF566" t="inlineStr"/>
      <c r="AG566" t="inlineStr"/>
      <c r="AH566" t="inlineStr"/>
      <c r="AI566" t="n">
        <v>19.4</v>
      </c>
      <c r="AJ566" t="n">
        <v>41.81</v>
      </c>
    </row>
    <row r="567">
      <c r="A567" t="inlineStr">
        <is>
          <t>Indian Institute of Technology Ropar</t>
        </is>
      </c>
      <c r="B567" t="inlineStr">
        <is>
          <t>India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>
        <is>
          <t>1001–1200</t>
        </is>
      </c>
      <c r="O567" t="inlineStr">
        <is>
          <t>28.3–32.6</t>
        </is>
      </c>
      <c r="P567" t="n">
        <v>36.5</v>
      </c>
      <c r="Q567" t="n">
        <v>18.4</v>
      </c>
      <c r="R567" t="n">
        <v>44.7</v>
      </c>
      <c r="S567" t="n">
        <v>27.2</v>
      </c>
      <c r="T567" t="n">
        <v>23.7</v>
      </c>
      <c r="U567" t="inlineStr">
        <is>
          <t>2,486</t>
        </is>
      </c>
      <c r="V567" t="n">
        <v>14.9</v>
      </c>
      <c r="W567" t="inlineStr">
        <is>
          <t>1%</t>
        </is>
      </c>
      <c r="X567" t="inlineStr">
        <is>
          <t>22 : 78</t>
        </is>
      </c>
      <c r="Y567" t="inlineStr"/>
      <c r="Z567" t="n">
        <v>1001</v>
      </c>
      <c r="AA567" t="n">
        <v>30.45</v>
      </c>
      <c r="AB567" t="inlineStr">
        <is>
          <t>U0566</t>
        </is>
      </c>
      <c r="AC567" t="inlineStr">
        <is>
          <t>IN</t>
        </is>
      </c>
      <c r="AD567" t="n">
        <v>30.45</v>
      </c>
      <c r="AE567" t="n">
        <v>44.7</v>
      </c>
      <c r="AF567" t="n">
        <v>14.9</v>
      </c>
      <c r="AG567" t="inlineStr">
        <is>
          <t>1:14.9</t>
        </is>
      </c>
      <c r="AH567" t="inlineStr">
        <is>
          <t>1%</t>
        </is>
      </c>
      <c r="AI567" t="inlineStr"/>
      <c r="AJ567" t="n">
        <v>22.31</v>
      </c>
    </row>
    <row r="568">
      <c r="A568" t="inlineStr">
        <is>
          <t>Indian Institute of Technology (BHU) Varanasi</t>
        </is>
      </c>
      <c r="B568" t="inlineStr">
        <is>
          <t>India</t>
        </is>
      </c>
      <c r="C568" t="inlineStr">
        <is>
          <t>531</t>
        </is>
      </c>
      <c r="D568" t="n">
        <v>23.1</v>
      </c>
      <c r="E568" t="n">
        <v>5.5</v>
      </c>
      <c r="F568" t="n">
        <v>5.9</v>
      </c>
      <c r="G568" t="n">
        <v>3.9</v>
      </c>
      <c r="H568" t="n">
        <v>95</v>
      </c>
      <c r="I568" t="n">
        <v>1.4</v>
      </c>
      <c r="J568" t="n">
        <v>1.1</v>
      </c>
      <c r="K568" t="n">
        <v>24.5</v>
      </c>
      <c r="L568" t="n">
        <v>6.5</v>
      </c>
      <c r="M568" t="n">
        <v>10.1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n">
        <v>531</v>
      </c>
      <c r="Z568" t="inlineStr"/>
      <c r="AA568" t="inlineStr"/>
      <c r="AB568" t="inlineStr">
        <is>
          <t>U0567</t>
        </is>
      </c>
      <c r="AC568" t="inlineStr">
        <is>
          <t>IN</t>
        </is>
      </c>
      <c r="AD568" t="n">
        <v>23.1</v>
      </c>
      <c r="AE568" t="n">
        <v>95</v>
      </c>
      <c r="AF568" t="inlineStr"/>
      <c r="AG568" t="inlineStr"/>
      <c r="AH568" t="inlineStr"/>
      <c r="AI568" t="n">
        <v>5.5</v>
      </c>
      <c r="AJ568" t="n">
        <v>42.18</v>
      </c>
    </row>
    <row r="569">
      <c r="A569" t="inlineStr">
        <is>
          <t>Indiana State University</t>
        </is>
      </c>
      <c r="B569" t="inlineStr">
        <is>
          <t>United States</t>
        </is>
      </c>
      <c r="C569" t="inlineStr">
        <is>
          <t>1401+</t>
        </is>
      </c>
      <c r="D569" t="inlineStr"/>
      <c r="E569" t="n">
        <v>6.2</v>
      </c>
      <c r="F569" t="n">
        <v>4.4</v>
      </c>
      <c r="G569" t="n">
        <v>8.5</v>
      </c>
      <c r="H569" t="n">
        <v>3</v>
      </c>
      <c r="I569" t="n">
        <v>1.7</v>
      </c>
      <c r="J569" t="n">
        <v>2.2</v>
      </c>
      <c r="K569" t="n">
        <v>4.2</v>
      </c>
      <c r="L569" t="n">
        <v>6.8</v>
      </c>
      <c r="M569" t="n">
        <v>1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1401</v>
      </c>
      <c r="Z569" t="inlineStr"/>
      <c r="AA569" t="inlineStr"/>
      <c r="AB569" t="inlineStr">
        <is>
          <t>U0568</t>
        </is>
      </c>
      <c r="AC569" t="inlineStr">
        <is>
          <t>UN</t>
        </is>
      </c>
      <c r="AD569" t="inlineStr"/>
      <c r="AE569" t="n">
        <v>3</v>
      </c>
      <c r="AF569" t="inlineStr"/>
      <c r="AG569" t="inlineStr"/>
      <c r="AH569" t="inlineStr"/>
      <c r="AI569" t="n">
        <v>6.2</v>
      </c>
      <c r="AJ569" t="n">
        <v>14.3</v>
      </c>
    </row>
    <row r="570">
      <c r="A570" t="inlineStr">
        <is>
          <t>Indiana University</t>
        </is>
      </c>
      <c r="B570" t="inlineStr">
        <is>
          <t>United States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>
        <is>
          <t>198</t>
        </is>
      </c>
      <c r="O570" t="inlineStr">
        <is>
          <t>58.9</t>
        </is>
      </c>
      <c r="P570" t="n">
        <v>47.3</v>
      </c>
      <c r="Q570" t="n">
        <v>38.4</v>
      </c>
      <c r="R570" t="n">
        <v>84.90000000000001</v>
      </c>
      <c r="S570" t="n">
        <v>85.8</v>
      </c>
      <c r="T570" t="n">
        <v>64.7</v>
      </c>
      <c r="U570" t="inlineStr">
        <is>
          <t>66,389</t>
        </is>
      </c>
      <c r="V570" t="n">
        <v>12.3</v>
      </c>
      <c r="W570" t="inlineStr">
        <is>
          <t>12%</t>
        </is>
      </c>
      <c r="X570" t="inlineStr">
        <is>
          <t>54 : 46</t>
        </is>
      </c>
      <c r="Y570" t="inlineStr"/>
      <c r="Z570" t="n">
        <v>198</v>
      </c>
      <c r="AA570" t="n">
        <v>58.9</v>
      </c>
      <c r="AB570" t="inlineStr">
        <is>
          <t>U0569</t>
        </is>
      </c>
      <c r="AC570" t="inlineStr">
        <is>
          <t>UN</t>
        </is>
      </c>
      <c r="AD570" t="n">
        <v>58.9</v>
      </c>
      <c r="AE570" t="n">
        <v>84.90000000000001</v>
      </c>
      <c r="AF570" t="n">
        <v>12.3</v>
      </c>
      <c r="AG570" t="inlineStr">
        <is>
          <t>1:12.3</t>
        </is>
      </c>
      <c r="AH570" t="inlineStr">
        <is>
          <t>12%</t>
        </is>
      </c>
      <c r="AI570" t="inlineStr"/>
      <c r="AJ570" t="n">
        <v>54.89</v>
      </c>
    </row>
    <row r="571">
      <c r="A571" t="inlineStr">
        <is>
          <t>Indiana University Bloomington</t>
        </is>
      </c>
      <c r="B571" t="inlineStr">
        <is>
          <t>United States</t>
        </is>
      </c>
      <c r="C571" t="inlineStr">
        <is>
          <t>355</t>
        </is>
      </c>
      <c r="D571" t="n">
        <v>32.1</v>
      </c>
      <c r="E571" t="n">
        <v>33.4</v>
      </c>
      <c r="F571" t="n">
        <v>23.6</v>
      </c>
      <c r="G571" t="n">
        <v>23.3</v>
      </c>
      <c r="H571" t="n">
        <v>29.1</v>
      </c>
      <c r="I571" t="n">
        <v>36.3</v>
      </c>
      <c r="J571" t="n">
        <v>10.8</v>
      </c>
      <c r="K571" t="n">
        <v>86.59999999999999</v>
      </c>
      <c r="L571" t="n">
        <v>56.8</v>
      </c>
      <c r="M571" t="n">
        <v>32.7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355</v>
      </c>
      <c r="Z571" t="inlineStr"/>
      <c r="AA571" t="inlineStr"/>
      <c r="AB571" t="inlineStr">
        <is>
          <t>U0570</t>
        </is>
      </c>
      <c r="AC571" t="inlineStr">
        <is>
          <t>UN</t>
        </is>
      </c>
      <c r="AD571" t="n">
        <v>32.1</v>
      </c>
      <c r="AE571" t="n">
        <v>29.1</v>
      </c>
      <c r="AF571" t="inlineStr"/>
      <c r="AG571" t="inlineStr"/>
      <c r="AH571" t="inlineStr"/>
      <c r="AI571" t="n">
        <v>33.4</v>
      </c>
      <c r="AJ571" t="n">
        <v>22.21</v>
      </c>
    </row>
    <row r="572">
      <c r="A572" t="inlineStr">
        <is>
          <t>Indiana University–Purdue University Indianapolis</t>
        </is>
      </c>
      <c r="B572" t="inlineStr">
        <is>
          <t>United States</t>
        </is>
      </c>
      <c r="C572" t="inlineStr">
        <is>
          <t>1001-1200</t>
        </is>
      </c>
      <c r="D572" t="inlineStr"/>
      <c r="E572" t="n">
        <v>7.1</v>
      </c>
      <c r="F572" t="n">
        <v>4.5</v>
      </c>
      <c r="G572" t="n">
        <v>22.2</v>
      </c>
      <c r="H572" t="n">
        <v>10</v>
      </c>
      <c r="I572" t="n">
        <v>28.8</v>
      </c>
      <c r="J572" t="n">
        <v>6.6</v>
      </c>
      <c r="K572" t="n">
        <v>33.6</v>
      </c>
      <c r="L572" t="n">
        <v>3.7</v>
      </c>
      <c r="M572" t="n">
        <v>6.7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1001</v>
      </c>
      <c r="Z572" t="inlineStr"/>
      <c r="AA572" t="inlineStr"/>
      <c r="AB572" t="inlineStr">
        <is>
          <t>U0571</t>
        </is>
      </c>
      <c r="AC572" t="inlineStr">
        <is>
          <t>UN</t>
        </is>
      </c>
      <c r="AD572" t="inlineStr"/>
      <c r="AE572" t="n">
        <v>10</v>
      </c>
      <c r="AF572" t="inlineStr"/>
      <c r="AG572" t="inlineStr"/>
      <c r="AH572" t="inlineStr"/>
      <c r="AI572" t="n">
        <v>7.1</v>
      </c>
      <c r="AJ572" t="n">
        <v>16.42</v>
      </c>
    </row>
    <row r="573">
      <c r="A573" t="inlineStr">
        <is>
          <t>Indraprastha Institute of Information Technology Delhi</t>
        </is>
      </c>
      <c r="B573" t="inlineStr">
        <is>
          <t>India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>
        <is>
          <t>801–1000</t>
        </is>
      </c>
      <c r="O573" t="inlineStr">
        <is>
          <t>32.7–36.9</t>
        </is>
      </c>
      <c r="P573" t="n">
        <v>22.8</v>
      </c>
      <c r="Q573" t="n">
        <v>16</v>
      </c>
      <c r="R573" t="n">
        <v>66.2</v>
      </c>
      <c r="S573" t="n">
        <v>57.8</v>
      </c>
      <c r="T573" t="n">
        <v>44.6</v>
      </c>
      <c r="U573" t="inlineStr">
        <is>
          <t>2,714</t>
        </is>
      </c>
      <c r="V573" t="n">
        <v>23.4</v>
      </c>
      <c r="W573" t="inlineStr">
        <is>
          <t>5%</t>
        </is>
      </c>
      <c r="X573" t="inlineStr">
        <is>
          <t>21 : 79</t>
        </is>
      </c>
      <c r="Y573" t="inlineStr"/>
      <c r="Z573" t="n">
        <v>801</v>
      </c>
      <c r="AA573" t="n">
        <v>34.8</v>
      </c>
      <c r="AB573" t="inlineStr">
        <is>
          <t>U0572</t>
        </is>
      </c>
      <c r="AC573" t="inlineStr">
        <is>
          <t>IN</t>
        </is>
      </c>
      <c r="AD573" t="n">
        <v>34.8</v>
      </c>
      <c r="AE573" t="n">
        <v>66.2</v>
      </c>
      <c r="AF573" t="n">
        <v>23.4</v>
      </c>
      <c r="AG573" t="inlineStr">
        <is>
          <t>1:23.4</t>
        </is>
      </c>
      <c r="AH573" t="inlineStr">
        <is>
          <t>5%</t>
        </is>
      </c>
      <c r="AI573" t="inlineStr"/>
      <c r="AJ573" t="n">
        <v>32.62</v>
      </c>
    </row>
    <row r="574">
      <c r="A574" t="inlineStr">
        <is>
          <t>Industrial University of Tyumen</t>
        </is>
      </c>
      <c r="B574" t="inlineStr">
        <is>
          <t>Russian Federation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1501+</t>
        </is>
      </c>
      <c r="O574" t="inlineStr">
        <is>
          <t>9.7–22.7</t>
        </is>
      </c>
      <c r="P574" t="n">
        <v>19.5</v>
      </c>
      <c r="Q574" t="n">
        <v>8.4</v>
      </c>
      <c r="R574" t="n">
        <v>14</v>
      </c>
      <c r="S574" t="n">
        <v>18.3</v>
      </c>
      <c r="T574" t="n">
        <v>23.1</v>
      </c>
      <c r="U574" t="inlineStr">
        <is>
          <t>11,396</t>
        </is>
      </c>
      <c r="V574" t="n">
        <v>11.4</v>
      </c>
      <c r="W574" t="inlineStr">
        <is>
          <t>6%</t>
        </is>
      </c>
      <c r="X574" t="inlineStr">
        <is>
          <t>35 : 65</t>
        </is>
      </c>
      <c r="Y574" t="inlineStr"/>
      <c r="Z574" t="n">
        <v>1501</v>
      </c>
      <c r="AA574" t="n">
        <v>16.2</v>
      </c>
      <c r="AB574" t="inlineStr">
        <is>
          <t>U0573</t>
        </is>
      </c>
      <c r="AC574" t="inlineStr">
        <is>
          <t>RU</t>
        </is>
      </c>
      <c r="AD574" t="n">
        <v>16.2</v>
      </c>
      <c r="AE574" t="n">
        <v>14</v>
      </c>
      <c r="AF574" t="n">
        <v>11.4</v>
      </c>
      <c r="AG574" t="inlineStr">
        <is>
          <t>1:11.4</t>
        </is>
      </c>
      <c r="AH574" t="inlineStr">
        <is>
          <t>6%</t>
        </is>
      </c>
      <c r="AI574" t="inlineStr"/>
      <c r="AJ574" t="n">
        <v>7.62</v>
      </c>
    </row>
    <row r="575">
      <c r="A575" t="inlineStr">
        <is>
          <t>Inha University</t>
        </is>
      </c>
      <c r="B575" t="inlineStr">
        <is>
          <t>South Korea</t>
        </is>
      </c>
      <c r="C575" t="inlineStr">
        <is>
          <t>631-640</t>
        </is>
      </c>
      <c r="D575" t="inlineStr"/>
      <c r="E575" t="n">
        <v>12.2</v>
      </c>
      <c r="F575" t="n">
        <v>14.3</v>
      </c>
      <c r="G575" t="n">
        <v>77.2</v>
      </c>
      <c r="H575" t="n">
        <v>10.9</v>
      </c>
      <c r="I575" t="n">
        <v>9.699999999999999</v>
      </c>
      <c r="J575" t="n">
        <v>13.7</v>
      </c>
      <c r="K575" t="n">
        <v>23.9</v>
      </c>
      <c r="L575" t="n">
        <v>13.1</v>
      </c>
      <c r="M575" t="n">
        <v>41.4</v>
      </c>
      <c r="N575" t="inlineStr">
        <is>
          <t>801–1000</t>
        </is>
      </c>
      <c r="O575" t="inlineStr">
        <is>
          <t>32.7–36.9</t>
        </is>
      </c>
      <c r="P575" t="n">
        <v>31.2</v>
      </c>
      <c r="Q575" t="n">
        <v>27.2</v>
      </c>
      <c r="R575" t="n">
        <v>41.7</v>
      </c>
      <c r="S575" t="n">
        <v>83.90000000000001</v>
      </c>
      <c r="T575" t="n">
        <v>38.8</v>
      </c>
      <c r="U575" t="inlineStr">
        <is>
          <t>16,035</t>
        </is>
      </c>
      <c r="V575" t="n">
        <v>19.2</v>
      </c>
      <c r="W575" t="inlineStr">
        <is>
          <t>8%</t>
        </is>
      </c>
      <c r="X575" t="inlineStr">
        <is>
          <t>42 : 58</t>
        </is>
      </c>
      <c r="Y575" t="n">
        <v>631</v>
      </c>
      <c r="Z575" t="n">
        <v>801</v>
      </c>
      <c r="AA575" t="n">
        <v>34.8</v>
      </c>
      <c r="AB575" t="inlineStr">
        <is>
          <t>U0574</t>
        </is>
      </c>
      <c r="AC575" t="inlineStr">
        <is>
          <t>SO</t>
        </is>
      </c>
      <c r="AD575" t="n">
        <v>34.8</v>
      </c>
      <c r="AE575" t="n">
        <v>10.9</v>
      </c>
      <c r="AF575" t="n">
        <v>19.2</v>
      </c>
      <c r="AG575" t="inlineStr">
        <is>
          <t>1:19.2</t>
        </is>
      </c>
      <c r="AH575" t="inlineStr">
        <is>
          <t>8%</t>
        </is>
      </c>
      <c r="AI575" t="n">
        <v>12.2</v>
      </c>
      <c r="AJ575" t="n">
        <v>20.33</v>
      </c>
    </row>
    <row r="576">
      <c r="A576" t="inlineStr">
        <is>
          <t>Institut Agro</t>
        </is>
      </c>
      <c r="B576" t="inlineStr">
        <is>
          <t>France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>
        <is>
          <t>401–500</t>
        </is>
      </c>
      <c r="O576" t="inlineStr">
        <is>
          <t>45.4–49.0</t>
        </is>
      </c>
      <c r="P576" t="n">
        <v>43.8</v>
      </c>
      <c r="Q576" t="n">
        <v>32.6</v>
      </c>
      <c r="R576" t="n">
        <v>60.2</v>
      </c>
      <c r="S576" t="n">
        <v>59.6</v>
      </c>
      <c r="T576" t="n">
        <v>60.3</v>
      </c>
      <c r="U576" t="inlineStr">
        <is>
          <t>3,117</t>
        </is>
      </c>
      <c r="V576" t="n">
        <v>10.8</v>
      </c>
      <c r="W576" t="inlineStr">
        <is>
          <t>13%</t>
        </is>
      </c>
      <c r="X576" t="inlineStr">
        <is>
          <t>60 : 40</t>
        </is>
      </c>
      <c r="Y576" t="inlineStr"/>
      <c r="Z576" t="n">
        <v>401</v>
      </c>
      <c r="AA576" t="n">
        <v>47.2</v>
      </c>
      <c r="AB576" t="inlineStr">
        <is>
          <t>U0575</t>
        </is>
      </c>
      <c r="AC576" t="inlineStr">
        <is>
          <t>FR</t>
        </is>
      </c>
      <c r="AD576" t="n">
        <v>47.2</v>
      </c>
      <c r="AE576" t="n">
        <v>60.2</v>
      </c>
      <c r="AF576" t="n">
        <v>10.8</v>
      </c>
      <c r="AG576" t="inlineStr">
        <is>
          <t>1:10.8</t>
        </is>
      </c>
      <c r="AH576" t="inlineStr">
        <is>
          <t>13%</t>
        </is>
      </c>
      <c r="AI576" t="inlineStr"/>
      <c r="AJ576" t="n">
        <v>43.3</v>
      </c>
    </row>
    <row r="577">
      <c r="A577" t="inlineStr">
        <is>
          <t>Institut National des Sciences Appliquées de Lyon (INSA)</t>
        </is>
      </c>
      <c r="B577" t="inlineStr">
        <is>
          <t>France</t>
        </is>
      </c>
      <c r="C577" t="inlineStr">
        <is>
          <t>405</t>
        </is>
      </c>
      <c r="D577" t="n">
        <v>29.3</v>
      </c>
      <c r="E577" t="n">
        <v>7.4</v>
      </c>
      <c r="F577" t="n">
        <v>28.7</v>
      </c>
      <c r="G577" t="n">
        <v>33.7</v>
      </c>
      <c r="H577" t="n">
        <v>60.6</v>
      </c>
      <c r="I577" t="n">
        <v>29.2</v>
      </c>
      <c r="J577" t="n">
        <v>58.3</v>
      </c>
      <c r="K577" t="n">
        <v>59.5</v>
      </c>
      <c r="L577" t="n">
        <v>14.4</v>
      </c>
      <c r="M577" t="n">
        <v>2.4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405</v>
      </c>
      <c r="Z577" t="inlineStr"/>
      <c r="AA577" t="inlineStr"/>
      <c r="AB577" t="inlineStr">
        <is>
          <t>U0576</t>
        </is>
      </c>
      <c r="AC577" t="inlineStr">
        <is>
          <t>FR</t>
        </is>
      </c>
      <c r="AD577" t="n">
        <v>29.3</v>
      </c>
      <c r="AE577" t="n">
        <v>60.6</v>
      </c>
      <c r="AF577" t="inlineStr"/>
      <c r="AG577" t="inlineStr"/>
      <c r="AH577" t="inlineStr"/>
      <c r="AI577" t="n">
        <v>7.4</v>
      </c>
      <c r="AJ577" t="n">
        <v>31.75</v>
      </c>
    </row>
    <row r="578">
      <c r="A578" t="inlineStr">
        <is>
          <t>Institut Polytechnique de Paris</t>
        </is>
      </c>
      <c r="B578" t="inlineStr">
        <is>
          <t>France</t>
        </is>
      </c>
      <c r="C578" t="inlineStr">
        <is>
          <t>46</t>
        </is>
      </c>
      <c r="D578" t="n">
        <v>77.5</v>
      </c>
      <c r="E578" t="n">
        <v>44.7</v>
      </c>
      <c r="F578" t="n">
        <v>99.59999999999999</v>
      </c>
      <c r="G578" t="n">
        <v>95.90000000000001</v>
      </c>
      <c r="H578" t="n">
        <v>86.09999999999999</v>
      </c>
      <c r="I578" t="n">
        <v>99.09999999999999</v>
      </c>
      <c r="J578" t="n">
        <v>98</v>
      </c>
      <c r="K578" t="n">
        <v>89.59999999999999</v>
      </c>
      <c r="L578" t="n">
        <v>97.7</v>
      </c>
      <c r="M578" t="n">
        <v>54.8</v>
      </c>
      <c r="N578" t="inlineStr">
        <is>
          <t>71</t>
        </is>
      </c>
      <c r="O578" t="inlineStr">
        <is>
          <t>71.3</t>
        </is>
      </c>
      <c r="P578" t="n">
        <v>71</v>
      </c>
      <c r="Q578" t="n">
        <v>61.6</v>
      </c>
      <c r="R578" t="n">
        <v>70.8</v>
      </c>
      <c r="S578" t="n">
        <v>98.8</v>
      </c>
      <c r="T578" t="n">
        <v>97.09999999999999</v>
      </c>
      <c r="U578" t="inlineStr">
        <is>
          <t>6,073</t>
        </is>
      </c>
      <c r="V578" t="n">
        <v>6.8</v>
      </c>
      <c r="W578" t="inlineStr">
        <is>
          <t>42%</t>
        </is>
      </c>
      <c r="X578" t="inlineStr">
        <is>
          <t>25 : 75</t>
        </is>
      </c>
      <c r="Y578" t="n">
        <v>46</v>
      </c>
      <c r="Z578" t="n">
        <v>71</v>
      </c>
      <c r="AA578" t="n">
        <v>71.3</v>
      </c>
      <c r="AB578" t="inlineStr">
        <is>
          <t>U0577</t>
        </is>
      </c>
      <c r="AC578" t="inlineStr">
        <is>
          <t>FR</t>
        </is>
      </c>
      <c r="AD578" t="n">
        <v>77.5</v>
      </c>
      <c r="AE578" t="n">
        <v>86.09999999999999</v>
      </c>
      <c r="AF578" t="n">
        <v>6.8</v>
      </c>
      <c r="AG578" t="inlineStr">
        <is>
          <t>1:6.8</t>
        </is>
      </c>
      <c r="AH578" t="inlineStr">
        <is>
          <t>42%</t>
        </is>
      </c>
      <c r="AI578" t="n">
        <v>44.7</v>
      </c>
      <c r="AJ578" t="n">
        <v>75.25</v>
      </c>
    </row>
    <row r="579">
      <c r="A579" t="inlineStr">
        <is>
          <t>Institut Teknologi Sepuluh Nopember (ITS Surabaya)</t>
        </is>
      </c>
      <c r="B579" t="inlineStr">
        <is>
          <t>Indonesia</t>
        </is>
      </c>
      <c r="C579" t="inlineStr">
        <is>
          <t>585</t>
        </is>
      </c>
      <c r="D579" t="n">
        <v>21.2</v>
      </c>
      <c r="E579" t="n">
        <v>17.3</v>
      </c>
      <c r="F579" t="n">
        <v>48.9</v>
      </c>
      <c r="G579" t="n">
        <v>47.8</v>
      </c>
      <c r="H579" t="n">
        <v>1.6</v>
      </c>
      <c r="I579" t="n">
        <v>47.5</v>
      </c>
      <c r="J579" t="n">
        <v>5.3</v>
      </c>
      <c r="K579" t="n">
        <v>12</v>
      </c>
      <c r="L579" t="n">
        <v>13</v>
      </c>
      <c r="M579" t="n">
        <v>16.1</v>
      </c>
      <c r="N579" t="inlineStr">
        <is>
          <t>1201–1500</t>
        </is>
      </c>
      <c r="O579" t="inlineStr">
        <is>
          <t>22.8–28.2</t>
        </is>
      </c>
      <c r="P579" t="n">
        <v>25.3</v>
      </c>
      <c r="Q579" t="n">
        <v>10.8</v>
      </c>
      <c r="R579" t="n">
        <v>25.4</v>
      </c>
      <c r="S579" t="n">
        <v>35.4</v>
      </c>
      <c r="T579" t="n">
        <v>42.5</v>
      </c>
      <c r="U579" t="inlineStr">
        <is>
          <t>20,658</t>
        </is>
      </c>
      <c r="V579" t="n">
        <v>7.1</v>
      </c>
      <c r="W579" t="inlineStr">
        <is>
          <t>6%</t>
        </is>
      </c>
      <c r="X579" t="inlineStr">
        <is>
          <t>40 : 60</t>
        </is>
      </c>
      <c r="Y579" t="n">
        <v>585</v>
      </c>
      <c r="Z579" t="n">
        <v>1201</v>
      </c>
      <c r="AA579" t="n">
        <v>25.5</v>
      </c>
      <c r="AB579" t="inlineStr">
        <is>
          <t>U0578</t>
        </is>
      </c>
      <c r="AC579" t="inlineStr">
        <is>
          <t>IN</t>
        </is>
      </c>
      <c r="AD579" t="n">
        <v>21.2</v>
      </c>
      <c r="AE579" t="n">
        <v>1.6</v>
      </c>
      <c r="AF579" t="n">
        <v>7.1</v>
      </c>
      <c r="AG579" t="inlineStr">
        <is>
          <t>1:7.1</t>
        </is>
      </c>
      <c r="AH579" t="inlineStr">
        <is>
          <t>6%</t>
        </is>
      </c>
      <c r="AI579" t="n">
        <v>17.3</v>
      </c>
      <c r="AJ579" t="n">
        <v>9.82</v>
      </c>
    </row>
    <row r="580">
      <c r="A580" t="inlineStr">
        <is>
          <t>Institute of Chemical Technology</t>
        </is>
      </c>
      <c r="B580" t="inlineStr">
        <is>
          <t>India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>
        <is>
          <t>801–1000</t>
        </is>
      </c>
      <c r="O580" t="inlineStr">
        <is>
          <t>32.7–36.9</t>
        </is>
      </c>
      <c r="P580" t="n">
        <v>37.5</v>
      </c>
      <c r="Q580" t="n">
        <v>20.7</v>
      </c>
      <c r="R580" t="n">
        <v>51</v>
      </c>
      <c r="S580" t="n">
        <v>57.9</v>
      </c>
      <c r="T580" t="n">
        <v>17.4</v>
      </c>
      <c r="U580" t="inlineStr">
        <is>
          <t>2,550</t>
        </is>
      </c>
      <c r="V580" t="n">
        <v>17.2</v>
      </c>
      <c r="W580" t="inlineStr">
        <is>
          <t>0%</t>
        </is>
      </c>
      <c r="X580" t="inlineStr">
        <is>
          <t>30 : 70</t>
        </is>
      </c>
      <c r="Y580" t="inlineStr"/>
      <c r="Z580" t="n">
        <v>801</v>
      </c>
      <c r="AA580" t="n">
        <v>34.8</v>
      </c>
      <c r="AB580" t="inlineStr">
        <is>
          <t>U0579</t>
        </is>
      </c>
      <c r="AC580" t="inlineStr">
        <is>
          <t>IN</t>
        </is>
      </c>
      <c r="AD580" t="n">
        <v>34.8</v>
      </c>
      <c r="AE580" t="n">
        <v>51</v>
      </c>
      <c r="AF580" t="n">
        <v>17.2</v>
      </c>
      <c r="AG580" t="inlineStr">
        <is>
          <t>1:17.2</t>
        </is>
      </c>
      <c r="AH580" t="inlineStr">
        <is>
          <t>0%</t>
        </is>
      </c>
      <c r="AI580" t="inlineStr"/>
      <c r="AJ580" t="n">
        <v>23.9</v>
      </c>
    </row>
    <row r="581">
      <c r="A581" t="inlineStr">
        <is>
          <t>Institute of Space Technology</t>
        </is>
      </c>
      <c r="B581" t="inlineStr">
        <is>
          <t>Pakistan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>
        <is>
          <t>801–1000</t>
        </is>
      </c>
      <c r="O581" t="inlineStr">
        <is>
          <t>32.7–36.9</t>
        </is>
      </c>
      <c r="P581" t="n">
        <v>18.6</v>
      </c>
      <c r="Q581" t="n">
        <v>13.3</v>
      </c>
      <c r="R581" t="n">
        <v>70.5</v>
      </c>
      <c r="S581" t="n">
        <v>16.5</v>
      </c>
      <c r="T581" t="n">
        <v>47.1</v>
      </c>
      <c r="U581" t="inlineStr">
        <is>
          <t>1,869</t>
        </is>
      </c>
      <c r="V581" t="n">
        <v>13.4</v>
      </c>
      <c r="W581" t="inlineStr">
        <is>
          <t>0%</t>
        </is>
      </c>
      <c r="X581" t="inlineStr">
        <is>
          <t>25 : 75</t>
        </is>
      </c>
      <c r="Y581" t="inlineStr"/>
      <c r="Z581" t="n">
        <v>801</v>
      </c>
      <c r="AA581" t="n">
        <v>34.8</v>
      </c>
      <c r="AB581" t="inlineStr">
        <is>
          <t>U0580</t>
        </is>
      </c>
      <c r="AC581" t="inlineStr">
        <is>
          <t>PA</t>
        </is>
      </c>
      <c r="AD581" t="n">
        <v>34.8</v>
      </c>
      <c r="AE581" t="n">
        <v>70.5</v>
      </c>
      <c r="AF581" t="n">
        <v>13.4</v>
      </c>
      <c r="AG581" t="inlineStr">
        <is>
          <t>1:13.4</t>
        </is>
      </c>
      <c r="AH581" t="inlineStr">
        <is>
          <t>0%</t>
        </is>
      </c>
      <c r="AI581" t="inlineStr"/>
      <c r="AJ581" t="n">
        <v>33.12</v>
      </c>
    </row>
    <row r="582">
      <c r="A582" t="inlineStr">
        <is>
          <t>Instituto Politécnico de Bragança</t>
        </is>
      </c>
      <c r="B582" t="inlineStr">
        <is>
          <t>Portugal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>
        <is>
          <t>1201–1500</t>
        </is>
      </c>
      <c r="O582" t="inlineStr">
        <is>
          <t>22.8–28.2</t>
        </is>
      </c>
      <c r="P582" t="n">
        <v>13.1</v>
      </c>
      <c r="Q582" t="n">
        <v>13.5</v>
      </c>
      <c r="R582" t="n">
        <v>42.6</v>
      </c>
      <c r="S582" t="n">
        <v>21.2</v>
      </c>
      <c r="T582" t="n">
        <v>64.5</v>
      </c>
      <c r="U582" t="inlineStr">
        <is>
          <t>9,626</t>
        </is>
      </c>
      <c r="V582" t="n">
        <v>20.6</v>
      </c>
      <c r="W582" t="inlineStr">
        <is>
          <t>34%</t>
        </is>
      </c>
      <c r="X582" t="inlineStr">
        <is>
          <t>53 : 47</t>
        </is>
      </c>
      <c r="Y582" t="inlineStr"/>
      <c r="Z582" t="n">
        <v>1201</v>
      </c>
      <c r="AA582" t="n">
        <v>25.5</v>
      </c>
      <c r="AB582" t="inlineStr">
        <is>
          <t>U0581</t>
        </is>
      </c>
      <c r="AC582" t="inlineStr">
        <is>
          <t>PO</t>
        </is>
      </c>
      <c r="AD582" t="n">
        <v>25.5</v>
      </c>
      <c r="AE582" t="n">
        <v>42.6</v>
      </c>
      <c r="AF582" t="n">
        <v>20.6</v>
      </c>
      <c r="AG582" t="inlineStr">
        <is>
          <t>1:20.6</t>
        </is>
      </c>
      <c r="AH582" t="inlineStr">
        <is>
          <t>34%</t>
        </is>
      </c>
      <c r="AI582" t="inlineStr"/>
      <c r="AJ582" t="n">
        <v>28.98</v>
      </c>
    </row>
    <row r="583">
      <c r="A583" t="inlineStr">
        <is>
          <t>Instituto Politécnico de Viana do Castelo</t>
        </is>
      </c>
      <c r="B583" t="inlineStr">
        <is>
          <t>Portugal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>
        <is>
          <t>1501+</t>
        </is>
      </c>
      <c r="O583" t="inlineStr">
        <is>
          <t>9.7–22.7</t>
        </is>
      </c>
      <c r="P583" t="n">
        <v>13</v>
      </c>
      <c r="Q583" t="n">
        <v>9.6</v>
      </c>
      <c r="R583" t="n">
        <v>35.4</v>
      </c>
      <c r="S583" t="n">
        <v>18.7</v>
      </c>
      <c r="T583" t="n">
        <v>44.1</v>
      </c>
      <c r="U583" t="inlineStr">
        <is>
          <t>5,364</t>
        </is>
      </c>
      <c r="V583" t="n">
        <v>19.8</v>
      </c>
      <c r="W583" t="inlineStr">
        <is>
          <t>10%</t>
        </is>
      </c>
      <c r="X583" t="inlineStr">
        <is>
          <t>49 : 51</t>
        </is>
      </c>
      <c r="Y583" t="inlineStr"/>
      <c r="Z583" t="n">
        <v>1501</v>
      </c>
      <c r="AA583" t="n">
        <v>16.2</v>
      </c>
      <c r="AB583" t="inlineStr">
        <is>
          <t>U0582</t>
        </is>
      </c>
      <c r="AC583" t="inlineStr">
        <is>
          <t>PO</t>
        </is>
      </c>
      <c r="AD583" t="n">
        <v>16.2</v>
      </c>
      <c r="AE583" t="n">
        <v>35.4</v>
      </c>
      <c r="AF583" t="n">
        <v>19.8</v>
      </c>
      <c r="AG583" t="inlineStr">
        <is>
          <t>1:19.8</t>
        </is>
      </c>
      <c r="AH583" t="inlineStr">
        <is>
          <t>10%</t>
        </is>
      </c>
      <c r="AI583" t="inlineStr"/>
      <c r="AJ583" t="n">
        <v>19.82</v>
      </c>
    </row>
    <row r="584">
      <c r="A584" t="inlineStr">
        <is>
          <t>Instituto Politécnico Nacional (IPN)</t>
        </is>
      </c>
      <c r="B584" t="inlineStr">
        <is>
          <t>Mexico</t>
        </is>
      </c>
      <c r="C584" t="inlineStr">
        <is>
          <t>801-850</t>
        </is>
      </c>
      <c r="D584" t="inlineStr"/>
      <c r="E584" t="n">
        <v>19.1</v>
      </c>
      <c r="F584" t="n">
        <v>28.8</v>
      </c>
      <c r="G584" t="n">
        <v>9.1</v>
      </c>
      <c r="H584" t="n">
        <v>2</v>
      </c>
      <c r="I584" t="n">
        <v>2.2</v>
      </c>
      <c r="J584" t="n">
        <v>1.1</v>
      </c>
      <c r="K584" t="n">
        <v>46</v>
      </c>
      <c r="L584" t="n">
        <v>6.8</v>
      </c>
      <c r="M584" t="n">
        <v>35.7</v>
      </c>
      <c r="N584" t="inlineStr">
        <is>
          <t>1501+</t>
        </is>
      </c>
      <c r="O584" t="inlineStr">
        <is>
          <t>9.7–22.7</t>
        </is>
      </c>
      <c r="P584" t="n">
        <v>20.7</v>
      </c>
      <c r="Q584" t="n">
        <v>9.9</v>
      </c>
      <c r="R584" t="n">
        <v>14.5</v>
      </c>
      <c r="S584" t="n">
        <v>26.7</v>
      </c>
      <c r="T584" t="n">
        <v>25.5</v>
      </c>
      <c r="U584" t="inlineStr">
        <is>
          <t>141,583</t>
        </is>
      </c>
      <c r="V584" t="n">
        <v>13</v>
      </c>
      <c r="W584" t="inlineStr">
        <is>
          <t>0%</t>
        </is>
      </c>
      <c r="X584" t="inlineStr">
        <is>
          <t>42 : 58</t>
        </is>
      </c>
      <c r="Y584" t="n">
        <v>801</v>
      </c>
      <c r="Z584" t="n">
        <v>1501</v>
      </c>
      <c r="AA584" t="n">
        <v>16.2</v>
      </c>
      <c r="AB584" t="inlineStr">
        <is>
          <t>U0583</t>
        </is>
      </c>
      <c r="AC584" t="inlineStr">
        <is>
          <t>ME</t>
        </is>
      </c>
      <c r="AD584" t="n">
        <v>16.2</v>
      </c>
      <c r="AE584" t="n">
        <v>2</v>
      </c>
      <c r="AF584" t="n">
        <v>13</v>
      </c>
      <c r="AG584" t="inlineStr">
        <is>
          <t>1:13.0</t>
        </is>
      </c>
      <c r="AH584" t="inlineStr">
        <is>
          <t>0%</t>
        </is>
      </c>
      <c r="AI584" t="n">
        <v>19.1</v>
      </c>
      <c r="AJ584" t="n">
        <v>5.35</v>
      </c>
    </row>
    <row r="585">
      <c r="A585" t="inlineStr">
        <is>
          <t>Instituto Tecnológico Autónomo de México (ITAM)</t>
        </is>
      </c>
      <c r="B585" t="inlineStr">
        <is>
          <t>Mexico</t>
        </is>
      </c>
      <c r="C585" t="inlineStr">
        <is>
          <t>751-760</t>
        </is>
      </c>
      <c r="D585" t="inlineStr"/>
      <c r="E585" t="n">
        <v>15.2</v>
      </c>
      <c r="F585" t="n">
        <v>31</v>
      </c>
      <c r="G585" t="n">
        <v>13.9</v>
      </c>
      <c r="H585" t="n">
        <v>1.6</v>
      </c>
      <c r="I585" t="n">
        <v>51</v>
      </c>
      <c r="J585" t="n">
        <v>1.4</v>
      </c>
      <c r="K585" t="n">
        <v>7.7</v>
      </c>
      <c r="L585" t="n">
        <v>77.09999999999999</v>
      </c>
      <c r="M585" t="n">
        <v>1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n">
        <v>751</v>
      </c>
      <c r="Z585" t="inlineStr"/>
      <c r="AA585" t="inlineStr"/>
      <c r="AB585" t="inlineStr">
        <is>
          <t>U0584</t>
        </is>
      </c>
      <c r="AC585" t="inlineStr">
        <is>
          <t>ME</t>
        </is>
      </c>
      <c r="AD585" t="inlineStr"/>
      <c r="AE585" t="n">
        <v>1.6</v>
      </c>
      <c r="AF585" t="inlineStr"/>
      <c r="AG585" t="inlineStr"/>
      <c r="AH585" t="inlineStr"/>
      <c r="AI585" t="n">
        <v>15.2</v>
      </c>
      <c r="AJ585" t="n">
        <v>13.87</v>
      </c>
    </row>
    <row r="586">
      <c r="A586" t="inlineStr">
        <is>
          <t>Instituto Tecnológico de Buenos Aires (ITBA)</t>
        </is>
      </c>
      <c r="B586" t="inlineStr">
        <is>
          <t>Argentina</t>
        </is>
      </c>
      <c r="C586" t="inlineStr">
        <is>
          <t>951-1000</t>
        </is>
      </c>
      <c r="D586" t="inlineStr"/>
      <c r="E586" t="n">
        <v>8.800000000000001</v>
      </c>
      <c r="F586" t="n">
        <v>24.6</v>
      </c>
      <c r="G586" t="n">
        <v>39</v>
      </c>
      <c r="H586" t="n">
        <v>1.3</v>
      </c>
      <c r="I586" t="n">
        <v>17.3</v>
      </c>
      <c r="J586" t="n">
        <v>12.3</v>
      </c>
      <c r="K586" t="n">
        <v>2.7</v>
      </c>
      <c r="L586" t="n">
        <v>22.3</v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n">
        <v>951</v>
      </c>
      <c r="Z586" t="inlineStr"/>
      <c r="AA586" t="inlineStr"/>
      <c r="AB586" t="inlineStr">
        <is>
          <t>U0585</t>
        </is>
      </c>
      <c r="AC586" t="inlineStr">
        <is>
          <t>AR</t>
        </is>
      </c>
      <c r="AD586" t="inlineStr"/>
      <c r="AE586" t="n">
        <v>1.3</v>
      </c>
      <c r="AF586" t="inlineStr"/>
      <c r="AG586" t="inlineStr"/>
      <c r="AH586" t="inlineStr"/>
      <c r="AI586" t="n">
        <v>8.800000000000001</v>
      </c>
      <c r="AJ586" t="n">
        <v>13.78</v>
      </c>
    </row>
    <row r="587">
      <c r="A587" t="inlineStr">
        <is>
          <t>Instituto Tecnológico de Santo Domingo (INTEC)</t>
        </is>
      </c>
      <c r="B587" t="inlineStr">
        <is>
          <t>Dominican Republic</t>
        </is>
      </c>
      <c r="C587" t="inlineStr">
        <is>
          <t>1201-1400</t>
        </is>
      </c>
      <c r="D587" t="inlineStr"/>
      <c r="E587" t="n">
        <v>1.6</v>
      </c>
      <c r="F587" t="n">
        <v>4</v>
      </c>
      <c r="G587" t="n">
        <v>35.4</v>
      </c>
      <c r="H587" t="n">
        <v>1.4</v>
      </c>
      <c r="I587" t="n">
        <v>10</v>
      </c>
      <c r="J587" t="n">
        <v>4.1</v>
      </c>
      <c r="K587" t="n">
        <v>5.6</v>
      </c>
      <c r="L587" t="n">
        <v>38.5</v>
      </c>
      <c r="M587" t="n">
        <v>1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1201</v>
      </c>
      <c r="Z587" t="inlineStr"/>
      <c r="AA587" t="inlineStr"/>
      <c r="AB587" t="inlineStr">
        <is>
          <t>U0586</t>
        </is>
      </c>
      <c r="AC587" t="inlineStr">
        <is>
          <t>DO</t>
        </is>
      </c>
      <c r="AD587" t="inlineStr"/>
      <c r="AE587" t="n">
        <v>1.4</v>
      </c>
      <c r="AF587" t="inlineStr"/>
      <c r="AG587" t="inlineStr"/>
      <c r="AH587" t="inlineStr"/>
      <c r="AI587" t="n">
        <v>1.6</v>
      </c>
      <c r="AJ587" t="n">
        <v>13.81</v>
      </c>
    </row>
    <row r="588">
      <c r="A588" t="inlineStr">
        <is>
          <t>International Christian University</t>
        </is>
      </c>
      <c r="B588" t="inlineStr">
        <is>
          <t>Japan</t>
        </is>
      </c>
      <c r="C588" t="inlineStr">
        <is>
          <t>1001-1200</t>
        </is>
      </c>
      <c r="D588" t="inlineStr"/>
      <c r="E588" t="n">
        <v>5.2</v>
      </c>
      <c r="F588" t="n">
        <v>11.5</v>
      </c>
      <c r="G588" t="n">
        <v>19.4</v>
      </c>
      <c r="H588" t="n">
        <v>1.5</v>
      </c>
      <c r="I588" t="n">
        <v>76.3</v>
      </c>
      <c r="J588" t="n">
        <v>4.5</v>
      </c>
      <c r="K588" t="n">
        <v>10.1</v>
      </c>
      <c r="L588" t="n">
        <v>12</v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n">
        <v>1001</v>
      </c>
      <c r="Z588" t="inlineStr"/>
      <c r="AA588" t="inlineStr"/>
      <c r="AB588" t="inlineStr">
        <is>
          <t>U0587</t>
        </is>
      </c>
      <c r="AC588" t="inlineStr">
        <is>
          <t>JA</t>
        </is>
      </c>
      <c r="AD588" t="inlineStr"/>
      <c r="AE588" t="n">
        <v>1.5</v>
      </c>
      <c r="AF588" t="inlineStr"/>
      <c r="AG588" t="inlineStr"/>
      <c r="AH588" t="inlineStr"/>
      <c r="AI588" t="n">
        <v>5.2</v>
      </c>
      <c r="AJ588" t="n">
        <v>13.84</v>
      </c>
    </row>
    <row r="589">
      <c r="A589" t="inlineStr">
        <is>
          <t>International Hellenic University</t>
        </is>
      </c>
      <c r="B589" t="inlineStr">
        <is>
          <t>Greece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1501+</t>
        </is>
      </c>
      <c r="O589" t="inlineStr">
        <is>
          <t>9.7–22.7</t>
        </is>
      </c>
      <c r="P589" t="n">
        <v>9.6</v>
      </c>
      <c r="Q589" t="n">
        <v>9.4</v>
      </c>
      <c r="R589" t="n">
        <v>36.5</v>
      </c>
      <c r="S589" t="n">
        <v>20.1</v>
      </c>
      <c r="T589" t="n">
        <v>30.7</v>
      </c>
      <c r="U589" t="inlineStr">
        <is>
          <t>59,370</t>
        </is>
      </c>
      <c r="V589" t="n">
        <v>38</v>
      </c>
      <c r="W589" t="inlineStr">
        <is>
          <t>2%</t>
        </is>
      </c>
      <c r="X589" t="inlineStr">
        <is>
          <t>44 : 56</t>
        </is>
      </c>
      <c r="Y589" t="inlineStr"/>
      <c r="Z589" t="n">
        <v>1501</v>
      </c>
      <c r="AA589" t="n">
        <v>16.2</v>
      </c>
      <c r="AB589" t="inlineStr">
        <is>
          <t>U0588</t>
        </is>
      </c>
      <c r="AC589" t="inlineStr">
        <is>
          <t>GR</t>
        </is>
      </c>
      <c r="AD589" t="n">
        <v>16.2</v>
      </c>
      <c r="AE589" t="n">
        <v>36.5</v>
      </c>
      <c r="AF589" t="n">
        <v>38</v>
      </c>
      <c r="AG589" t="inlineStr">
        <is>
          <t>1:38.0</t>
        </is>
      </c>
      <c r="AH589" t="inlineStr">
        <is>
          <t>2%</t>
        </is>
      </c>
      <c r="AI589" t="inlineStr"/>
      <c r="AJ589" t="n">
        <v>16.8</v>
      </c>
    </row>
    <row r="590">
      <c r="A590" t="inlineStr">
        <is>
          <t>International Institute of Information Technology, Hyderabad</t>
        </is>
      </c>
      <c r="B590" t="inlineStr">
        <is>
          <t>India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601–800</t>
        </is>
      </c>
      <c r="O590" t="inlineStr">
        <is>
          <t>37.0–41.8</t>
        </is>
      </c>
      <c r="P590" t="n">
        <v>26</v>
      </c>
      <c r="Q590" t="n">
        <v>21.4</v>
      </c>
      <c r="R590" t="n">
        <v>71.7</v>
      </c>
      <c r="S590" t="n">
        <v>49.6</v>
      </c>
      <c r="T590" t="n">
        <v>39.5</v>
      </c>
      <c r="U590" t="inlineStr">
        <is>
          <t>1,905</t>
        </is>
      </c>
      <c r="V590" t="n">
        <v>18.3</v>
      </c>
      <c r="W590" t="inlineStr">
        <is>
          <t>7%</t>
        </is>
      </c>
      <c r="X590" t="inlineStr">
        <is>
          <t>21 : 79</t>
        </is>
      </c>
      <c r="Y590" t="inlineStr"/>
      <c r="Z590" t="n">
        <v>601</v>
      </c>
      <c r="AA590" t="n">
        <v>39.4</v>
      </c>
      <c r="AB590" t="inlineStr">
        <is>
          <t>U0589</t>
        </is>
      </c>
      <c r="AC590" t="inlineStr">
        <is>
          <t>IN</t>
        </is>
      </c>
      <c r="AD590" t="n">
        <v>39.4</v>
      </c>
      <c r="AE590" t="n">
        <v>71.7</v>
      </c>
      <c r="AF590" t="n">
        <v>18.3</v>
      </c>
      <c r="AG590" t="inlineStr">
        <is>
          <t>1:18.3</t>
        </is>
      </c>
      <c r="AH590" t="inlineStr">
        <is>
          <t>7%</t>
        </is>
      </c>
      <c r="AI590" t="inlineStr"/>
      <c r="AJ590" t="n">
        <v>35.89</v>
      </c>
    </row>
    <row r="591">
      <c r="A591" t="inlineStr">
        <is>
          <t>International Islamic University Islamabad (IIU)</t>
        </is>
      </c>
      <c r="B591" t="inlineStr">
        <is>
          <t>Pakistan</t>
        </is>
      </c>
      <c r="C591" t="inlineStr">
        <is>
          <t>1001-1200</t>
        </is>
      </c>
      <c r="D591" t="inlineStr"/>
      <c r="E591" t="n">
        <v>7</v>
      </c>
      <c r="F591" t="n">
        <v>10.7</v>
      </c>
      <c r="G591" t="n">
        <v>3.5</v>
      </c>
      <c r="H591" t="n">
        <v>8</v>
      </c>
      <c r="I591" t="n">
        <v>4.2</v>
      </c>
      <c r="J591" t="n">
        <v>6.1</v>
      </c>
      <c r="K591" t="n">
        <v>50.3</v>
      </c>
      <c r="L591" t="n">
        <v>4.3</v>
      </c>
      <c r="M591" t="n">
        <v>1.1</v>
      </c>
      <c r="N591" t="inlineStr">
        <is>
          <t>801–1000</t>
        </is>
      </c>
      <c r="O591" t="inlineStr">
        <is>
          <t>32.7–36.9</t>
        </is>
      </c>
      <c r="P591" t="n">
        <v>17.3</v>
      </c>
      <c r="Q591" t="n">
        <v>11.2</v>
      </c>
      <c r="R591" t="n">
        <v>72.7</v>
      </c>
      <c r="S591" t="n">
        <v>17.6</v>
      </c>
      <c r="T591" t="n">
        <v>60</v>
      </c>
      <c r="U591" t="inlineStr">
        <is>
          <t>23,650</t>
        </is>
      </c>
      <c r="V591" t="n">
        <v>21.8</v>
      </c>
      <c r="W591" t="inlineStr">
        <is>
          <t>7%</t>
        </is>
      </c>
      <c r="X591" t="inlineStr">
        <is>
          <t>54 : 46</t>
        </is>
      </c>
      <c r="Y591" t="n">
        <v>1001</v>
      </c>
      <c r="Z591" t="n">
        <v>801</v>
      </c>
      <c r="AA591" t="n">
        <v>34.8</v>
      </c>
      <c r="AB591" t="inlineStr">
        <is>
          <t>U0590</t>
        </is>
      </c>
      <c r="AC591" t="inlineStr">
        <is>
          <t>PA</t>
        </is>
      </c>
      <c r="AD591" t="n">
        <v>34.8</v>
      </c>
      <c r="AE591" t="n">
        <v>8</v>
      </c>
      <c r="AF591" t="n">
        <v>21.8</v>
      </c>
      <c r="AG591" t="inlineStr">
        <is>
          <t>1:21.8</t>
        </is>
      </c>
      <c r="AH591" t="inlineStr">
        <is>
          <t>7%</t>
        </is>
      </c>
      <c r="AI591" t="n">
        <v>7</v>
      </c>
      <c r="AJ591" t="n">
        <v>16.2</v>
      </c>
    </row>
    <row r="592">
      <c r="A592" t="inlineStr">
        <is>
          <t>International Islamic University Malaysia (IIUM)</t>
        </is>
      </c>
      <c r="B592" t="inlineStr">
        <is>
          <t>Malaysia</t>
        </is>
      </c>
      <c r="C592" t="inlineStr">
        <is>
          <t>661-670</t>
        </is>
      </c>
      <c r="D592" t="inlineStr"/>
      <c r="E592" t="n">
        <v>24.4</v>
      </c>
      <c r="F592" t="n">
        <v>17</v>
      </c>
      <c r="G592" t="n">
        <v>13.4</v>
      </c>
      <c r="H592" t="n">
        <v>3.1</v>
      </c>
      <c r="I592" t="n">
        <v>22.8</v>
      </c>
      <c r="J592" t="n">
        <v>57.1</v>
      </c>
      <c r="K592" t="n">
        <v>62.5</v>
      </c>
      <c r="L592" t="n">
        <v>23</v>
      </c>
      <c r="M592" t="n">
        <v>1.2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n">
        <v>661</v>
      </c>
      <c r="Z592" t="inlineStr"/>
      <c r="AA592" t="inlineStr"/>
      <c r="AB592" t="inlineStr">
        <is>
          <t>U0591</t>
        </is>
      </c>
      <c r="AC592" t="inlineStr">
        <is>
          <t>MA</t>
        </is>
      </c>
      <c r="AD592" t="inlineStr"/>
      <c r="AE592" t="n">
        <v>3.1</v>
      </c>
      <c r="AF592" t="inlineStr"/>
      <c r="AG592" t="inlineStr"/>
      <c r="AH592" t="inlineStr"/>
      <c r="AI592" t="n">
        <v>24.4</v>
      </c>
      <c r="AJ592" t="n">
        <v>14.33</v>
      </c>
    </row>
    <row r="593">
      <c r="A593" t="inlineStr">
        <is>
          <t>International University of Business, Agriculture and Technology (IUBAT)</t>
        </is>
      </c>
      <c r="B593" t="inlineStr">
        <is>
          <t>Bangladesh</t>
        </is>
      </c>
      <c r="C593" t="inlineStr">
        <is>
          <t>1401+</t>
        </is>
      </c>
      <c r="D593" t="inlineStr"/>
      <c r="E593" t="n">
        <v>6.6</v>
      </c>
      <c r="F593" t="n">
        <v>4.1</v>
      </c>
      <c r="G593" t="n">
        <v>2.6</v>
      </c>
      <c r="H593" t="n">
        <v>2.3</v>
      </c>
      <c r="I593" t="n">
        <v>1.4</v>
      </c>
      <c r="J593" t="n">
        <v>1.3</v>
      </c>
      <c r="K593" t="n">
        <v>8.6</v>
      </c>
      <c r="L593" t="n">
        <v>3.8</v>
      </c>
      <c r="M593" t="n">
        <v>1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1401</v>
      </c>
      <c r="Z593" t="inlineStr"/>
      <c r="AA593" t="inlineStr"/>
      <c r="AB593" t="inlineStr">
        <is>
          <t>U0592</t>
        </is>
      </c>
      <c r="AC593" t="inlineStr">
        <is>
          <t>BA</t>
        </is>
      </c>
      <c r="AD593" t="inlineStr"/>
      <c r="AE593" t="n">
        <v>2.3</v>
      </c>
      <c r="AF593" t="inlineStr"/>
      <c r="AG593" t="inlineStr"/>
      <c r="AH593" t="inlineStr"/>
      <c r="AI593" t="n">
        <v>6.6</v>
      </c>
      <c r="AJ593" t="n">
        <v>14.09</v>
      </c>
    </row>
    <row r="594">
      <c r="A594" t="inlineStr">
        <is>
          <t>INTI International University</t>
        </is>
      </c>
      <c r="B594" t="inlineStr">
        <is>
          <t>Malaysia</t>
        </is>
      </c>
      <c r="C594" t="inlineStr">
        <is>
          <t>516</t>
        </is>
      </c>
      <c r="D594" t="n">
        <v>23.6</v>
      </c>
      <c r="E594" t="n">
        <v>7.7</v>
      </c>
      <c r="F594" t="n">
        <v>19.9</v>
      </c>
      <c r="G594" t="n">
        <v>89.09999999999999</v>
      </c>
      <c r="H594" t="n">
        <v>1.7</v>
      </c>
      <c r="I594" t="n">
        <v>95.40000000000001</v>
      </c>
      <c r="J594" t="n">
        <v>92.90000000000001</v>
      </c>
      <c r="K594" t="n">
        <v>7</v>
      </c>
      <c r="L594" t="n">
        <v>4.4</v>
      </c>
      <c r="M594" t="n">
        <v>1.1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n">
        <v>516</v>
      </c>
      <c r="Z594" t="inlineStr"/>
      <c r="AA594" t="inlineStr"/>
      <c r="AB594" t="inlineStr">
        <is>
          <t>U0593</t>
        </is>
      </c>
      <c r="AC594" t="inlineStr">
        <is>
          <t>MA</t>
        </is>
      </c>
      <c r="AD594" t="n">
        <v>23.6</v>
      </c>
      <c r="AE594" t="n">
        <v>1.7</v>
      </c>
      <c r="AF594" t="inlineStr"/>
      <c r="AG594" t="inlineStr"/>
      <c r="AH594" t="inlineStr"/>
      <c r="AI594" t="n">
        <v>7.7</v>
      </c>
      <c r="AJ594" t="n">
        <v>13.9</v>
      </c>
    </row>
    <row r="595">
      <c r="A595" t="inlineStr">
        <is>
          <t>Iowa State University</t>
        </is>
      </c>
      <c r="B595" t="inlineStr">
        <is>
          <t>United States</t>
        </is>
      </c>
      <c r="C595" t="inlineStr">
        <is>
          <t>470</t>
        </is>
      </c>
      <c r="D595" t="n">
        <v>25.6</v>
      </c>
      <c r="E595" t="n">
        <v>20.7</v>
      </c>
      <c r="F595" t="n">
        <v>12</v>
      </c>
      <c r="G595" t="n">
        <v>9.1</v>
      </c>
      <c r="H595" t="n">
        <v>47.9</v>
      </c>
      <c r="I595" t="n">
        <v>7.5</v>
      </c>
      <c r="J595" t="n">
        <v>12.5</v>
      </c>
      <c r="K595" t="n">
        <v>77.3</v>
      </c>
      <c r="L595" t="n">
        <v>32.9</v>
      </c>
      <c r="M595" t="n">
        <v>31.3</v>
      </c>
      <c r="N595" t="inlineStr">
        <is>
          <t>351–400</t>
        </is>
      </c>
      <c r="O595" t="inlineStr">
        <is>
          <t>49.1–51.0</t>
        </is>
      </c>
      <c r="P595" t="n">
        <v>39.5</v>
      </c>
      <c r="Q595" t="n">
        <v>34.5</v>
      </c>
      <c r="R595" t="n">
        <v>69.3</v>
      </c>
      <c r="S595" t="n">
        <v>84.8</v>
      </c>
      <c r="T595" t="n">
        <v>46</v>
      </c>
      <c r="U595" t="inlineStr">
        <is>
          <t>28,591</t>
        </is>
      </c>
      <c r="V595" t="n">
        <v>17.1</v>
      </c>
      <c r="W595" t="inlineStr">
        <is>
          <t>8%</t>
        </is>
      </c>
      <c r="X595" t="inlineStr">
        <is>
          <t>46 : 54</t>
        </is>
      </c>
      <c r="Y595" t="n">
        <v>470</v>
      </c>
      <c r="Z595" t="n">
        <v>351</v>
      </c>
      <c r="AA595" t="n">
        <v>50.05</v>
      </c>
      <c r="AB595" t="inlineStr">
        <is>
          <t>U0594</t>
        </is>
      </c>
      <c r="AC595" t="inlineStr">
        <is>
          <t>UN</t>
        </is>
      </c>
      <c r="AD595" t="n">
        <v>25.6</v>
      </c>
      <c r="AE595" t="n">
        <v>47.9</v>
      </c>
      <c r="AF595" t="n">
        <v>17.1</v>
      </c>
      <c r="AG595" t="inlineStr">
        <is>
          <t>1:17.1</t>
        </is>
      </c>
      <c r="AH595" t="inlineStr">
        <is>
          <t>8%</t>
        </is>
      </c>
      <c r="AI595" t="n">
        <v>20.7</v>
      </c>
      <c r="AJ595" t="n">
        <v>37.11</v>
      </c>
    </row>
    <row r="596">
      <c r="A596" t="inlineStr">
        <is>
          <t>IPB University (a.k.a. Bogor Agricultural University)</t>
        </is>
      </c>
      <c r="B596" t="inlineStr">
        <is>
          <t>Indonesia</t>
        </is>
      </c>
      <c r="C596" t="inlineStr">
        <is>
          <t>426</t>
        </is>
      </c>
      <c r="D596" t="n">
        <v>27.9</v>
      </c>
      <c r="E596" t="n">
        <v>23.5</v>
      </c>
      <c r="F596" t="n">
        <v>46.9</v>
      </c>
      <c r="G596" t="n">
        <v>71.40000000000001</v>
      </c>
      <c r="H596" t="n">
        <v>1.8</v>
      </c>
      <c r="I596" t="n">
        <v>53.2</v>
      </c>
      <c r="J596" t="n">
        <v>3.6</v>
      </c>
      <c r="K596" t="n">
        <v>19.1</v>
      </c>
      <c r="L596" t="n">
        <v>33.9</v>
      </c>
      <c r="M596" t="n">
        <v>35.1</v>
      </c>
      <c r="N596" t="inlineStr">
        <is>
          <t>1201–1500</t>
        </is>
      </c>
      <c r="O596" t="inlineStr">
        <is>
          <t>22.8–28.2</t>
        </is>
      </c>
      <c r="P596" t="n">
        <v>30.9</v>
      </c>
      <c r="Q596" t="n">
        <v>9.800000000000001</v>
      </c>
      <c r="R596" t="n">
        <v>24.2</v>
      </c>
      <c r="S596" t="n">
        <v>39.2</v>
      </c>
      <c r="T596" t="n">
        <v>45</v>
      </c>
      <c r="U596" t="inlineStr">
        <is>
          <t>23,070</t>
        </is>
      </c>
      <c r="V596" t="n">
        <v>6.8</v>
      </c>
      <c r="W596" t="inlineStr">
        <is>
          <t>3%</t>
        </is>
      </c>
      <c r="X596" t="inlineStr">
        <is>
          <t>60 : 40</t>
        </is>
      </c>
      <c r="Y596" t="n">
        <v>426</v>
      </c>
      <c r="Z596" t="n">
        <v>1201</v>
      </c>
      <c r="AA596" t="n">
        <v>25.5</v>
      </c>
      <c r="AB596" t="inlineStr">
        <is>
          <t>U0595</t>
        </is>
      </c>
      <c r="AC596" t="inlineStr">
        <is>
          <t>IN</t>
        </is>
      </c>
      <c r="AD596" t="n">
        <v>27.9</v>
      </c>
      <c r="AE596" t="n">
        <v>1.8</v>
      </c>
      <c r="AF596" t="n">
        <v>6.8</v>
      </c>
      <c r="AG596" t="inlineStr">
        <is>
          <t>1:6.8</t>
        </is>
      </c>
      <c r="AH596" t="inlineStr">
        <is>
          <t>3%</t>
        </is>
      </c>
      <c r="AI596" t="n">
        <v>23.5</v>
      </c>
      <c r="AJ596" t="n">
        <v>9.960000000000001</v>
      </c>
    </row>
    <row r="597">
      <c r="A597" t="inlineStr">
        <is>
          <t>Iran University of Medical Sciences</t>
        </is>
      </c>
      <c r="B597" t="inlineStr">
        <is>
          <t>Iran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601–800</t>
        </is>
      </c>
      <c r="O597" t="inlineStr">
        <is>
          <t>37.0–41.8</t>
        </is>
      </c>
      <c r="P597" t="n">
        <v>48.2</v>
      </c>
      <c r="Q597" t="n">
        <v>16.4</v>
      </c>
      <c r="R597" t="n">
        <v>54.5</v>
      </c>
      <c r="S597" t="n">
        <v>39.1</v>
      </c>
      <c r="T597" t="n">
        <v>38.3</v>
      </c>
      <c r="U597" t="inlineStr">
        <is>
          <t>9,084</t>
        </is>
      </c>
      <c r="V597" t="n">
        <v>8.300000000000001</v>
      </c>
      <c r="W597" t="inlineStr">
        <is>
          <t>10%</t>
        </is>
      </c>
      <c r="X597" t="inlineStr">
        <is>
          <t>55 : 45</t>
        </is>
      </c>
      <c r="Y597" t="inlineStr"/>
      <c r="Z597" t="n">
        <v>601</v>
      </c>
      <c r="AA597" t="n">
        <v>39.4</v>
      </c>
      <c r="AB597" t="inlineStr">
        <is>
          <t>U0596</t>
        </is>
      </c>
      <c r="AC597" t="inlineStr">
        <is>
          <t>IR</t>
        </is>
      </c>
      <c r="AD597" t="n">
        <v>39.4</v>
      </c>
      <c r="AE597" t="n">
        <v>54.5</v>
      </c>
      <c r="AF597" t="n">
        <v>8.300000000000001</v>
      </c>
      <c r="AG597" t="inlineStr">
        <is>
          <t>1:8.3</t>
        </is>
      </c>
      <c r="AH597" t="inlineStr">
        <is>
          <t>10%</t>
        </is>
      </c>
      <c r="AI597" t="inlineStr"/>
      <c r="AJ597" t="n">
        <v>27.77</v>
      </c>
    </row>
    <row r="598">
      <c r="A598" t="inlineStr">
        <is>
          <t>Iran University of Science and Technology</t>
        </is>
      </c>
      <c r="B598" t="inlineStr">
        <is>
          <t>Iran</t>
        </is>
      </c>
      <c r="C598" t="inlineStr">
        <is>
          <t>436</t>
        </is>
      </c>
      <c r="D598" t="n">
        <v>27.2</v>
      </c>
      <c r="E598" t="n">
        <v>7.8</v>
      </c>
      <c r="F598" t="n">
        <v>14</v>
      </c>
      <c r="G598" t="n">
        <v>2.7</v>
      </c>
      <c r="H598" t="n">
        <v>98.7</v>
      </c>
      <c r="I598" t="n">
        <v>12</v>
      </c>
      <c r="J598" t="n">
        <v>1.5</v>
      </c>
      <c r="K598" t="n">
        <v>53.4</v>
      </c>
      <c r="L598" t="n">
        <v>5.3</v>
      </c>
      <c r="M598" t="n">
        <v>1.6</v>
      </c>
      <c r="N598" t="inlineStr">
        <is>
          <t>401–500</t>
        </is>
      </c>
      <c r="O598" t="inlineStr">
        <is>
          <t>45.4–49.0</t>
        </is>
      </c>
      <c r="P598" t="n">
        <v>33.6</v>
      </c>
      <c r="Q598" t="n">
        <v>37.4</v>
      </c>
      <c r="R598" t="n">
        <v>75.2</v>
      </c>
      <c r="S598" t="n">
        <v>73.90000000000001</v>
      </c>
      <c r="T598" t="n">
        <v>24.3</v>
      </c>
      <c r="U598" t="inlineStr">
        <is>
          <t>14,679</t>
        </is>
      </c>
      <c r="V598" t="n">
        <v>32.7</v>
      </c>
      <c r="W598" t="inlineStr">
        <is>
          <t>1%</t>
        </is>
      </c>
      <c r="X598" t="inlineStr">
        <is>
          <t>35 : 65</t>
        </is>
      </c>
      <c r="Y598" t="n">
        <v>436</v>
      </c>
      <c r="Z598" t="n">
        <v>401</v>
      </c>
      <c r="AA598" t="n">
        <v>47.2</v>
      </c>
      <c r="AB598" t="inlineStr">
        <is>
          <t>U0597</t>
        </is>
      </c>
      <c r="AC598" t="inlineStr">
        <is>
          <t>IR</t>
        </is>
      </c>
      <c r="AD598" t="n">
        <v>27.2</v>
      </c>
      <c r="AE598" t="n">
        <v>98.7</v>
      </c>
      <c r="AF598" t="n">
        <v>32.7</v>
      </c>
      <c r="AG598" t="inlineStr">
        <is>
          <t>1:32.7</t>
        </is>
      </c>
      <c r="AH598" t="inlineStr">
        <is>
          <t>1%</t>
        </is>
      </c>
      <c r="AI598" t="n">
        <v>7.8</v>
      </c>
      <c r="AJ598" t="n">
        <v>48.78</v>
      </c>
    </row>
    <row r="599">
      <c r="A599" t="inlineStr">
        <is>
          <t>Irkutsk National Research Technical University</t>
        </is>
      </c>
      <c r="B599" t="inlineStr">
        <is>
          <t>Russian Federation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>
        <is>
          <t>1501+</t>
        </is>
      </c>
      <c r="O599" t="inlineStr">
        <is>
          <t>9.7–22.7</t>
        </is>
      </c>
      <c r="P599" t="n">
        <v>21.7</v>
      </c>
      <c r="Q599" t="n">
        <v>9.6</v>
      </c>
      <c r="R599" t="n">
        <v>23.4</v>
      </c>
      <c r="S599" t="n">
        <v>24.2</v>
      </c>
      <c r="T599" t="n">
        <v>33.8</v>
      </c>
      <c r="U599" t="inlineStr">
        <is>
          <t>9,732</t>
        </is>
      </c>
      <c r="V599" t="n">
        <v>10.6</v>
      </c>
      <c r="W599" t="inlineStr">
        <is>
          <t>13%</t>
        </is>
      </c>
      <c r="X599" t="inlineStr">
        <is>
          <t>38 : 62</t>
        </is>
      </c>
      <c r="Y599" t="inlineStr"/>
      <c r="Z599" t="n">
        <v>1501</v>
      </c>
      <c r="AA599" t="n">
        <v>16.2</v>
      </c>
      <c r="AB599" t="inlineStr">
        <is>
          <t>U0598</t>
        </is>
      </c>
      <c r="AC599" t="inlineStr">
        <is>
          <t>RU</t>
        </is>
      </c>
      <c r="AD599" t="n">
        <v>16.2</v>
      </c>
      <c r="AE599" t="n">
        <v>23.4</v>
      </c>
      <c r="AF599" t="n">
        <v>10.6</v>
      </c>
      <c r="AG599" t="inlineStr">
        <is>
          <t>1:10.6</t>
        </is>
      </c>
      <c r="AH599" t="inlineStr">
        <is>
          <t>13%</t>
        </is>
      </c>
      <c r="AI599" t="inlineStr"/>
      <c r="AJ599" t="n">
        <v>13.69</v>
      </c>
    </row>
    <row r="600">
      <c r="A600" t="inlineStr">
        <is>
          <t>Irkutsk State University</t>
        </is>
      </c>
      <c r="B600" t="inlineStr">
        <is>
          <t>Russian Federation</t>
        </is>
      </c>
      <c r="C600" t="inlineStr">
        <is>
          <t>1401+</t>
        </is>
      </c>
      <c r="D600" t="inlineStr"/>
      <c r="E600" t="n">
        <v>3.3</v>
      </c>
      <c r="F600" t="n">
        <v>1.8</v>
      </c>
      <c r="G600" t="n">
        <v>14.1</v>
      </c>
      <c r="H600" t="n">
        <v>1.3</v>
      </c>
      <c r="I600" t="n">
        <v>1.9</v>
      </c>
      <c r="J600" t="n">
        <v>3.8</v>
      </c>
      <c r="K600" t="n">
        <v>26.4</v>
      </c>
      <c r="L600" t="n">
        <v>5.2</v>
      </c>
      <c r="M600" t="n">
        <v>1.2</v>
      </c>
      <c r="N600" t="inlineStr">
        <is>
          <t>1501+</t>
        </is>
      </c>
      <c r="O600" t="inlineStr">
        <is>
          <t>9.7–22.7</t>
        </is>
      </c>
      <c r="P600" t="n">
        <v>18.6</v>
      </c>
      <c r="Q600" t="n">
        <v>11.5</v>
      </c>
      <c r="R600" t="n">
        <v>9.1</v>
      </c>
      <c r="S600" t="n">
        <v>18.9</v>
      </c>
      <c r="T600" t="n">
        <v>28.1</v>
      </c>
      <c r="U600" t="inlineStr">
        <is>
          <t>13,496</t>
        </is>
      </c>
      <c r="V600" t="n">
        <v>14.2</v>
      </c>
      <c r="W600" t="inlineStr">
        <is>
          <t>4%</t>
        </is>
      </c>
      <c r="X600" t="inlineStr">
        <is>
          <t>68 : 32</t>
        </is>
      </c>
      <c r="Y600" t="n">
        <v>1401</v>
      </c>
      <c r="Z600" t="n">
        <v>1501</v>
      </c>
      <c r="AA600" t="n">
        <v>16.2</v>
      </c>
      <c r="AB600" t="inlineStr">
        <is>
          <t>U0599</t>
        </is>
      </c>
      <c r="AC600" t="inlineStr">
        <is>
          <t>RU</t>
        </is>
      </c>
      <c r="AD600" t="n">
        <v>16.2</v>
      </c>
      <c r="AE600" t="n">
        <v>1.3</v>
      </c>
      <c r="AF600" t="n">
        <v>14.2</v>
      </c>
      <c r="AG600" t="inlineStr">
        <is>
          <t>1:14.2</t>
        </is>
      </c>
      <c r="AH600" t="inlineStr">
        <is>
          <t>4%</t>
        </is>
      </c>
      <c r="AI600" t="n">
        <v>3.3</v>
      </c>
      <c r="AJ600" t="n">
        <v>6.61</v>
      </c>
    </row>
    <row r="601">
      <c r="A601" t="inlineStr">
        <is>
          <t>ISCTE - Instituto Universitario de Lisboa</t>
        </is>
      </c>
      <c r="B601" t="inlineStr">
        <is>
          <t>Portugal</t>
        </is>
      </c>
      <c r="C601" t="inlineStr">
        <is>
          <t>661-670</t>
        </is>
      </c>
      <c r="D601" t="inlineStr"/>
      <c r="E601" t="n">
        <v>6.9</v>
      </c>
      <c r="F601" t="n">
        <v>5.9</v>
      </c>
      <c r="G601" t="n">
        <v>2</v>
      </c>
      <c r="H601" t="n">
        <v>47.8</v>
      </c>
      <c r="I601" t="n">
        <v>18.7</v>
      </c>
      <c r="J601" t="n">
        <v>49.6</v>
      </c>
      <c r="K601" t="n">
        <v>49.7</v>
      </c>
      <c r="L601" t="n">
        <v>27.2</v>
      </c>
      <c r="M601" t="n">
        <v>1.5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661</v>
      </c>
      <c r="Z601" t="inlineStr"/>
      <c r="AA601" t="inlineStr"/>
      <c r="AB601" t="inlineStr">
        <is>
          <t>U0600</t>
        </is>
      </c>
      <c r="AC601" t="inlineStr">
        <is>
          <t>PO</t>
        </is>
      </c>
      <c r="AD601" t="inlineStr"/>
      <c r="AE601" t="n">
        <v>47.8</v>
      </c>
      <c r="AF601" t="inlineStr"/>
      <c r="AG601" t="inlineStr"/>
      <c r="AH601" t="inlineStr"/>
      <c r="AI601" t="n">
        <v>6.9</v>
      </c>
      <c r="AJ601" t="n">
        <v>27.87</v>
      </c>
    </row>
    <row r="602">
      <c r="A602" t="inlineStr">
        <is>
          <t>ISCTE-University Institute of Lisbon</t>
        </is>
      </c>
      <c r="B602" t="inlineStr">
        <is>
          <t>Portugal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601–800</t>
        </is>
      </c>
      <c r="O602" t="inlineStr">
        <is>
          <t>37.0–41.8</t>
        </is>
      </c>
      <c r="P602" t="n">
        <v>26.4</v>
      </c>
      <c r="Q602" t="n">
        <v>35.7</v>
      </c>
      <c r="R602" t="n">
        <v>56.3</v>
      </c>
      <c r="S602" t="n">
        <v>55.2</v>
      </c>
      <c r="T602" t="n">
        <v>53</v>
      </c>
      <c r="U602" t="inlineStr">
        <is>
          <t>10,353</t>
        </is>
      </c>
      <c r="V602" t="n">
        <v>26.7</v>
      </c>
      <c r="W602" t="inlineStr">
        <is>
          <t>17%</t>
        </is>
      </c>
      <c r="X602" t="inlineStr">
        <is>
          <t>52 : 48</t>
        </is>
      </c>
      <c r="Y602" t="inlineStr"/>
      <c r="Z602" t="n">
        <v>601</v>
      </c>
      <c r="AA602" t="n">
        <v>39.4</v>
      </c>
      <c r="AB602" t="inlineStr">
        <is>
          <t>U0601</t>
        </is>
      </c>
      <c r="AC602" t="inlineStr">
        <is>
          <t>PO</t>
        </is>
      </c>
      <c r="AD602" t="n">
        <v>39.4</v>
      </c>
      <c r="AE602" t="n">
        <v>56.3</v>
      </c>
      <c r="AF602" t="n">
        <v>26.7</v>
      </c>
      <c r="AG602" t="inlineStr">
        <is>
          <t>1:26.7</t>
        </is>
      </c>
      <c r="AH602" t="inlineStr">
        <is>
          <t>17%</t>
        </is>
      </c>
      <c r="AI602" t="inlineStr"/>
      <c r="AJ602" t="n">
        <v>41.98</v>
      </c>
    </row>
    <row r="603">
      <c r="A603" t="inlineStr">
        <is>
          <t>Isfahan University of Medical Sciences</t>
        </is>
      </c>
      <c r="B603" t="inlineStr">
        <is>
          <t>Iran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801–1000</t>
        </is>
      </c>
      <c r="O603" t="inlineStr">
        <is>
          <t>32.7–36.9</t>
        </is>
      </c>
      <c r="P603" t="n">
        <v>45.6</v>
      </c>
      <c r="Q603" t="n">
        <v>13.6</v>
      </c>
      <c r="R603" t="n">
        <v>47</v>
      </c>
      <c r="S603" t="n">
        <v>25.6</v>
      </c>
      <c r="T603" t="n">
        <v>25.4</v>
      </c>
      <c r="U603" t="inlineStr">
        <is>
          <t>10,944</t>
        </is>
      </c>
      <c r="V603" t="n">
        <v>10.2</v>
      </c>
      <c r="W603" t="inlineStr">
        <is>
          <t>3%</t>
        </is>
      </c>
      <c r="X603" t="inlineStr">
        <is>
          <t>60 : 40</t>
        </is>
      </c>
      <c r="Y603" t="inlineStr"/>
      <c r="Z603" t="n">
        <v>801</v>
      </c>
      <c r="AA603" t="n">
        <v>34.8</v>
      </c>
      <c r="AB603" t="inlineStr">
        <is>
          <t>U0602</t>
        </is>
      </c>
      <c r="AC603" t="inlineStr">
        <is>
          <t>IR</t>
        </is>
      </c>
      <c r="AD603" t="n">
        <v>34.8</v>
      </c>
      <c r="AE603" t="n">
        <v>47</v>
      </c>
      <c r="AF603" t="n">
        <v>10.2</v>
      </c>
      <c r="AG603" t="inlineStr">
        <is>
          <t>1:10.2</t>
        </is>
      </c>
      <c r="AH603" t="inlineStr">
        <is>
          <t>3%</t>
        </is>
      </c>
      <c r="AI603" t="inlineStr"/>
      <c r="AJ603" t="n">
        <v>20.91</v>
      </c>
    </row>
    <row r="604">
      <c r="A604" t="inlineStr">
        <is>
          <t>Isfahan University of Technology</t>
        </is>
      </c>
      <c r="B604" t="inlineStr">
        <is>
          <t>Iran</t>
        </is>
      </c>
      <c r="C604" t="inlineStr">
        <is>
          <t>489</t>
        </is>
      </c>
      <c r="D604" t="n">
        <v>24.5</v>
      </c>
      <c r="E604" t="n">
        <v>4.9</v>
      </c>
      <c r="F604" t="n">
        <v>15.7</v>
      </c>
      <c r="G604" t="n">
        <v>5.1</v>
      </c>
      <c r="H604" t="n">
        <v>92.2</v>
      </c>
      <c r="I604" t="n">
        <v>2.3</v>
      </c>
      <c r="J604" t="n">
        <v>1.4</v>
      </c>
      <c r="K604" t="n">
        <v>43.5</v>
      </c>
      <c r="L604" t="n">
        <v>5.6</v>
      </c>
      <c r="M604" t="n">
        <v>1.1</v>
      </c>
      <c r="N604" t="inlineStr">
        <is>
          <t>601–800</t>
        </is>
      </c>
      <c r="O604" t="inlineStr">
        <is>
          <t>37.0–41.8</t>
        </is>
      </c>
      <c r="P604" t="n">
        <v>21.5</v>
      </c>
      <c r="Q604" t="n">
        <v>26.5</v>
      </c>
      <c r="R604" t="n">
        <v>62</v>
      </c>
      <c r="S604" t="n">
        <v>75.2</v>
      </c>
      <c r="T604" t="n">
        <v>33</v>
      </c>
      <c r="U604" t="inlineStr">
        <is>
          <t>10,529</t>
        </is>
      </c>
      <c r="V604" t="n">
        <v>22.7</v>
      </c>
      <c r="W604" t="inlineStr">
        <is>
          <t>1%</t>
        </is>
      </c>
      <c r="X604" t="inlineStr">
        <is>
          <t>40 : 60</t>
        </is>
      </c>
      <c r="Y604" t="n">
        <v>489</v>
      </c>
      <c r="Z604" t="n">
        <v>601</v>
      </c>
      <c r="AA604" t="n">
        <v>39.4</v>
      </c>
      <c r="AB604" t="inlineStr">
        <is>
          <t>U0603</t>
        </is>
      </c>
      <c r="AC604" t="inlineStr">
        <is>
          <t>IR</t>
        </is>
      </c>
      <c r="AD604" t="n">
        <v>24.5</v>
      </c>
      <c r="AE604" t="n">
        <v>92.2</v>
      </c>
      <c r="AF604" t="n">
        <v>22.7</v>
      </c>
      <c r="AG604" t="inlineStr">
        <is>
          <t>1:22.7</t>
        </is>
      </c>
      <c r="AH604" t="inlineStr">
        <is>
          <t>1%</t>
        </is>
      </c>
      <c r="AI604" t="n">
        <v>4.9</v>
      </c>
      <c r="AJ604" t="n">
        <v>43.2</v>
      </c>
    </row>
    <row r="605">
      <c r="A605" t="inlineStr">
        <is>
          <t>Islamia College Peshawar</t>
        </is>
      </c>
      <c r="B605" t="inlineStr">
        <is>
          <t>Pakistan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801–1000</t>
        </is>
      </c>
      <c r="O605" t="inlineStr">
        <is>
          <t>32.7–36.9</t>
        </is>
      </c>
      <c r="P605" t="n">
        <v>21.4</v>
      </c>
      <c r="Q605" t="n">
        <v>11.1</v>
      </c>
      <c r="R605" t="n">
        <v>62.9</v>
      </c>
      <c r="S605" t="n">
        <v>17.1</v>
      </c>
      <c r="T605" t="n">
        <v>55.6</v>
      </c>
      <c r="U605" t="inlineStr">
        <is>
          <t>6,738</t>
        </is>
      </c>
      <c r="V605" t="n">
        <v>24.4</v>
      </c>
      <c r="W605" t="inlineStr">
        <is>
          <t>3%</t>
        </is>
      </c>
      <c r="X605" t="inlineStr">
        <is>
          <t>27 : 73</t>
        </is>
      </c>
      <c r="Y605" t="inlineStr"/>
      <c r="Z605" t="n">
        <v>801</v>
      </c>
      <c r="AA605" t="n">
        <v>34.8</v>
      </c>
      <c r="AB605" t="inlineStr">
        <is>
          <t>U0604</t>
        </is>
      </c>
      <c r="AC605" t="inlineStr">
        <is>
          <t>PA</t>
        </is>
      </c>
      <c r="AD605" t="n">
        <v>34.8</v>
      </c>
      <c r="AE605" t="n">
        <v>62.9</v>
      </c>
      <c r="AF605" t="n">
        <v>24.4</v>
      </c>
      <c r="AG605" t="inlineStr">
        <is>
          <t>1:24.4</t>
        </is>
      </c>
      <c r="AH605" t="inlineStr">
        <is>
          <t>3%</t>
        </is>
      </c>
      <c r="AI605" t="inlineStr"/>
      <c r="AJ605" t="n">
        <v>31.72</v>
      </c>
    </row>
    <row r="606">
      <c r="A606" t="inlineStr">
        <is>
          <t>The Islamia University of Bahawalpur</t>
        </is>
      </c>
      <c r="B606" t="inlineStr">
        <is>
          <t>Pakistan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1001–1200</t>
        </is>
      </c>
      <c r="O606" t="inlineStr">
        <is>
          <t>28.3–32.6</t>
        </is>
      </c>
      <c r="P606" t="n">
        <v>16.4</v>
      </c>
      <c r="Q606" t="n">
        <v>11.4</v>
      </c>
      <c r="R606" t="n">
        <v>66.7</v>
      </c>
      <c r="S606" t="n">
        <v>18.2</v>
      </c>
      <c r="T606" t="n">
        <v>48.2</v>
      </c>
      <c r="U606" t="inlineStr">
        <is>
          <t>64,226</t>
        </is>
      </c>
      <c r="V606" t="n">
        <v>47.8</v>
      </c>
      <c r="W606" t="inlineStr">
        <is>
          <t>0%</t>
        </is>
      </c>
      <c r="X606" t="inlineStr">
        <is>
          <t>42 : 58</t>
        </is>
      </c>
      <c r="Y606" t="inlineStr"/>
      <c r="Z606" t="n">
        <v>1001</v>
      </c>
      <c r="AA606" t="n">
        <v>30.45</v>
      </c>
      <c r="AB606" t="inlineStr">
        <is>
          <t>U0605</t>
        </is>
      </c>
      <c r="AC606" t="inlineStr">
        <is>
          <t>PA</t>
        </is>
      </c>
      <c r="AD606" t="n">
        <v>30.45</v>
      </c>
      <c r="AE606" t="n">
        <v>66.7</v>
      </c>
      <c r="AF606" t="n">
        <v>47.8</v>
      </c>
      <c r="AG606" t="inlineStr">
        <is>
          <t>1:47.8</t>
        </is>
      </c>
      <c r="AH606" t="inlineStr">
        <is>
          <t>0%</t>
        </is>
      </c>
      <c r="AI606" t="inlineStr"/>
      <c r="AJ606" t="n">
        <v>31.24</v>
      </c>
    </row>
    <row r="607">
      <c r="A607" t="inlineStr">
        <is>
          <t>Islamic University of Indonesia</t>
        </is>
      </c>
      <c r="B607" t="inlineStr">
        <is>
          <t>Indonesia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1501+</t>
        </is>
      </c>
      <c r="O607" t="inlineStr">
        <is>
          <t>9.7–22.7</t>
        </is>
      </c>
      <c r="P607" t="n">
        <v>15.8</v>
      </c>
      <c r="Q607" t="n">
        <v>9.699999999999999</v>
      </c>
      <c r="R607" t="n">
        <v>12.5</v>
      </c>
      <c r="S607" t="n">
        <v>17.3</v>
      </c>
      <c r="T607" t="n">
        <v>35.5</v>
      </c>
      <c r="U607" t="inlineStr">
        <is>
          <t>22,998</t>
        </is>
      </c>
      <c r="V607" t="n">
        <v>26.5</v>
      </c>
      <c r="W607" t="inlineStr">
        <is>
          <t>4%</t>
        </is>
      </c>
      <c r="X607" t="inlineStr">
        <is>
          <t>48 : 52</t>
        </is>
      </c>
      <c r="Y607" t="inlineStr"/>
      <c r="Z607" t="n">
        <v>1501</v>
      </c>
      <c r="AA607" t="n">
        <v>16.2</v>
      </c>
      <c r="AB607" t="inlineStr">
        <is>
          <t>U0606</t>
        </is>
      </c>
      <c r="AC607" t="inlineStr">
        <is>
          <t>IN</t>
        </is>
      </c>
      <c r="AD607" t="n">
        <v>16.2</v>
      </c>
      <c r="AE607" t="n">
        <v>12.5</v>
      </c>
      <c r="AF607" t="n">
        <v>26.5</v>
      </c>
      <c r="AG607" t="inlineStr">
        <is>
          <t>1:26.5</t>
        </is>
      </c>
      <c r="AH607" t="inlineStr">
        <is>
          <t>4%</t>
        </is>
      </c>
      <c r="AI607" t="inlineStr"/>
      <c r="AJ607" t="n">
        <v>10.85</v>
      </c>
    </row>
    <row r="608">
      <c r="A608" t="inlineStr">
        <is>
          <t>Islamic University of Madinah</t>
        </is>
      </c>
      <c r="B608" t="inlineStr">
        <is>
          <t>Saudi Arabia</t>
        </is>
      </c>
      <c r="C608" t="inlineStr">
        <is>
          <t>1001-1200</t>
        </is>
      </c>
      <c r="D608" t="inlineStr"/>
      <c r="E608" t="n">
        <v>5.5</v>
      </c>
      <c r="F608" t="n">
        <v>1.9</v>
      </c>
      <c r="G608" t="n">
        <v>6.6</v>
      </c>
      <c r="H608" t="n">
        <v>1.5</v>
      </c>
      <c r="I608" t="n">
        <v>36.3</v>
      </c>
      <c r="J608" t="n">
        <v>100</v>
      </c>
      <c r="K608" t="n">
        <v>10.3</v>
      </c>
      <c r="L608" t="n">
        <v>2.1</v>
      </c>
      <c r="M608" t="n">
        <v>1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n">
        <v>1001</v>
      </c>
      <c r="Z608" t="inlineStr"/>
      <c r="AA608" t="inlineStr"/>
      <c r="AB608" t="inlineStr">
        <is>
          <t>U0607</t>
        </is>
      </c>
      <c r="AC608" t="inlineStr">
        <is>
          <t>SA</t>
        </is>
      </c>
      <c r="AD608" t="inlineStr"/>
      <c r="AE608" t="n">
        <v>1.5</v>
      </c>
      <c r="AF608" t="inlineStr"/>
      <c r="AG608" t="inlineStr"/>
      <c r="AH608" t="inlineStr"/>
      <c r="AI608" t="n">
        <v>5.5</v>
      </c>
      <c r="AJ608" t="n">
        <v>13.84</v>
      </c>
    </row>
    <row r="609">
      <c r="A609" t="inlineStr">
        <is>
          <t>Istanbul Aydın University</t>
        </is>
      </c>
      <c r="B609" t="inlineStr">
        <is>
          <t>Turkey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1501+</t>
        </is>
      </c>
      <c r="O609" t="inlineStr">
        <is>
          <t>9.7–22.7</t>
        </is>
      </c>
      <c r="P609" t="n">
        <v>17</v>
      </c>
      <c r="Q609" t="n">
        <v>9.199999999999999</v>
      </c>
      <c r="R609" t="n">
        <v>32.3</v>
      </c>
      <c r="S609" t="n">
        <v>15.8</v>
      </c>
      <c r="T609" t="n">
        <v>56.9</v>
      </c>
      <c r="U609" t="inlineStr">
        <is>
          <t>28,851</t>
        </is>
      </c>
      <c r="V609" t="n">
        <v>26.3</v>
      </c>
      <c r="W609" t="inlineStr">
        <is>
          <t>13%</t>
        </is>
      </c>
      <c r="X609" t="inlineStr">
        <is>
          <t>51 : 49</t>
        </is>
      </c>
      <c r="Y609" t="inlineStr"/>
      <c r="Z609" t="n">
        <v>1501</v>
      </c>
      <c r="AA609" t="n">
        <v>16.2</v>
      </c>
      <c r="AB609" t="inlineStr">
        <is>
          <t>U0608</t>
        </is>
      </c>
      <c r="AC609" t="inlineStr">
        <is>
          <t>TU</t>
        </is>
      </c>
      <c r="AD609" t="n">
        <v>16.2</v>
      </c>
      <c r="AE609" t="n">
        <v>32.3</v>
      </c>
      <c r="AF609" t="n">
        <v>26.3</v>
      </c>
      <c r="AG609" t="inlineStr">
        <is>
          <t>1:26.3</t>
        </is>
      </c>
      <c r="AH609" t="inlineStr">
        <is>
          <t>13%</t>
        </is>
      </c>
      <c r="AI609" t="inlineStr"/>
      <c r="AJ609" t="n">
        <v>21.76</v>
      </c>
    </row>
    <row r="610">
      <c r="A610" t="inlineStr">
        <is>
          <t xml:space="preserve">Istanbul Aydin University  </t>
        </is>
      </c>
      <c r="B610" t="inlineStr">
        <is>
          <t>Turkey</t>
        </is>
      </c>
      <c r="C610" t="inlineStr">
        <is>
          <t>1201-1400</t>
        </is>
      </c>
      <c r="D610" t="inlineStr"/>
      <c r="E610" t="n">
        <v>4.9</v>
      </c>
      <c r="F610" t="n">
        <v>3</v>
      </c>
      <c r="G610" t="n">
        <v>12.3</v>
      </c>
      <c r="H610" t="n">
        <v>1.4</v>
      </c>
      <c r="I610" t="n">
        <v>6.7</v>
      </c>
      <c r="J610" t="n">
        <v>52.1</v>
      </c>
      <c r="K610" t="n">
        <v>7.3</v>
      </c>
      <c r="L610" t="n">
        <v>2.1</v>
      </c>
      <c r="M610" t="n">
        <v>1.1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n">
        <v>1201</v>
      </c>
      <c r="Z610" t="inlineStr"/>
      <c r="AA610" t="inlineStr"/>
      <c r="AB610" t="inlineStr">
        <is>
          <t>U0609</t>
        </is>
      </c>
      <c r="AC610" t="inlineStr">
        <is>
          <t>TU</t>
        </is>
      </c>
      <c r="AD610" t="inlineStr"/>
      <c r="AE610" t="n">
        <v>1.4</v>
      </c>
      <c r="AF610" t="inlineStr"/>
      <c r="AG610" t="inlineStr"/>
      <c r="AH610" t="inlineStr"/>
      <c r="AI610" t="n">
        <v>4.9</v>
      </c>
      <c r="AJ610" t="n">
        <v>13.81</v>
      </c>
    </row>
    <row r="611">
      <c r="A611" t="inlineStr">
        <is>
          <t>Istanbul Bilgi Üniversitesi</t>
        </is>
      </c>
      <c r="B611" t="inlineStr">
        <is>
          <t>Turkey</t>
        </is>
      </c>
      <c r="C611" t="inlineStr">
        <is>
          <t>1201-1400</t>
        </is>
      </c>
      <c r="D611" t="inlineStr"/>
      <c r="E611" t="n">
        <v>4.9</v>
      </c>
      <c r="F611" t="n">
        <v>4.3</v>
      </c>
      <c r="G611" t="n">
        <v>13.3</v>
      </c>
      <c r="H611" t="n">
        <v>1.7</v>
      </c>
      <c r="I611" t="n">
        <v>3.5</v>
      </c>
      <c r="J611" t="n">
        <v>20.2</v>
      </c>
      <c r="K611" t="n">
        <v>6.5</v>
      </c>
      <c r="L611" t="n">
        <v>13.3</v>
      </c>
      <c r="M611" t="n">
        <v>2.2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1201</v>
      </c>
      <c r="Z611" t="inlineStr"/>
      <c r="AA611" t="inlineStr"/>
      <c r="AB611" t="inlineStr">
        <is>
          <t>U0610</t>
        </is>
      </c>
      <c r="AC611" t="inlineStr">
        <is>
          <t>TU</t>
        </is>
      </c>
      <c r="AD611" t="inlineStr"/>
      <c r="AE611" t="n">
        <v>1.7</v>
      </c>
      <c r="AF611" t="inlineStr"/>
      <c r="AG611" t="inlineStr"/>
      <c r="AH611" t="inlineStr"/>
      <c r="AI611" t="n">
        <v>4.9</v>
      </c>
      <c r="AJ611" t="n">
        <v>13.9</v>
      </c>
    </row>
    <row r="612">
      <c r="A612" t="inlineStr">
        <is>
          <t>Istanbul Bilgi University</t>
        </is>
      </c>
      <c r="B612" t="inlineStr">
        <is>
          <t>Turkey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1201–1500</t>
        </is>
      </c>
      <c r="O612" t="inlineStr">
        <is>
          <t>22.8–28.2</t>
        </is>
      </c>
      <c r="P612" t="n">
        <v>18.7</v>
      </c>
      <c r="Q612" t="n">
        <v>11.7</v>
      </c>
      <c r="R612" t="n">
        <v>42.6</v>
      </c>
      <c r="S612" t="n">
        <v>16.3</v>
      </c>
      <c r="T612" t="n">
        <v>62.8</v>
      </c>
      <c r="U612" t="inlineStr">
        <is>
          <t>10,484</t>
        </is>
      </c>
      <c r="V612" t="n">
        <v>16</v>
      </c>
      <c r="W612" t="inlineStr">
        <is>
          <t>14%</t>
        </is>
      </c>
      <c r="X612" t="inlineStr">
        <is>
          <t>49 : 51</t>
        </is>
      </c>
      <c r="Y612" t="inlineStr"/>
      <c r="Z612" t="n">
        <v>1201</v>
      </c>
      <c r="AA612" t="n">
        <v>25.5</v>
      </c>
      <c r="AB612" t="inlineStr">
        <is>
          <t>U0611</t>
        </is>
      </c>
      <c r="AC612" t="inlineStr">
        <is>
          <t>TU</t>
        </is>
      </c>
      <c r="AD612" t="n">
        <v>25.5</v>
      </c>
      <c r="AE612" t="n">
        <v>42.6</v>
      </c>
      <c r="AF612" t="n">
        <v>16</v>
      </c>
      <c r="AG612" t="inlineStr">
        <is>
          <t>1:16.0</t>
        </is>
      </c>
      <c r="AH612" t="inlineStr">
        <is>
          <t>14%</t>
        </is>
      </c>
      <c r="AI612" t="inlineStr"/>
      <c r="AJ612" t="n">
        <v>27.62</v>
      </c>
    </row>
    <row r="613">
      <c r="A613" t="inlineStr">
        <is>
          <t>Istanbul Medeniyet University</t>
        </is>
      </c>
      <c r="B613" t="inlineStr">
        <is>
          <t>Turkey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>
        <is>
          <t>1201–1500</t>
        </is>
      </c>
      <c r="O613" t="inlineStr">
        <is>
          <t>22.8–28.2</t>
        </is>
      </c>
      <c r="P613" t="n">
        <v>14.5</v>
      </c>
      <c r="Q613" t="n">
        <v>11.7</v>
      </c>
      <c r="R613" t="n">
        <v>56.9</v>
      </c>
      <c r="S613" t="n">
        <v>18.8</v>
      </c>
      <c r="T613" t="n">
        <v>25.9</v>
      </c>
      <c r="U613" t="inlineStr">
        <is>
          <t>15,254</t>
        </is>
      </c>
      <c r="V613" t="n">
        <v>18.7</v>
      </c>
      <c r="W613" t="inlineStr">
        <is>
          <t>2%</t>
        </is>
      </c>
      <c r="X613" t="inlineStr">
        <is>
          <t>55 : 45</t>
        </is>
      </c>
      <c r="Y613" t="inlineStr"/>
      <c r="Z613" t="n">
        <v>1201</v>
      </c>
      <c r="AA613" t="n">
        <v>25.5</v>
      </c>
      <c r="AB613" t="inlineStr">
        <is>
          <t>U0612</t>
        </is>
      </c>
      <c r="AC613" t="inlineStr">
        <is>
          <t>TU</t>
        </is>
      </c>
      <c r="AD613" t="n">
        <v>25.5</v>
      </c>
      <c r="AE613" t="n">
        <v>56.9</v>
      </c>
      <c r="AF613" t="n">
        <v>18.7</v>
      </c>
      <c r="AG613" t="inlineStr">
        <is>
          <t>1:18.7</t>
        </is>
      </c>
      <c r="AH613" t="inlineStr">
        <is>
          <t>2%</t>
        </is>
      </c>
      <c r="AI613" t="inlineStr"/>
      <c r="AJ613" t="n">
        <v>23.03</v>
      </c>
    </row>
    <row r="614">
      <c r="A614" t="inlineStr">
        <is>
          <t>Istanbul Medipol University</t>
        </is>
      </c>
      <c r="B614" t="inlineStr">
        <is>
          <t>Turkey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>
        <is>
          <t>1501+</t>
        </is>
      </c>
      <c r="O614" t="inlineStr">
        <is>
          <t>9.7–22.7</t>
        </is>
      </c>
      <c r="P614" t="n">
        <v>14.6</v>
      </c>
      <c r="Q614" t="n">
        <v>10.6</v>
      </c>
      <c r="R614" t="n">
        <v>33.3</v>
      </c>
      <c r="S614" t="n">
        <v>20.6</v>
      </c>
      <c r="T614" t="n">
        <v>44</v>
      </c>
      <c r="U614" t="inlineStr">
        <is>
          <t>26,110</t>
        </is>
      </c>
      <c r="V614" t="n">
        <v>20</v>
      </c>
      <c r="W614" t="inlineStr">
        <is>
          <t>16%</t>
        </is>
      </c>
      <c r="X614" t="inlineStr">
        <is>
          <t>65 : 35</t>
        </is>
      </c>
      <c r="Y614" t="inlineStr"/>
      <c r="Z614" t="n">
        <v>1501</v>
      </c>
      <c r="AA614" t="n">
        <v>16.2</v>
      </c>
      <c r="AB614" t="inlineStr">
        <is>
          <t>U0613</t>
        </is>
      </c>
      <c r="AC614" t="inlineStr">
        <is>
          <t>TU</t>
        </is>
      </c>
      <c r="AD614" t="n">
        <v>16.2</v>
      </c>
      <c r="AE614" t="n">
        <v>33.3</v>
      </c>
      <c r="AF614" t="n">
        <v>20</v>
      </c>
      <c r="AG614" t="inlineStr">
        <is>
          <t>1:20.0</t>
        </is>
      </c>
      <c r="AH614" t="inlineStr">
        <is>
          <t>16%</t>
        </is>
      </c>
      <c r="AI614" t="inlineStr"/>
      <c r="AJ614" t="n">
        <v>19.68</v>
      </c>
    </row>
    <row r="615">
      <c r="A615" t="inlineStr">
        <is>
          <t>Istanbul Technical University</t>
        </is>
      </c>
      <c r="B615" t="inlineStr">
        <is>
          <t>Turkey</t>
        </is>
      </c>
      <c r="C615" t="inlineStr">
        <is>
          <t>326</t>
        </is>
      </c>
      <c r="D615" t="n">
        <v>34</v>
      </c>
      <c r="E615" t="n">
        <v>27</v>
      </c>
      <c r="F615" t="n">
        <v>67.2</v>
      </c>
      <c r="G615" t="n">
        <v>9.699999999999999</v>
      </c>
      <c r="H615" t="n">
        <v>17</v>
      </c>
      <c r="I615" t="n">
        <v>8.300000000000001</v>
      </c>
      <c r="J615" t="n">
        <v>19.8</v>
      </c>
      <c r="K615" t="n">
        <v>76.09999999999999</v>
      </c>
      <c r="L615" t="n">
        <v>69.09999999999999</v>
      </c>
      <c r="M615" t="n">
        <v>70.3</v>
      </c>
      <c r="N615" t="inlineStr">
        <is>
          <t>501–600</t>
        </is>
      </c>
      <c r="O615" t="inlineStr">
        <is>
          <t>41.9–45.3</t>
        </is>
      </c>
      <c r="P615" t="n">
        <v>35.8</v>
      </c>
      <c r="Q615" t="n">
        <v>36.6</v>
      </c>
      <c r="R615" t="n">
        <v>51.8</v>
      </c>
      <c r="S615" t="n">
        <v>87.3</v>
      </c>
      <c r="T615" t="n">
        <v>45.8</v>
      </c>
      <c r="U615" t="inlineStr">
        <is>
          <t>19,055</t>
        </is>
      </c>
      <c r="V615" t="n">
        <v>25.8</v>
      </c>
      <c r="W615" t="inlineStr">
        <is>
          <t>14%</t>
        </is>
      </c>
      <c r="X615" t="inlineStr">
        <is>
          <t>42 : 58</t>
        </is>
      </c>
      <c r="Y615" t="n">
        <v>326</v>
      </c>
      <c r="Z615" t="n">
        <v>501</v>
      </c>
      <c r="AA615" t="n">
        <v>43.59999999999999</v>
      </c>
      <c r="AB615" t="inlineStr">
        <is>
          <t>U0614</t>
        </is>
      </c>
      <c r="AC615" t="inlineStr">
        <is>
          <t>TU</t>
        </is>
      </c>
      <c r="AD615" t="n">
        <v>34</v>
      </c>
      <c r="AE615" t="n">
        <v>17</v>
      </c>
      <c r="AF615" t="n">
        <v>25.8</v>
      </c>
      <c r="AG615" t="inlineStr">
        <is>
          <t>1:25.8</t>
        </is>
      </c>
      <c r="AH615" t="inlineStr">
        <is>
          <t>14%</t>
        </is>
      </c>
      <c r="AI615" t="n">
        <v>27</v>
      </c>
      <c r="AJ615" t="n">
        <v>28.8</v>
      </c>
    </row>
    <row r="616">
      <c r="A616" t="inlineStr">
        <is>
          <t>Istanbul University</t>
        </is>
      </c>
      <c r="B616" t="inlineStr">
        <is>
          <t>Turkey</t>
        </is>
      </c>
      <c r="C616" t="inlineStr">
        <is>
          <t>621-630</t>
        </is>
      </c>
      <c r="D616" t="inlineStr"/>
      <c r="E616" t="n">
        <v>28.1</v>
      </c>
      <c r="F616" t="n">
        <v>25.3</v>
      </c>
      <c r="G616" t="n">
        <v>2.8</v>
      </c>
      <c r="H616" t="n">
        <v>3.5</v>
      </c>
      <c r="I616" t="n">
        <v>5.3</v>
      </c>
      <c r="J616" t="n">
        <v>9.9</v>
      </c>
      <c r="K616" t="n">
        <v>68.8</v>
      </c>
      <c r="L616" t="n">
        <v>72.8</v>
      </c>
      <c r="M616" t="n">
        <v>1.7</v>
      </c>
      <c r="N616" t="inlineStr">
        <is>
          <t>1001–1200</t>
        </is>
      </c>
      <c r="O616" t="inlineStr">
        <is>
          <t>28.3–32.6</t>
        </is>
      </c>
      <c r="P616" t="n">
        <v>23.5</v>
      </c>
      <c r="Q616" t="n">
        <v>22</v>
      </c>
      <c r="R616" t="n">
        <v>34.4</v>
      </c>
      <c r="S616" t="n">
        <v>50.9</v>
      </c>
      <c r="T616" t="n">
        <v>38.2</v>
      </c>
      <c r="U616" t="inlineStr">
        <is>
          <t>61,369</t>
        </is>
      </c>
      <c r="V616" t="n">
        <v>25.4</v>
      </c>
      <c r="W616" t="inlineStr">
        <is>
          <t>9%</t>
        </is>
      </c>
      <c r="X616" t="inlineStr">
        <is>
          <t>56 : 44</t>
        </is>
      </c>
      <c r="Y616" t="n">
        <v>621</v>
      </c>
      <c r="Z616" t="n">
        <v>1001</v>
      </c>
      <c r="AA616" t="n">
        <v>30.45</v>
      </c>
      <c r="AB616" t="inlineStr">
        <is>
          <t>U0615</t>
        </is>
      </c>
      <c r="AC616" t="inlineStr">
        <is>
          <t>TU</t>
        </is>
      </c>
      <c r="AD616" t="n">
        <v>30.45</v>
      </c>
      <c r="AE616" t="n">
        <v>3.5</v>
      </c>
      <c r="AF616" t="n">
        <v>25.4</v>
      </c>
      <c r="AG616" t="inlineStr">
        <is>
          <t>1:25.4</t>
        </is>
      </c>
      <c r="AH616" t="inlineStr">
        <is>
          <t>9%</t>
        </is>
      </c>
      <c r="AI616" t="n">
        <v>28.1</v>
      </c>
      <c r="AJ616" t="n">
        <v>15.22</v>
      </c>
    </row>
    <row r="617">
      <c r="A617" t="inlineStr">
        <is>
          <t>Istanbul University-Cerrahpaşa</t>
        </is>
      </c>
      <c r="B617" t="inlineStr">
        <is>
          <t>Turkey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1001–1200</t>
        </is>
      </c>
      <c r="O617" t="inlineStr">
        <is>
          <t>28.3–32.6</t>
        </is>
      </c>
      <c r="P617" t="n">
        <v>26</v>
      </c>
      <c r="Q617" t="n">
        <v>24.1</v>
      </c>
      <c r="R617" t="n">
        <v>41.7</v>
      </c>
      <c r="S617" t="n">
        <v>59.8</v>
      </c>
      <c r="T617" t="n">
        <v>26.9</v>
      </c>
      <c r="U617" t="inlineStr">
        <is>
          <t>22,236</t>
        </is>
      </c>
      <c r="V617" t="n">
        <v>27.8</v>
      </c>
      <c r="W617" t="inlineStr">
        <is>
          <t>6%</t>
        </is>
      </c>
      <c r="X617" t="inlineStr">
        <is>
          <t>52 : 48</t>
        </is>
      </c>
      <c r="Y617" t="inlineStr"/>
      <c r="Z617" t="n">
        <v>1001</v>
      </c>
      <c r="AA617" t="n">
        <v>30.45</v>
      </c>
      <c r="AB617" t="inlineStr">
        <is>
          <t>U0616</t>
        </is>
      </c>
      <c r="AC617" t="inlineStr">
        <is>
          <t>TU</t>
        </is>
      </c>
      <c r="AD617" t="n">
        <v>30.45</v>
      </c>
      <c r="AE617" t="n">
        <v>41.7</v>
      </c>
      <c r="AF617" t="n">
        <v>27.8</v>
      </c>
      <c r="AG617" t="inlineStr">
        <is>
          <t>1:27.8</t>
        </is>
      </c>
      <c r="AH617" t="inlineStr">
        <is>
          <t>6%</t>
        </is>
      </c>
      <c r="AI617" t="inlineStr"/>
      <c r="AJ617" t="n">
        <v>25.17</v>
      </c>
    </row>
    <row r="618">
      <c r="A618" t="inlineStr">
        <is>
          <t>ITESO, Universidad Jesuita de Guadalajara</t>
        </is>
      </c>
      <c r="B618" t="inlineStr">
        <is>
          <t>Mexico</t>
        </is>
      </c>
      <c r="C618" t="inlineStr">
        <is>
          <t>1001-1200</t>
        </is>
      </c>
      <c r="D618" t="inlineStr"/>
      <c r="E618" t="n">
        <v>6.3</v>
      </c>
      <c r="F618" t="n">
        <v>4.4</v>
      </c>
      <c r="G618" t="n">
        <v>72.8</v>
      </c>
      <c r="H618" t="n">
        <v>1</v>
      </c>
      <c r="I618" t="n">
        <v>2.4</v>
      </c>
      <c r="J618" t="n">
        <v>1.5</v>
      </c>
      <c r="K618" t="n">
        <v>3.5</v>
      </c>
      <c r="L618" t="n">
        <v>1.9</v>
      </c>
      <c r="M618" t="n">
        <v>1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1001</v>
      </c>
      <c r="Z618" t="inlineStr"/>
      <c r="AA618" t="inlineStr"/>
      <c r="AB618" t="inlineStr">
        <is>
          <t>U0617</t>
        </is>
      </c>
      <c r="AC618" t="inlineStr">
        <is>
          <t>ME</t>
        </is>
      </c>
      <c r="AD618" t="inlineStr"/>
      <c r="AE618" t="n">
        <v>1</v>
      </c>
      <c r="AF618" t="inlineStr"/>
      <c r="AG618" t="inlineStr"/>
      <c r="AH618" t="inlineStr"/>
      <c r="AI618" t="n">
        <v>6.3</v>
      </c>
      <c r="AJ618" t="n">
        <v>13.69</v>
      </c>
    </row>
    <row r="619">
      <c r="A619" t="inlineStr">
        <is>
          <t>ITMO University</t>
        </is>
      </c>
      <c r="B619" t="inlineStr">
        <is>
          <t>Russian Federation</t>
        </is>
      </c>
      <c r="C619" t="inlineStr">
        <is>
          <t>595</t>
        </is>
      </c>
      <c r="D619" t="n">
        <v>20.9</v>
      </c>
      <c r="E619" t="n">
        <v>10.5</v>
      </c>
      <c r="F619" t="n">
        <v>13</v>
      </c>
      <c r="G619" t="n">
        <v>95.5</v>
      </c>
      <c r="H619" t="n">
        <v>5.4</v>
      </c>
      <c r="I619" t="n">
        <v>20.3</v>
      </c>
      <c r="J619" t="n">
        <v>36.2</v>
      </c>
      <c r="K619" t="n">
        <v>65.3</v>
      </c>
      <c r="L619" t="n">
        <v>1.9</v>
      </c>
      <c r="M619" t="n">
        <v>1.2</v>
      </c>
      <c r="N619" t="inlineStr">
        <is>
          <t>601–800</t>
        </is>
      </c>
      <c r="O619" t="inlineStr">
        <is>
          <t>37.0–41.8</t>
        </is>
      </c>
      <c r="P619" t="n">
        <v>34</v>
      </c>
      <c r="Q619" t="n">
        <v>34.9</v>
      </c>
      <c r="R619" t="n">
        <v>40</v>
      </c>
      <c r="S619" t="n">
        <v>69</v>
      </c>
      <c r="T619" t="n">
        <v>67.09999999999999</v>
      </c>
      <c r="U619" t="inlineStr">
        <is>
          <t>10,902</t>
        </is>
      </c>
      <c r="V619" t="n">
        <v>14.6</v>
      </c>
      <c r="W619" t="inlineStr">
        <is>
          <t>18%</t>
        </is>
      </c>
      <c r="X619" t="inlineStr">
        <is>
          <t>34 : 66</t>
        </is>
      </c>
      <c r="Y619" t="n">
        <v>595</v>
      </c>
      <c r="Z619" t="n">
        <v>601</v>
      </c>
      <c r="AA619" t="n">
        <v>39.4</v>
      </c>
      <c r="AB619" t="inlineStr">
        <is>
          <t>U0618</t>
        </is>
      </c>
      <c r="AC619" t="inlineStr">
        <is>
          <t>RU</t>
        </is>
      </c>
      <c r="AD619" t="n">
        <v>20.9</v>
      </c>
      <c r="AE619" t="n">
        <v>5.4</v>
      </c>
      <c r="AF619" t="n">
        <v>14.6</v>
      </c>
      <c r="AG619" t="inlineStr">
        <is>
          <t>1:14.6</t>
        </is>
      </c>
      <c r="AH619" t="inlineStr">
        <is>
          <t>18%</t>
        </is>
      </c>
      <c r="AI619" t="n">
        <v>10.5</v>
      </c>
      <c r="AJ619" t="n">
        <v>29.55</v>
      </c>
    </row>
    <row r="620">
      <c r="A620" t="inlineStr">
        <is>
          <t>Iuliu Haţieganu University of Medicine and Pharmacy Cluj-Napoca</t>
        </is>
      </c>
      <c r="B620" t="inlineStr">
        <is>
          <t>Romania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>
        <is>
          <t>1001–1200</t>
        </is>
      </c>
      <c r="O620" t="inlineStr">
        <is>
          <t>28.3–32.6</t>
        </is>
      </c>
      <c r="P620" t="n">
        <v>25.8</v>
      </c>
      <c r="Q620" t="n">
        <v>10.9</v>
      </c>
      <c r="R620" t="n">
        <v>54.3</v>
      </c>
      <c r="S620" t="n">
        <v>25.2</v>
      </c>
      <c r="T620" t="n">
        <v>50.2</v>
      </c>
      <c r="U620" t="inlineStr">
        <is>
          <t>8,258</t>
        </is>
      </c>
      <c r="V620" t="n">
        <v>8.9</v>
      </c>
      <c r="W620" t="inlineStr">
        <is>
          <t>36%</t>
        </is>
      </c>
      <c r="X620" t="inlineStr">
        <is>
          <t>66 : 34</t>
        </is>
      </c>
      <c r="Y620" t="inlineStr"/>
      <c r="Z620" t="n">
        <v>1001</v>
      </c>
      <c r="AA620" t="n">
        <v>30.45</v>
      </c>
      <c r="AB620" t="inlineStr">
        <is>
          <t>U0619</t>
        </is>
      </c>
      <c r="AC620" t="inlineStr">
        <is>
          <t>RO</t>
        </is>
      </c>
      <c r="AD620" t="n">
        <v>30.45</v>
      </c>
      <c r="AE620" t="n">
        <v>54.3</v>
      </c>
      <c r="AF620" t="n">
        <v>8.9</v>
      </c>
      <c r="AG620" t="inlineStr">
        <is>
          <t>1:8.9</t>
        </is>
      </c>
      <c r="AH620" t="inlineStr">
        <is>
          <t>36%</t>
        </is>
      </c>
      <c r="AI620" t="inlineStr"/>
      <c r="AJ620" t="n">
        <v>27.7</v>
      </c>
    </row>
    <row r="621">
      <c r="A621" t="inlineStr">
        <is>
          <t>Ivan Franko National University of Lviv</t>
        </is>
      </c>
      <c r="B621" t="inlineStr">
        <is>
          <t>Ukraine</t>
        </is>
      </c>
      <c r="C621" t="inlineStr">
        <is>
          <t>1201-1400</t>
        </is>
      </c>
      <c r="D621" t="inlineStr"/>
      <c r="E621" t="n">
        <v>5.7</v>
      </c>
      <c r="F621" t="n">
        <v>12.8</v>
      </c>
      <c r="G621" t="n">
        <v>30.2</v>
      </c>
      <c r="H621" t="n">
        <v>1.3</v>
      </c>
      <c r="I621" t="n">
        <v>1.3</v>
      </c>
      <c r="J621" t="n">
        <v>1.5</v>
      </c>
      <c r="K621" t="n">
        <v>12.6</v>
      </c>
      <c r="L621" t="n">
        <v>18.6</v>
      </c>
      <c r="M621" t="n">
        <v>2</v>
      </c>
      <c r="N621" t="inlineStr">
        <is>
          <t>1201–1500</t>
        </is>
      </c>
      <c r="O621" t="inlineStr">
        <is>
          <t>22.8–28.2</t>
        </is>
      </c>
      <c r="P621" t="n">
        <v>24.5</v>
      </c>
      <c r="Q621" t="n">
        <v>10.5</v>
      </c>
      <c r="R621" t="n">
        <v>10</v>
      </c>
      <c r="S621" t="n">
        <v>17.9</v>
      </c>
      <c r="T621" t="n">
        <v>31.7</v>
      </c>
      <c r="U621" t="inlineStr">
        <is>
          <t>19,799</t>
        </is>
      </c>
      <c r="V621" t="n">
        <v>10.7</v>
      </c>
      <c r="W621" t="inlineStr">
        <is>
          <t>2%</t>
        </is>
      </c>
      <c r="X621" t="inlineStr">
        <is>
          <t>63 : 37</t>
        </is>
      </c>
      <c r="Y621" t="n">
        <v>1201</v>
      </c>
      <c r="Z621" t="n">
        <v>1201</v>
      </c>
      <c r="AA621" t="n">
        <v>25.5</v>
      </c>
      <c r="AB621" t="inlineStr">
        <is>
          <t>U0620</t>
        </is>
      </c>
      <c r="AC621" t="inlineStr">
        <is>
          <t>UK</t>
        </is>
      </c>
      <c r="AD621" t="n">
        <v>25.5</v>
      </c>
      <c r="AE621" t="n">
        <v>1.3</v>
      </c>
      <c r="AF621" t="n">
        <v>10.7</v>
      </c>
      <c r="AG621" t="inlineStr">
        <is>
          <t>1:10.7</t>
        </is>
      </c>
      <c r="AH621" t="inlineStr">
        <is>
          <t>2%</t>
        </is>
      </c>
      <c r="AI621" t="n">
        <v>5.7</v>
      </c>
      <c r="AJ621" t="n">
        <v>6.96</v>
      </c>
    </row>
    <row r="622">
      <c r="A622" t="inlineStr">
        <is>
          <t>Ivane Javakhishvili Tbilisi State University</t>
        </is>
      </c>
      <c r="B622" t="inlineStr">
        <is>
          <t>Georgia</t>
        </is>
      </c>
      <c r="C622" t="inlineStr">
        <is>
          <t>791-800</t>
        </is>
      </c>
      <c r="D622" t="inlineStr"/>
      <c r="E622" t="n">
        <v>10.4</v>
      </c>
      <c r="F622" t="n">
        <v>1.2</v>
      </c>
      <c r="G622" t="n">
        <v>73.90000000000001</v>
      </c>
      <c r="H622" t="n">
        <v>1.2</v>
      </c>
      <c r="I622" t="n">
        <v>1.9</v>
      </c>
      <c r="J622" t="n">
        <v>3.2</v>
      </c>
      <c r="K622" t="n">
        <v>22.7</v>
      </c>
      <c r="L622" t="n">
        <v>88.40000000000001</v>
      </c>
      <c r="M622" t="n">
        <v>1</v>
      </c>
      <c r="N622" t="inlineStr">
        <is>
          <t>1501+</t>
        </is>
      </c>
      <c r="O622" t="inlineStr">
        <is>
          <t>9.7–22.7</t>
        </is>
      </c>
      <c r="P622" t="n">
        <v>15.9</v>
      </c>
      <c r="Q622" t="n">
        <v>11.3</v>
      </c>
      <c r="R622" t="n">
        <v>22.2</v>
      </c>
      <c r="S622" t="n">
        <v>18</v>
      </c>
      <c r="T622" t="n">
        <v>46.7</v>
      </c>
      <c r="U622" t="inlineStr">
        <is>
          <t>23,278</t>
        </is>
      </c>
      <c r="V622" t="n">
        <v>30.6</v>
      </c>
      <c r="W622" t="inlineStr">
        <is>
          <t>3%</t>
        </is>
      </c>
      <c r="X622" t="inlineStr">
        <is>
          <t>61 : 39</t>
        </is>
      </c>
      <c r="Y622" t="n">
        <v>791</v>
      </c>
      <c r="Z622" t="n">
        <v>1501</v>
      </c>
      <c r="AA622" t="n">
        <v>16.2</v>
      </c>
      <c r="AB622" t="inlineStr">
        <is>
          <t>U0621</t>
        </is>
      </c>
      <c r="AC622" t="inlineStr">
        <is>
          <t>GE</t>
        </is>
      </c>
      <c r="AD622" t="n">
        <v>16.2</v>
      </c>
      <c r="AE622" t="n">
        <v>1.2</v>
      </c>
      <c r="AF622" t="n">
        <v>30.6</v>
      </c>
      <c r="AG622" t="inlineStr">
        <is>
          <t>1:30.6</t>
        </is>
      </c>
      <c r="AH622" t="inlineStr">
        <is>
          <t>3%</t>
        </is>
      </c>
      <c r="AI622" t="n">
        <v>10.4</v>
      </c>
      <c r="AJ622" t="n">
        <v>10.97</v>
      </c>
    </row>
    <row r="623">
      <c r="A623" t="inlineStr">
        <is>
          <t>Ivanovo State University of Chemistry and Technology</t>
        </is>
      </c>
      <c r="B623" t="inlineStr">
        <is>
          <t>Russian Federation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>
        <is>
          <t>1501+</t>
        </is>
      </c>
      <c r="O623" t="inlineStr">
        <is>
          <t>9.7–22.7</t>
        </is>
      </c>
      <c r="P623" t="n">
        <v>16.4</v>
      </c>
      <c r="Q623" t="n">
        <v>9.699999999999999</v>
      </c>
      <c r="R623" t="n">
        <v>7</v>
      </c>
      <c r="S623" t="n">
        <v>21.3</v>
      </c>
      <c r="T623" t="n">
        <v>25</v>
      </c>
      <c r="U623" t="inlineStr">
        <is>
          <t>3,652</t>
        </is>
      </c>
      <c r="V623" t="n">
        <v>16.8</v>
      </c>
      <c r="W623" t="inlineStr">
        <is>
          <t>6%</t>
        </is>
      </c>
      <c r="X623" t="inlineStr">
        <is>
          <t>44 : 56</t>
        </is>
      </c>
      <c r="Y623" t="inlineStr"/>
      <c r="Z623" t="n">
        <v>1501</v>
      </c>
      <c r="AA623" t="n">
        <v>16.2</v>
      </c>
      <c r="AB623" t="inlineStr">
        <is>
          <t>U0622</t>
        </is>
      </c>
      <c r="AC623" t="inlineStr">
        <is>
          <t>RU</t>
        </is>
      </c>
      <c r="AD623" t="n">
        <v>16.2</v>
      </c>
      <c r="AE623" t="n">
        <v>7</v>
      </c>
      <c r="AF623" t="n">
        <v>16.8</v>
      </c>
      <c r="AG623" t="inlineStr">
        <is>
          <t>1:16.8</t>
        </is>
      </c>
      <c r="AH623" t="inlineStr">
        <is>
          <t>6%</t>
        </is>
      </c>
      <c r="AI623" t="inlineStr"/>
      <c r="AJ623" t="n">
        <v>6.64</v>
      </c>
    </row>
    <row r="624">
      <c r="A624" t="inlineStr">
        <is>
          <t>Iwate University</t>
        </is>
      </c>
      <c r="B624" t="inlineStr">
        <is>
          <t>Japan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1501+</t>
        </is>
      </c>
      <c r="O624" t="inlineStr">
        <is>
          <t>9.7–22.7</t>
        </is>
      </c>
      <c r="P624" t="n">
        <v>22.3</v>
      </c>
      <c r="Q624" t="n">
        <v>11.2</v>
      </c>
      <c r="R624" t="n">
        <v>12.6</v>
      </c>
      <c r="S624" t="n">
        <v>38.5</v>
      </c>
      <c r="T624" t="n">
        <v>28.2</v>
      </c>
      <c r="U624" t="inlineStr">
        <is>
          <t>5,316</t>
        </is>
      </c>
      <c r="V624" t="n">
        <v>13.6</v>
      </c>
      <c r="W624" t="inlineStr">
        <is>
          <t>3%</t>
        </is>
      </c>
      <c r="X624" t="inlineStr">
        <is>
          <t>37 : 63</t>
        </is>
      </c>
      <c r="Y624" t="inlineStr"/>
      <c r="Z624" t="n">
        <v>1501</v>
      </c>
      <c r="AA624" t="n">
        <v>16.2</v>
      </c>
      <c r="AB624" t="inlineStr">
        <is>
          <t>U0623</t>
        </is>
      </c>
      <c r="AC624" t="inlineStr">
        <is>
          <t>JA</t>
        </is>
      </c>
      <c r="AD624" t="n">
        <v>16.2</v>
      </c>
      <c r="AE624" t="n">
        <v>12.6</v>
      </c>
      <c r="AF624" t="n">
        <v>13.6</v>
      </c>
      <c r="AG624" t="inlineStr">
        <is>
          <t>1:13.6</t>
        </is>
      </c>
      <c r="AH624" t="inlineStr">
        <is>
          <t>3%</t>
        </is>
      </c>
      <c r="AI624" t="inlineStr"/>
      <c r="AJ624" t="n">
        <v>9.9</v>
      </c>
    </row>
    <row r="625">
      <c r="A625" t="inlineStr">
        <is>
          <t>Izmir Institute of Technology (IZTECH)</t>
        </is>
      </c>
      <c r="B625" t="inlineStr">
        <is>
          <t>Turkey</t>
        </is>
      </c>
      <c r="C625" t="inlineStr">
        <is>
          <t>1201-1400</t>
        </is>
      </c>
      <c r="D625" t="inlineStr"/>
      <c r="E625" t="n">
        <v>7.2</v>
      </c>
      <c r="F625" t="n">
        <v>4.4</v>
      </c>
      <c r="G625" t="n">
        <v>5.8</v>
      </c>
      <c r="H625" t="n">
        <v>8.199999999999999</v>
      </c>
      <c r="I625" t="n">
        <v>3.2</v>
      </c>
      <c r="J625" t="n">
        <v>2.1</v>
      </c>
      <c r="K625" t="n">
        <v>15.5</v>
      </c>
      <c r="L625" t="n">
        <v>2.1</v>
      </c>
      <c r="M625" t="n">
        <v>1.6</v>
      </c>
      <c r="N625" t="inlineStr">
        <is>
          <t>1201–1500</t>
        </is>
      </c>
      <c r="O625" t="inlineStr">
        <is>
          <t>22.8–28.2</t>
        </is>
      </c>
      <c r="P625" t="n">
        <v>20.2</v>
      </c>
      <c r="Q625" t="n">
        <v>15.1</v>
      </c>
      <c r="R625" t="n">
        <v>27.8</v>
      </c>
      <c r="S625" t="n">
        <v>56.7</v>
      </c>
      <c r="T625" t="n">
        <v>35.5</v>
      </c>
      <c r="U625" t="inlineStr">
        <is>
          <t>6,309</t>
        </is>
      </c>
      <c r="V625" t="n">
        <v>18.6</v>
      </c>
      <c r="W625" t="inlineStr">
        <is>
          <t>3%</t>
        </is>
      </c>
      <c r="X625" t="inlineStr">
        <is>
          <t>47 : 53</t>
        </is>
      </c>
      <c r="Y625" t="n">
        <v>1201</v>
      </c>
      <c r="Z625" t="n">
        <v>1201</v>
      </c>
      <c r="AA625" t="n">
        <v>25.5</v>
      </c>
      <c r="AB625" t="inlineStr">
        <is>
          <t>U0624</t>
        </is>
      </c>
      <c r="AC625" t="inlineStr">
        <is>
          <t>TU</t>
        </is>
      </c>
      <c r="AD625" t="n">
        <v>25.5</v>
      </c>
      <c r="AE625" t="n">
        <v>8.199999999999999</v>
      </c>
      <c r="AF625" t="n">
        <v>18.6</v>
      </c>
      <c r="AG625" t="inlineStr">
        <is>
          <t>1:18.6</t>
        </is>
      </c>
      <c r="AH625" t="inlineStr">
        <is>
          <t>3%</t>
        </is>
      </c>
      <c r="AI625" t="n">
        <v>7.2</v>
      </c>
      <c r="AJ625" t="n">
        <v>12.38</v>
      </c>
    </row>
    <row r="626">
      <c r="A626" t="inlineStr">
        <is>
          <t>Izmir University of Economics</t>
        </is>
      </c>
      <c r="B626" t="inlineStr">
        <is>
          <t>Turkey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1501+</t>
        </is>
      </c>
      <c r="O626" t="inlineStr">
        <is>
          <t>9.7–22.7</t>
        </is>
      </c>
      <c r="P626" t="n">
        <v>16.7</v>
      </c>
      <c r="Q626" t="n">
        <v>11.2</v>
      </c>
      <c r="R626" t="n">
        <v>36.7</v>
      </c>
      <c r="S626" t="n">
        <v>26.2</v>
      </c>
      <c r="T626" t="n">
        <v>32.5</v>
      </c>
      <c r="U626" t="inlineStr">
        <is>
          <t>6,750</t>
        </is>
      </c>
      <c r="V626" t="n">
        <v>14.7</v>
      </c>
      <c r="W626" t="inlineStr">
        <is>
          <t>2%</t>
        </is>
      </c>
      <c r="X626" t="inlineStr">
        <is>
          <t>54 : 46</t>
        </is>
      </c>
      <c r="Y626" t="inlineStr"/>
      <c r="Z626" t="n">
        <v>1501</v>
      </c>
      <c r="AA626" t="n">
        <v>16.2</v>
      </c>
      <c r="AB626" t="inlineStr">
        <is>
          <t>U0625</t>
        </is>
      </c>
      <c r="AC626" t="inlineStr">
        <is>
          <t>TU</t>
        </is>
      </c>
      <c r="AD626" t="n">
        <v>16.2</v>
      </c>
      <c r="AE626" t="n">
        <v>36.7</v>
      </c>
      <c r="AF626" t="n">
        <v>14.7</v>
      </c>
      <c r="AG626" t="inlineStr">
        <is>
          <t>1:14.7</t>
        </is>
      </c>
      <c r="AH626" t="inlineStr">
        <is>
          <t>2%</t>
        </is>
      </c>
      <c r="AI626" t="inlineStr"/>
      <c r="AJ626" t="n">
        <v>18.24</v>
      </c>
    </row>
    <row r="627">
      <c r="A627" t="inlineStr">
        <is>
          <t>Jönköping University</t>
        </is>
      </c>
      <c r="B627" t="inlineStr">
        <is>
          <t>Sweden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>
        <is>
          <t>601–800</t>
        </is>
      </c>
      <c r="O627" t="inlineStr">
        <is>
          <t>37.0–41.8</t>
        </is>
      </c>
      <c r="P627" t="n">
        <v>20.1</v>
      </c>
      <c r="Q627" t="n">
        <v>19.2</v>
      </c>
      <c r="R627" t="n">
        <v>78.3</v>
      </c>
      <c r="S627" t="n">
        <v>28.2</v>
      </c>
      <c r="T627" t="n">
        <v>65.7</v>
      </c>
      <c r="U627" t="inlineStr">
        <is>
          <t>6,910</t>
        </is>
      </c>
      <c r="V627" t="n">
        <v>13</v>
      </c>
      <c r="W627" t="inlineStr">
        <is>
          <t>13%</t>
        </is>
      </c>
      <c r="X627" t="inlineStr">
        <is>
          <t>60 : 40</t>
        </is>
      </c>
      <c r="Y627" t="inlineStr"/>
      <c r="Z627" t="n">
        <v>601</v>
      </c>
      <c r="AA627" t="n">
        <v>39.4</v>
      </c>
      <c r="AB627" t="inlineStr">
        <is>
          <t>U0626</t>
        </is>
      </c>
      <c r="AC627" t="inlineStr">
        <is>
          <t>SW</t>
        </is>
      </c>
      <c r="AD627" t="n">
        <v>39.4</v>
      </c>
      <c r="AE627" t="n">
        <v>78.3</v>
      </c>
      <c r="AF627" t="n">
        <v>13</v>
      </c>
      <c r="AG627" t="inlineStr">
        <is>
          <t>1:13.0</t>
        </is>
      </c>
      <c r="AH627" t="inlineStr">
        <is>
          <t>13%</t>
        </is>
      </c>
      <c r="AI627" t="inlineStr"/>
      <c r="AJ627" t="n">
        <v>43.07</v>
      </c>
    </row>
    <row r="628">
      <c r="A628" t="inlineStr">
        <is>
          <t>Jadavpur University</t>
        </is>
      </c>
      <c r="B628" t="inlineStr">
        <is>
          <t>India</t>
        </is>
      </c>
      <c r="C628" t="inlineStr">
        <is>
          <t>721-730</t>
        </is>
      </c>
      <c r="D628" t="inlineStr"/>
      <c r="E628" t="n">
        <v>17.8</v>
      </c>
      <c r="F628" t="n">
        <v>5.9</v>
      </c>
      <c r="G628" t="n">
        <v>9.1</v>
      </c>
      <c r="H628" t="n">
        <v>40.6</v>
      </c>
      <c r="I628" t="inlineStr"/>
      <c r="J628" t="n">
        <v>1</v>
      </c>
      <c r="K628" t="n">
        <v>32.5</v>
      </c>
      <c r="L628" t="n">
        <v>14.9</v>
      </c>
      <c r="M628" t="n">
        <v>13.4</v>
      </c>
      <c r="N628" t="inlineStr">
        <is>
          <t>1001–1200</t>
        </is>
      </c>
      <c r="O628" t="inlineStr">
        <is>
          <t>28.3–32.6</t>
        </is>
      </c>
      <c r="P628" t="n">
        <v>35.3</v>
      </c>
      <c r="Q628" t="n">
        <v>15.8</v>
      </c>
      <c r="R628" t="n">
        <v>46</v>
      </c>
      <c r="S628" t="n">
        <v>35.4</v>
      </c>
      <c r="T628" t="n">
        <v>19.2</v>
      </c>
      <c r="U628" t="inlineStr">
        <is>
          <t>14,338</t>
        </is>
      </c>
      <c r="V628" t="n">
        <v>21.3</v>
      </c>
      <c r="W628" t="inlineStr">
        <is>
          <t>0%</t>
        </is>
      </c>
      <c r="X628" t="inlineStr">
        <is>
          <t>31 : 69</t>
        </is>
      </c>
      <c r="Y628" t="n">
        <v>721</v>
      </c>
      <c r="Z628" t="n">
        <v>1001</v>
      </c>
      <c r="AA628" t="n">
        <v>30.45</v>
      </c>
      <c r="AB628" t="inlineStr">
        <is>
          <t>U0627</t>
        </is>
      </c>
      <c r="AC628" t="inlineStr">
        <is>
          <t>IN</t>
        </is>
      </c>
      <c r="AD628" t="n">
        <v>30.45</v>
      </c>
      <c r="AE628" t="n">
        <v>40.6</v>
      </c>
      <c r="AF628" t="n">
        <v>21.3</v>
      </c>
      <c r="AG628" t="inlineStr">
        <is>
          <t>1:21.3</t>
        </is>
      </c>
      <c r="AH628" t="inlineStr">
        <is>
          <t>0%</t>
        </is>
      </c>
      <c r="AI628" t="n">
        <v>17.8</v>
      </c>
      <c r="AJ628" t="n">
        <v>18.62</v>
      </c>
    </row>
    <row r="629">
      <c r="A629" t="inlineStr">
        <is>
          <t>Jagiellonian University</t>
        </is>
      </c>
      <c r="B629" t="inlineStr">
        <is>
          <t>Poland</t>
        </is>
      </c>
      <c r="C629" t="inlineStr">
        <is>
          <t>312</t>
        </is>
      </c>
      <c r="D629" t="n">
        <v>35</v>
      </c>
      <c r="E629" t="n">
        <v>37.8</v>
      </c>
      <c r="F629" t="n">
        <v>46.4</v>
      </c>
      <c r="G629" t="n">
        <v>65.09999999999999</v>
      </c>
      <c r="H629" t="n">
        <v>5.5</v>
      </c>
      <c r="I629" t="n">
        <v>5.7</v>
      </c>
      <c r="J629" t="n">
        <v>15.4</v>
      </c>
      <c r="K629" t="n">
        <v>88.59999999999999</v>
      </c>
      <c r="L629" t="n">
        <v>51.3</v>
      </c>
      <c r="M629" t="n">
        <v>35.4</v>
      </c>
      <c r="N629" t="inlineStr">
        <is>
          <t>601–800</t>
        </is>
      </c>
      <c r="O629" t="inlineStr">
        <is>
          <t>37.0–41.8</t>
        </is>
      </c>
      <c r="P629" t="n">
        <v>38.4</v>
      </c>
      <c r="Q629" t="n">
        <v>29</v>
      </c>
      <c r="R629" t="n">
        <v>55.7</v>
      </c>
      <c r="S629" t="n">
        <v>46.7</v>
      </c>
      <c r="T629" t="n">
        <v>43.4</v>
      </c>
      <c r="U629" t="inlineStr">
        <is>
          <t>34,309</t>
        </is>
      </c>
      <c r="V629" t="n">
        <v>8.800000000000001</v>
      </c>
      <c r="W629" t="inlineStr">
        <is>
          <t>11%</t>
        </is>
      </c>
      <c r="X629" t="inlineStr">
        <is>
          <t>67 : 33</t>
        </is>
      </c>
      <c r="Y629" t="n">
        <v>312</v>
      </c>
      <c r="Z629" t="n">
        <v>601</v>
      </c>
      <c r="AA629" t="n">
        <v>39.4</v>
      </c>
      <c r="AB629" t="inlineStr">
        <is>
          <t>U0628</t>
        </is>
      </c>
      <c r="AC629" t="inlineStr">
        <is>
          <t>PO</t>
        </is>
      </c>
      <c r="AD629" t="n">
        <v>35</v>
      </c>
      <c r="AE629" t="n">
        <v>5.5</v>
      </c>
      <c r="AF629" t="n">
        <v>8.800000000000001</v>
      </c>
      <c r="AG629" t="inlineStr">
        <is>
          <t>1:8.8</t>
        </is>
      </c>
      <c r="AH629" t="inlineStr">
        <is>
          <t>11%</t>
        </is>
      </c>
      <c r="AI629" t="n">
        <v>37.8</v>
      </c>
      <c r="AJ629" t="n">
        <v>20.75</v>
      </c>
    </row>
    <row r="630">
      <c r="A630" t="inlineStr">
        <is>
          <t>Jahangirnagar University</t>
        </is>
      </c>
      <c r="B630" t="inlineStr">
        <is>
          <t>Bangladesh</t>
        </is>
      </c>
      <c r="C630" t="inlineStr">
        <is>
          <t>1201-1400</t>
        </is>
      </c>
      <c r="D630" t="inlineStr"/>
      <c r="E630" t="n">
        <v>9.699999999999999</v>
      </c>
      <c r="F630" t="n">
        <v>12.7</v>
      </c>
      <c r="G630" t="n">
        <v>4</v>
      </c>
      <c r="H630" t="n">
        <v>5.7</v>
      </c>
      <c r="I630" t="inlineStr"/>
      <c r="J630" t="inlineStr"/>
      <c r="K630" t="n">
        <v>29.4</v>
      </c>
      <c r="L630" t="n">
        <v>3.8</v>
      </c>
      <c r="M630" t="n">
        <v>1.1</v>
      </c>
      <c r="N630" t="inlineStr">
        <is>
          <t>801–1000</t>
        </is>
      </c>
      <c r="O630" t="inlineStr">
        <is>
          <t>32.7–36.9</t>
        </is>
      </c>
      <c r="P630" t="n">
        <v>24.1</v>
      </c>
      <c r="Q630" t="n">
        <v>8.9</v>
      </c>
      <c r="R630" t="n">
        <v>71.90000000000001</v>
      </c>
      <c r="S630" t="n">
        <v>19.5</v>
      </c>
      <c r="T630" t="n">
        <v>49.7</v>
      </c>
      <c r="U630" t="inlineStr">
        <is>
          <t>12,649</t>
        </is>
      </c>
      <c r="V630" t="n">
        <v>17.3</v>
      </c>
      <c r="W630" t="inlineStr">
        <is>
          <t>0%</t>
        </is>
      </c>
      <c r="X630" t="inlineStr">
        <is>
          <t>49 : 51</t>
        </is>
      </c>
      <c r="Y630" t="n">
        <v>1201</v>
      </c>
      <c r="Z630" t="n">
        <v>801</v>
      </c>
      <c r="AA630" t="n">
        <v>34.8</v>
      </c>
      <c r="AB630" t="inlineStr">
        <is>
          <t>U0629</t>
        </is>
      </c>
      <c r="AC630" t="inlineStr">
        <is>
          <t>BA</t>
        </is>
      </c>
      <c r="AD630" t="n">
        <v>34.8</v>
      </c>
      <c r="AE630" t="n">
        <v>5.7</v>
      </c>
      <c r="AF630" t="n">
        <v>17.3</v>
      </c>
      <c r="AG630" t="inlineStr">
        <is>
          <t>1:17.3</t>
        </is>
      </c>
      <c r="AH630" t="inlineStr">
        <is>
          <t>0%</t>
        </is>
      </c>
      <c r="AI630" t="n">
        <v>9.699999999999999</v>
      </c>
      <c r="AJ630" t="n">
        <v>11.8</v>
      </c>
    </row>
    <row r="631">
      <c r="A631" t="inlineStr">
        <is>
          <t>James Cook University</t>
        </is>
      </c>
      <c r="B631" t="inlineStr">
        <is>
          <t>Australia</t>
        </is>
      </c>
      <c r="C631" t="inlineStr">
        <is>
          <t>445</t>
        </is>
      </c>
      <c r="D631" t="n">
        <v>26.7</v>
      </c>
      <c r="E631" t="n">
        <v>14.4</v>
      </c>
      <c r="F631" t="n">
        <v>6.5</v>
      </c>
      <c r="G631" t="n">
        <v>17.5</v>
      </c>
      <c r="H631" t="n">
        <v>46.9</v>
      </c>
      <c r="I631" t="n">
        <v>36.7</v>
      </c>
      <c r="J631" t="n">
        <v>16</v>
      </c>
      <c r="K631" t="n">
        <v>76</v>
      </c>
      <c r="L631" t="n">
        <v>6.7</v>
      </c>
      <c r="M631" t="n">
        <v>88.90000000000001</v>
      </c>
      <c r="N631" t="inlineStr">
        <is>
          <t>351–400</t>
        </is>
      </c>
      <c r="O631" t="inlineStr">
        <is>
          <t>49.1–51.0</t>
        </is>
      </c>
      <c r="P631" t="n">
        <v>28.3</v>
      </c>
      <c r="Q631" t="n">
        <v>30.9</v>
      </c>
      <c r="R631" t="n">
        <v>79.59999999999999</v>
      </c>
      <c r="S631" t="n">
        <v>58.9</v>
      </c>
      <c r="T631" t="n">
        <v>77.7</v>
      </c>
      <c r="U631" t="inlineStr">
        <is>
          <t>9,759</t>
        </is>
      </c>
      <c r="V631" t="n">
        <v>17.3</v>
      </c>
      <c r="W631" t="inlineStr">
        <is>
          <t>9%</t>
        </is>
      </c>
      <c r="X631" t="inlineStr">
        <is>
          <t>66 : 34</t>
        </is>
      </c>
      <c r="Y631" t="n">
        <v>445</v>
      </c>
      <c r="Z631" t="n">
        <v>351</v>
      </c>
      <c r="AA631" t="n">
        <v>50.05</v>
      </c>
      <c r="AB631" t="inlineStr">
        <is>
          <t>U0630</t>
        </is>
      </c>
      <c r="AC631" t="inlineStr">
        <is>
          <t>AU</t>
        </is>
      </c>
      <c r="AD631" t="n">
        <v>26.7</v>
      </c>
      <c r="AE631" t="n">
        <v>46.9</v>
      </c>
      <c r="AF631" t="n">
        <v>17.3</v>
      </c>
      <c r="AG631" t="inlineStr">
        <is>
          <t>1:17.3</t>
        </is>
      </c>
      <c r="AH631" t="inlineStr">
        <is>
          <t>9%</t>
        </is>
      </c>
      <c r="AI631" t="n">
        <v>14.4</v>
      </c>
      <c r="AJ631" t="n">
        <v>42.59</v>
      </c>
    </row>
    <row r="632">
      <c r="A632" t="inlineStr">
        <is>
          <t>Jamia Hamdard</t>
        </is>
      </c>
      <c r="B632" t="inlineStr">
        <is>
          <t>India</t>
        </is>
      </c>
      <c r="C632" t="inlineStr">
        <is>
          <t>1201-1400</t>
        </is>
      </c>
      <c r="D632" t="inlineStr"/>
      <c r="E632" t="n">
        <v>5.1</v>
      </c>
      <c r="F632" t="n">
        <v>1.8</v>
      </c>
      <c r="G632" t="n">
        <v>8.4</v>
      </c>
      <c r="H632" t="n">
        <v>12.6</v>
      </c>
      <c r="I632" t="inlineStr"/>
      <c r="J632" t="n">
        <v>2.1</v>
      </c>
      <c r="K632" t="n">
        <v>12.7</v>
      </c>
      <c r="L632" t="n">
        <v>1.9</v>
      </c>
      <c r="M632" t="n">
        <v>1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n">
        <v>1201</v>
      </c>
      <c r="Z632" t="inlineStr"/>
      <c r="AA632" t="inlineStr"/>
      <c r="AB632" t="inlineStr">
        <is>
          <t>U0631</t>
        </is>
      </c>
      <c r="AC632" t="inlineStr">
        <is>
          <t>IN</t>
        </is>
      </c>
      <c r="AD632" t="inlineStr"/>
      <c r="AE632" t="n">
        <v>12.6</v>
      </c>
      <c r="AF632" t="inlineStr"/>
      <c r="AG632" t="inlineStr"/>
      <c r="AH632" t="inlineStr"/>
      <c r="AI632" t="n">
        <v>5.1</v>
      </c>
      <c r="AJ632" t="n">
        <v>17.21</v>
      </c>
    </row>
    <row r="633">
      <c r="A633" t="inlineStr">
        <is>
          <t>Jamia Hamdard University</t>
        </is>
      </c>
      <c r="B633" t="inlineStr">
        <is>
          <t>India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>
        <is>
          <t>601–800</t>
        </is>
      </c>
      <c r="O633" t="inlineStr">
        <is>
          <t>37.0–41.8</t>
        </is>
      </c>
      <c r="P633" t="n">
        <v>21.1</v>
      </c>
      <c r="Q633" t="n">
        <v>15</v>
      </c>
      <c r="R633" t="n">
        <v>74.8</v>
      </c>
      <c r="S633" t="n">
        <v>40.4</v>
      </c>
      <c r="T633" t="n">
        <v>41.9</v>
      </c>
      <c r="U633" t="inlineStr">
        <is>
          <t>9,831</t>
        </is>
      </c>
      <c r="V633" t="n">
        <v>18.5</v>
      </c>
      <c r="W633" t="inlineStr">
        <is>
          <t>3%</t>
        </is>
      </c>
      <c r="X633" t="inlineStr">
        <is>
          <t>41 : 59</t>
        </is>
      </c>
      <c r="Y633" t="inlineStr"/>
      <c r="Z633" t="n">
        <v>601</v>
      </c>
      <c r="AA633" t="n">
        <v>39.4</v>
      </c>
      <c r="AB633" t="inlineStr">
        <is>
          <t>U0632</t>
        </is>
      </c>
      <c r="AC633" t="inlineStr">
        <is>
          <t>IN</t>
        </is>
      </c>
      <c r="AD633" t="n">
        <v>39.4</v>
      </c>
      <c r="AE633" t="n">
        <v>74.8</v>
      </c>
      <c r="AF633" t="n">
        <v>18.5</v>
      </c>
      <c r="AG633" t="inlineStr">
        <is>
          <t>1:18.5</t>
        </is>
      </c>
      <c r="AH633" t="inlineStr">
        <is>
          <t>3%</t>
        </is>
      </c>
      <c r="AI633" t="inlineStr"/>
      <c r="AJ633" t="n">
        <v>34.05</v>
      </c>
    </row>
    <row r="634">
      <c r="A634" t="inlineStr">
        <is>
          <t>Jamia Millia Islamia</t>
        </is>
      </c>
      <c r="B634" t="inlineStr">
        <is>
          <t>India</t>
        </is>
      </c>
      <c r="C634" t="inlineStr">
        <is>
          <t>851-900</t>
        </is>
      </c>
      <c r="D634" t="inlineStr"/>
      <c r="E634" t="n">
        <v>9.300000000000001</v>
      </c>
      <c r="F634" t="n">
        <v>3.1</v>
      </c>
      <c r="G634" t="n">
        <v>33.6</v>
      </c>
      <c r="H634" t="n">
        <v>26</v>
      </c>
      <c r="I634" t="n">
        <v>3.2</v>
      </c>
      <c r="J634" t="n">
        <v>5.2</v>
      </c>
      <c r="K634" t="n">
        <v>43</v>
      </c>
      <c r="L634" t="n">
        <v>1.9</v>
      </c>
      <c r="M634" t="n">
        <v>1.6</v>
      </c>
      <c r="N634" t="inlineStr">
        <is>
          <t>501–600</t>
        </is>
      </c>
      <c r="O634" t="inlineStr">
        <is>
          <t>41.9–45.3</t>
        </is>
      </c>
      <c r="P634" t="n">
        <v>41.1</v>
      </c>
      <c r="Q634" t="n">
        <v>14.4</v>
      </c>
      <c r="R634" t="n">
        <v>75.7</v>
      </c>
      <c r="S634" t="n">
        <v>37.5</v>
      </c>
      <c r="T634" t="n">
        <v>39.7</v>
      </c>
      <c r="U634" t="inlineStr">
        <is>
          <t>10,235</t>
        </is>
      </c>
      <c r="V634" t="n">
        <v>11.2</v>
      </c>
      <c r="W634" t="inlineStr">
        <is>
          <t>4%</t>
        </is>
      </c>
      <c r="X634" t="inlineStr">
        <is>
          <t>52 : 48</t>
        </is>
      </c>
      <c r="Y634" t="n">
        <v>851</v>
      </c>
      <c r="Z634" t="n">
        <v>501</v>
      </c>
      <c r="AA634" t="n">
        <v>43.59999999999999</v>
      </c>
      <c r="AB634" t="inlineStr">
        <is>
          <t>U0633</t>
        </is>
      </c>
      <c r="AC634" t="inlineStr">
        <is>
          <t>IN</t>
        </is>
      </c>
      <c r="AD634" t="n">
        <v>43.59999999999999</v>
      </c>
      <c r="AE634" t="n">
        <v>26</v>
      </c>
      <c r="AF634" t="n">
        <v>11.2</v>
      </c>
      <c r="AG634" t="inlineStr">
        <is>
          <t>1:11.2</t>
        </is>
      </c>
      <c r="AH634" t="inlineStr">
        <is>
          <t>4%</t>
        </is>
      </c>
      <c r="AI634" t="n">
        <v>9.300000000000001</v>
      </c>
      <c r="AJ634" t="n">
        <v>18.42</v>
      </c>
    </row>
    <row r="635">
      <c r="A635" t="inlineStr">
        <is>
          <t>Jan Evangelista Purkyně University</t>
        </is>
      </c>
      <c r="B635" t="inlineStr">
        <is>
          <t>Czech Republic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>
        <is>
          <t>1501+</t>
        </is>
      </c>
      <c r="O635" t="inlineStr">
        <is>
          <t>9.7–22.7</t>
        </is>
      </c>
      <c r="P635" t="n">
        <v>16.1</v>
      </c>
      <c r="Q635" t="n">
        <v>13.6</v>
      </c>
      <c r="R635" t="n">
        <v>15.3</v>
      </c>
      <c r="S635" t="n">
        <v>18</v>
      </c>
      <c r="T635" t="n">
        <v>38.2</v>
      </c>
      <c r="U635" t="inlineStr">
        <is>
          <t>7,887</t>
        </is>
      </c>
      <c r="V635" t="n">
        <v>17.7</v>
      </c>
      <c r="W635" t="inlineStr">
        <is>
          <t>3%</t>
        </is>
      </c>
      <c r="X635" t="inlineStr">
        <is>
          <t>66 : 34</t>
        </is>
      </c>
      <c r="Y635" t="inlineStr"/>
      <c r="Z635" t="n">
        <v>1501</v>
      </c>
      <c r="AA635" t="n">
        <v>16.2</v>
      </c>
      <c r="AB635" t="inlineStr">
        <is>
          <t>U0634</t>
        </is>
      </c>
      <c r="AC635" t="inlineStr">
        <is>
          <t>CZ</t>
        </is>
      </c>
      <c r="AD635" t="n">
        <v>16.2</v>
      </c>
      <c r="AE635" t="n">
        <v>15.3</v>
      </c>
      <c r="AF635" t="n">
        <v>17.7</v>
      </c>
      <c r="AG635" t="inlineStr">
        <is>
          <t>1:17.7</t>
        </is>
      </c>
      <c r="AH635" t="inlineStr">
        <is>
          <t>3%</t>
        </is>
      </c>
      <c r="AI635" t="inlineStr"/>
      <c r="AJ635" t="n">
        <v>14.39</v>
      </c>
    </row>
    <row r="636">
      <c r="A636" t="inlineStr">
        <is>
          <t>Jan Kochanowski University in Kielce</t>
        </is>
      </c>
      <c r="B636" t="inlineStr">
        <is>
          <t>Poland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>
        <is>
          <t>1501+</t>
        </is>
      </c>
      <c r="O636" t="inlineStr">
        <is>
          <t>9.7–22.7</t>
        </is>
      </c>
      <c r="P636" t="n">
        <v>21.3</v>
      </c>
      <c r="Q636" t="n">
        <v>12.3</v>
      </c>
      <c r="R636" t="n">
        <v>11.9</v>
      </c>
      <c r="S636" t="n">
        <v>18.4</v>
      </c>
      <c r="T636" t="n">
        <v>27.9</v>
      </c>
      <c r="U636" t="inlineStr">
        <is>
          <t>10,010</t>
        </is>
      </c>
      <c r="V636" t="n">
        <v>11.2</v>
      </c>
      <c r="W636" t="inlineStr">
        <is>
          <t>3%</t>
        </is>
      </c>
      <c r="X636" t="inlineStr">
        <is>
          <t>72 : 28</t>
        </is>
      </c>
      <c r="Y636" t="inlineStr"/>
      <c r="Z636" t="n">
        <v>1501</v>
      </c>
      <c r="AA636" t="n">
        <v>16.2</v>
      </c>
      <c r="AB636" t="inlineStr">
        <is>
          <t>U0635</t>
        </is>
      </c>
      <c r="AC636" t="inlineStr">
        <is>
          <t>PO</t>
        </is>
      </c>
      <c r="AD636" t="n">
        <v>16.2</v>
      </c>
      <c r="AE636" t="n">
        <v>11.9</v>
      </c>
      <c r="AF636" t="n">
        <v>11.2</v>
      </c>
      <c r="AG636" t="inlineStr">
        <is>
          <t>1:11.2</t>
        </is>
      </c>
      <c r="AH636" t="inlineStr">
        <is>
          <t>3%</t>
        </is>
      </c>
      <c r="AI636" t="inlineStr"/>
      <c r="AJ636" t="n">
        <v>10.19</v>
      </c>
    </row>
    <row r="637">
      <c r="A637" t="inlineStr">
        <is>
          <t>Jaume I University</t>
        </is>
      </c>
      <c r="B637" t="inlineStr">
        <is>
          <t>Spain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801–1000</t>
        </is>
      </c>
      <c r="O637" t="inlineStr">
        <is>
          <t>32.7–36.9</t>
        </is>
      </c>
      <c r="P637" t="n">
        <v>23</v>
      </c>
      <c r="Q637" t="n">
        <v>20.5</v>
      </c>
      <c r="R637" t="n">
        <v>56.5</v>
      </c>
      <c r="S637" t="n">
        <v>47.7</v>
      </c>
      <c r="T637" t="n">
        <v>45.7</v>
      </c>
      <c r="U637" t="inlineStr">
        <is>
          <t>12,194</t>
        </is>
      </c>
      <c r="V637" t="n">
        <v>15.2</v>
      </c>
      <c r="W637" t="inlineStr">
        <is>
          <t>10%</t>
        </is>
      </c>
      <c r="X637" t="inlineStr">
        <is>
          <t>59 : 41</t>
        </is>
      </c>
      <c r="Y637" t="inlineStr"/>
      <c r="Z637" t="n">
        <v>801</v>
      </c>
      <c r="AA637" t="n">
        <v>34.8</v>
      </c>
      <c r="AB637" t="inlineStr">
        <is>
          <t>U0636</t>
        </is>
      </c>
      <c r="AC637" t="inlineStr">
        <is>
          <t>SP</t>
        </is>
      </c>
      <c r="AD637" t="n">
        <v>34.8</v>
      </c>
      <c r="AE637" t="n">
        <v>56.5</v>
      </c>
      <c r="AF637" t="n">
        <v>15.2</v>
      </c>
      <c r="AG637" t="inlineStr">
        <is>
          <t>1:15.2</t>
        </is>
      </c>
      <c r="AH637" t="inlineStr">
        <is>
          <t>10%</t>
        </is>
      </c>
      <c r="AI637" t="inlineStr"/>
      <c r="AJ637" t="n">
        <v>32.31</v>
      </c>
    </row>
    <row r="638">
      <c r="A638" t="inlineStr">
        <is>
          <t>Jawaharlal Nehru Technological University Anantapur (JNTUA)</t>
        </is>
      </c>
      <c r="B638" t="inlineStr">
        <is>
          <t>India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801–1000</t>
        </is>
      </c>
      <c r="O638" t="inlineStr">
        <is>
          <t>32.7–36.9</t>
        </is>
      </c>
      <c r="P638" t="n">
        <v>28.9</v>
      </c>
      <c r="Q638" t="n">
        <v>14.1</v>
      </c>
      <c r="R638" t="n">
        <v>60.7</v>
      </c>
      <c r="S638" t="n">
        <v>17.5</v>
      </c>
      <c r="T638" t="n">
        <v>19.6</v>
      </c>
      <c r="U638" t="inlineStr">
        <is>
          <t>6,175</t>
        </is>
      </c>
      <c r="V638" t="n">
        <v>18.1</v>
      </c>
      <c r="W638" t="inlineStr">
        <is>
          <t>0%</t>
        </is>
      </c>
      <c r="X638" t="inlineStr">
        <is>
          <t>41 : 59</t>
        </is>
      </c>
      <c r="Y638" t="inlineStr"/>
      <c r="Z638" t="n">
        <v>801</v>
      </c>
      <c r="AA638" t="n">
        <v>34.8</v>
      </c>
      <c r="AB638" t="inlineStr">
        <is>
          <t>U0637</t>
        </is>
      </c>
      <c r="AC638" t="inlineStr">
        <is>
          <t>IN</t>
        </is>
      </c>
      <c r="AD638" t="n">
        <v>34.8</v>
      </c>
      <c r="AE638" t="n">
        <v>60.7</v>
      </c>
      <c r="AF638" t="n">
        <v>18.1</v>
      </c>
      <c r="AG638" t="inlineStr">
        <is>
          <t>1:18.1</t>
        </is>
      </c>
      <c r="AH638" t="inlineStr">
        <is>
          <t>0%</t>
        </is>
      </c>
      <c r="AI638" t="inlineStr"/>
      <c r="AJ638" t="n">
        <v>23.92</v>
      </c>
    </row>
    <row r="639">
      <c r="A639" t="inlineStr">
        <is>
          <t>Jawaharlal Nehru University</t>
        </is>
      </c>
      <c r="B639" t="inlineStr">
        <is>
          <t>India</t>
        </is>
      </c>
      <c r="C639" t="inlineStr">
        <is>
          <t>580</t>
        </is>
      </c>
      <c r="D639" t="n">
        <v>21.3</v>
      </c>
      <c r="E639" t="n">
        <v>31</v>
      </c>
      <c r="F639" t="n">
        <v>14.4</v>
      </c>
      <c r="G639" t="n">
        <v>10</v>
      </c>
      <c r="H639" t="n">
        <v>28.9</v>
      </c>
      <c r="I639" t="inlineStr"/>
      <c r="J639" t="n">
        <v>1.3</v>
      </c>
      <c r="K639" t="n">
        <v>47.4</v>
      </c>
      <c r="L639" t="n">
        <v>14.7</v>
      </c>
      <c r="M639" t="n">
        <v>19.7</v>
      </c>
      <c r="N639" t="inlineStr">
        <is>
          <t>601–800</t>
        </is>
      </c>
      <c r="O639" t="inlineStr">
        <is>
          <t>37.0–41.8</t>
        </is>
      </c>
      <c r="P639" t="n">
        <v>41.9</v>
      </c>
      <c r="Q639" t="n">
        <v>24.3</v>
      </c>
      <c r="R639" t="n">
        <v>51.8</v>
      </c>
      <c r="S639" t="n">
        <v>33.9</v>
      </c>
      <c r="T639" t="n">
        <v>23.7</v>
      </c>
      <c r="U639" t="inlineStr">
        <is>
          <t>9,737</t>
        </is>
      </c>
      <c r="V639" t="n">
        <v>16.1</v>
      </c>
      <c r="W639" t="inlineStr">
        <is>
          <t>1%</t>
        </is>
      </c>
      <c r="X639" t="inlineStr">
        <is>
          <t>45 : 55</t>
        </is>
      </c>
      <c r="Y639" t="n">
        <v>580</v>
      </c>
      <c r="Z639" t="n">
        <v>601</v>
      </c>
      <c r="AA639" t="n">
        <v>39.4</v>
      </c>
      <c r="AB639" t="inlineStr">
        <is>
          <t>U0638</t>
        </is>
      </c>
      <c r="AC639" t="inlineStr">
        <is>
          <t>IN</t>
        </is>
      </c>
      <c r="AD639" t="n">
        <v>21.3</v>
      </c>
      <c r="AE639" t="n">
        <v>28.9</v>
      </c>
      <c r="AF639" t="n">
        <v>16.1</v>
      </c>
      <c r="AG639" t="inlineStr">
        <is>
          <t>1:16.1</t>
        </is>
      </c>
      <c r="AH639" t="inlineStr">
        <is>
          <t>1%</t>
        </is>
      </c>
      <c r="AI639" t="n">
        <v>31</v>
      </c>
      <c r="AJ639" t="n">
        <v>20.62</v>
      </c>
    </row>
    <row r="640">
      <c r="A640" t="inlineStr">
        <is>
          <t>Jaypee University of Information Technology</t>
        </is>
      </c>
      <c r="B640" t="inlineStr">
        <is>
          <t>India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801–1000</t>
        </is>
      </c>
      <c r="O640" t="inlineStr">
        <is>
          <t>32.7–36.9</t>
        </is>
      </c>
      <c r="P640" t="n">
        <v>23.2</v>
      </c>
      <c r="Q640" t="n">
        <v>16.5</v>
      </c>
      <c r="R640" t="n">
        <v>70.59999999999999</v>
      </c>
      <c r="S640" t="n">
        <v>22.5</v>
      </c>
      <c r="T640" t="n">
        <v>23.8</v>
      </c>
      <c r="U640" t="inlineStr">
        <is>
          <t>1,851</t>
        </is>
      </c>
      <c r="V640" t="n">
        <v>18.5</v>
      </c>
      <c r="W640" t="inlineStr">
        <is>
          <t>2%</t>
        </is>
      </c>
      <c r="X640" t="inlineStr">
        <is>
          <t>27 : 73</t>
        </is>
      </c>
      <c r="Y640" t="inlineStr"/>
      <c r="Z640" t="n">
        <v>801</v>
      </c>
      <c r="AA640" t="n">
        <v>34.8</v>
      </c>
      <c r="AB640" t="inlineStr">
        <is>
          <t>U0639</t>
        </is>
      </c>
      <c r="AC640" t="inlineStr">
        <is>
          <t>IN</t>
        </is>
      </c>
      <c r="AD640" t="n">
        <v>34.8</v>
      </c>
      <c r="AE640" t="n">
        <v>70.59999999999999</v>
      </c>
      <c r="AF640" t="n">
        <v>18.5</v>
      </c>
      <c r="AG640" t="inlineStr">
        <is>
          <t>1:18.5</t>
        </is>
      </c>
      <c r="AH640" t="inlineStr">
        <is>
          <t>2%</t>
        </is>
      </c>
      <c r="AI640" t="inlineStr"/>
      <c r="AJ640" t="n">
        <v>29.19</v>
      </c>
    </row>
    <row r="641">
      <c r="A641" t="inlineStr">
        <is>
          <t>Jazan University</t>
        </is>
      </c>
      <c r="B641" t="inlineStr">
        <is>
          <t>Saudi Arabia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>
        <is>
          <t>801–1000</t>
        </is>
      </c>
      <c r="O641" t="inlineStr">
        <is>
          <t>32.7–36.9</t>
        </is>
      </c>
      <c r="P641" t="n">
        <v>21</v>
      </c>
      <c r="Q641" t="n">
        <v>9.9</v>
      </c>
      <c r="R641" t="n">
        <v>67.3</v>
      </c>
      <c r="S641" t="n">
        <v>19.4</v>
      </c>
      <c r="T641" t="n">
        <v>77.40000000000001</v>
      </c>
      <c r="U641" t="inlineStr">
        <is>
          <t>23,176</t>
        </is>
      </c>
      <c r="V641" t="n">
        <v>12.4</v>
      </c>
      <c r="W641" t="inlineStr">
        <is>
          <t>4%</t>
        </is>
      </c>
      <c r="X641" t="inlineStr">
        <is>
          <t>60 : 40</t>
        </is>
      </c>
      <c r="Y641" t="inlineStr"/>
      <c r="Z641" t="n">
        <v>801</v>
      </c>
      <c r="AA641" t="n">
        <v>34.8</v>
      </c>
      <c r="AB641" t="inlineStr">
        <is>
          <t>U0640</t>
        </is>
      </c>
      <c r="AC641" t="inlineStr">
        <is>
          <t>SA</t>
        </is>
      </c>
      <c r="AD641" t="n">
        <v>34.8</v>
      </c>
      <c r="AE641" t="n">
        <v>67.3</v>
      </c>
      <c r="AF641" t="n">
        <v>12.4</v>
      </c>
      <c r="AG641" t="inlineStr">
        <is>
          <t>1:12.4</t>
        </is>
      </c>
      <c r="AH641" t="inlineStr">
        <is>
          <t>4%</t>
        </is>
      </c>
      <c r="AI641" t="inlineStr"/>
      <c r="AJ641" t="n">
        <v>37.69</v>
      </c>
    </row>
    <row r="642">
      <c r="A642" t="inlineStr">
        <is>
          <t>Jean Moulin University – Lyon 3</t>
        </is>
      </c>
      <c r="B642" t="inlineStr">
        <is>
          <t>France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>
        <is>
          <t>1501+</t>
        </is>
      </c>
      <c r="O642" t="inlineStr">
        <is>
          <t>9.7–22.7</t>
        </is>
      </c>
      <c r="P642" t="n">
        <v>14.3</v>
      </c>
      <c r="Q642" t="n">
        <v>13.6</v>
      </c>
      <c r="R642" t="n">
        <v>13.6</v>
      </c>
      <c r="S642" t="n">
        <v>27.5</v>
      </c>
      <c r="T642" t="n">
        <v>60.8</v>
      </c>
      <c r="U642" t="inlineStr">
        <is>
          <t>27,655</t>
        </is>
      </c>
      <c r="V642" t="n">
        <v>39</v>
      </c>
      <c r="W642" t="inlineStr">
        <is>
          <t>18%</t>
        </is>
      </c>
      <c r="X642" t="inlineStr">
        <is>
          <t>66 : 34</t>
        </is>
      </c>
      <c r="Y642" t="inlineStr"/>
      <c r="Z642" t="n">
        <v>1501</v>
      </c>
      <c r="AA642" t="n">
        <v>16.2</v>
      </c>
      <c r="AB642" t="inlineStr">
        <is>
          <t>U0641</t>
        </is>
      </c>
      <c r="AC642" t="inlineStr">
        <is>
          <t>FR</t>
        </is>
      </c>
      <c r="AD642" t="n">
        <v>16.2</v>
      </c>
      <c r="AE642" t="n">
        <v>13.6</v>
      </c>
      <c r="AF642" t="n">
        <v>39</v>
      </c>
      <c r="AG642" t="inlineStr">
        <is>
          <t>1:39.0</t>
        </is>
      </c>
      <c r="AH642" t="inlineStr">
        <is>
          <t>18%</t>
        </is>
      </c>
      <c r="AI642" t="inlineStr"/>
      <c r="AJ642" t="n">
        <v>19.35</v>
      </c>
    </row>
    <row r="643">
      <c r="A643" t="inlineStr">
        <is>
          <t xml:space="preserve">Jeju National University </t>
        </is>
      </c>
      <c r="B643" t="inlineStr">
        <is>
          <t>South Korea</t>
        </is>
      </c>
      <c r="C643" t="inlineStr">
        <is>
          <t>1201-1400</t>
        </is>
      </c>
      <c r="D643" t="inlineStr"/>
      <c r="E643" t="n">
        <v>3.6</v>
      </c>
      <c r="F643" t="n">
        <v>1.9</v>
      </c>
      <c r="G643" t="n">
        <v>30</v>
      </c>
      <c r="H643" t="n">
        <v>7</v>
      </c>
      <c r="I643" t="n">
        <v>7.5</v>
      </c>
      <c r="J643" t="n">
        <v>5.5</v>
      </c>
      <c r="K643" t="n">
        <v>23.1</v>
      </c>
      <c r="L643" t="n">
        <v>1.8</v>
      </c>
      <c r="M643" t="n">
        <v>15</v>
      </c>
      <c r="N643" t="inlineStr">
        <is>
          <t>1201–1500</t>
        </is>
      </c>
      <c r="O643" t="inlineStr">
        <is>
          <t>22.8–28.2</t>
        </is>
      </c>
      <c r="P643" t="n">
        <v>27.4</v>
      </c>
      <c r="Q643" t="n">
        <v>19.2</v>
      </c>
      <c r="R643" t="n">
        <v>35</v>
      </c>
      <c r="S643" t="n">
        <v>38.2</v>
      </c>
      <c r="T643" t="n">
        <v>31.2</v>
      </c>
      <c r="U643" t="inlineStr">
        <is>
          <t>11,376</t>
        </is>
      </c>
      <c r="V643" t="n">
        <v>17.2</v>
      </c>
      <c r="W643" t="inlineStr">
        <is>
          <t>6%</t>
        </is>
      </c>
      <c r="X643" t="inlineStr">
        <is>
          <t>53 : 47</t>
        </is>
      </c>
      <c r="Y643" t="n">
        <v>1201</v>
      </c>
      <c r="Z643" t="n">
        <v>1201</v>
      </c>
      <c r="AA643" t="n">
        <v>25.5</v>
      </c>
      <c r="AB643" t="inlineStr">
        <is>
          <t>U0642</t>
        </is>
      </c>
      <c r="AC643" t="inlineStr">
        <is>
          <t>SO</t>
        </is>
      </c>
      <c r="AD643" t="n">
        <v>25.5</v>
      </c>
      <c r="AE643" t="n">
        <v>7</v>
      </c>
      <c r="AF643" t="n">
        <v>17.2</v>
      </c>
      <c r="AG643" t="inlineStr">
        <is>
          <t>1:17.2</t>
        </is>
      </c>
      <c r="AH643" t="inlineStr">
        <is>
          <t>6%</t>
        </is>
      </c>
      <c r="AI643" t="n">
        <v>3.6</v>
      </c>
      <c r="AJ643" t="n">
        <v>13.12</v>
      </c>
    </row>
    <row r="644">
      <c r="A644" t="inlineStr">
        <is>
          <t>Jember University</t>
        </is>
      </c>
      <c r="B644" t="inlineStr">
        <is>
          <t>Indonesia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1501+</t>
        </is>
      </c>
      <c r="O644" t="inlineStr">
        <is>
          <t>9.7–22.7</t>
        </is>
      </c>
      <c r="P644" t="n">
        <v>11.1</v>
      </c>
      <c r="Q644" t="n">
        <v>9.1</v>
      </c>
      <c r="R644" t="n">
        <v>23</v>
      </c>
      <c r="S644" t="n">
        <v>18.1</v>
      </c>
      <c r="T644" t="n">
        <v>21.3</v>
      </c>
      <c r="U644" t="inlineStr">
        <is>
          <t>36,654</t>
        </is>
      </c>
      <c r="V644" t="n">
        <v>30.2</v>
      </c>
      <c r="W644" t="inlineStr">
        <is>
          <t>0%</t>
        </is>
      </c>
      <c r="X644" t="inlineStr">
        <is>
          <t>66 : 34</t>
        </is>
      </c>
      <c r="Y644" t="inlineStr"/>
      <c r="Z644" t="n">
        <v>1501</v>
      </c>
      <c r="AA644" t="n">
        <v>16.2</v>
      </c>
      <c r="AB644" t="inlineStr">
        <is>
          <t>U0643</t>
        </is>
      </c>
      <c r="AC644" t="inlineStr">
        <is>
          <t>IN</t>
        </is>
      </c>
      <c r="AD644" t="n">
        <v>16.2</v>
      </c>
      <c r="AE644" t="n">
        <v>23</v>
      </c>
      <c r="AF644" t="n">
        <v>30.2</v>
      </c>
      <c r="AG644" t="inlineStr">
        <is>
          <t>1:30.2</t>
        </is>
      </c>
      <c r="AH644" t="inlineStr">
        <is>
          <t>0%</t>
        </is>
      </c>
      <c r="AI644" t="inlineStr"/>
      <c r="AJ644" t="n">
        <v>10.28</v>
      </c>
    </row>
    <row r="645">
      <c r="A645" t="inlineStr">
        <is>
          <t>Jeonbuk National University</t>
        </is>
      </c>
      <c r="B645" t="inlineStr">
        <is>
          <t>South Korea</t>
        </is>
      </c>
      <c r="C645" t="inlineStr">
        <is>
          <t>681-690</t>
        </is>
      </c>
      <c r="D645" t="inlineStr"/>
      <c r="E645" t="n">
        <v>15.6</v>
      </c>
      <c r="F645" t="n">
        <v>11.1</v>
      </c>
      <c r="G645" t="n">
        <v>61.3</v>
      </c>
      <c r="H645" t="n">
        <v>10.6</v>
      </c>
      <c r="I645" t="n">
        <v>7.8</v>
      </c>
      <c r="J645" t="n">
        <v>6.8</v>
      </c>
      <c r="K645" t="n">
        <v>35.3</v>
      </c>
      <c r="L645" t="n">
        <v>2.8</v>
      </c>
      <c r="M645" t="n">
        <v>48.5</v>
      </c>
      <c r="N645" t="inlineStr">
        <is>
          <t>801–1000</t>
        </is>
      </c>
      <c r="O645" t="inlineStr">
        <is>
          <t>32.7–36.9</t>
        </is>
      </c>
      <c r="P645" t="n">
        <v>30.2</v>
      </c>
      <c r="Q645" t="n">
        <v>27.3</v>
      </c>
      <c r="R645" t="n">
        <v>45</v>
      </c>
      <c r="S645" t="n">
        <v>68.09999999999999</v>
      </c>
      <c r="T645" t="n">
        <v>34.1</v>
      </c>
      <c r="U645" t="inlineStr">
        <is>
          <t>20,118</t>
        </is>
      </c>
      <c r="V645" t="n">
        <v>19.6</v>
      </c>
      <c r="W645" t="inlineStr">
        <is>
          <t>7%</t>
        </is>
      </c>
      <c r="X645" t="inlineStr">
        <is>
          <t>46 : 54</t>
        </is>
      </c>
      <c r="Y645" t="n">
        <v>681</v>
      </c>
      <c r="Z645" t="n">
        <v>801</v>
      </c>
      <c r="AA645" t="n">
        <v>34.8</v>
      </c>
      <c r="AB645" t="inlineStr">
        <is>
          <t>U0644</t>
        </is>
      </c>
      <c r="AC645" t="inlineStr">
        <is>
          <t>SO</t>
        </is>
      </c>
      <c r="AD645" t="n">
        <v>34.8</v>
      </c>
      <c r="AE645" t="n">
        <v>10.6</v>
      </c>
      <c r="AF645" t="n">
        <v>19.6</v>
      </c>
      <c r="AG645" t="inlineStr">
        <is>
          <t>1:19.6</t>
        </is>
      </c>
      <c r="AH645" t="inlineStr">
        <is>
          <t>7%</t>
        </is>
      </c>
      <c r="AI645" t="n">
        <v>15.6</v>
      </c>
      <c r="AJ645" t="n">
        <v>19.16</v>
      </c>
    </row>
    <row r="646">
      <c r="A646" t="inlineStr">
        <is>
          <t>Jianghan University</t>
        </is>
      </c>
      <c r="B646" t="inlineStr">
        <is>
          <t>China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>
        <is>
          <t>1501+</t>
        </is>
      </c>
      <c r="O646" t="inlineStr">
        <is>
          <t>9.7–22.7</t>
        </is>
      </c>
      <c r="P646" t="n">
        <v>16.7</v>
      </c>
      <c r="Q646" t="n">
        <v>9.199999999999999</v>
      </c>
      <c r="R646" t="n">
        <v>27.6</v>
      </c>
      <c r="S646" t="n">
        <v>33.6</v>
      </c>
      <c r="T646" t="n">
        <v>22</v>
      </c>
      <c r="U646" t="inlineStr">
        <is>
          <t>20,774</t>
        </is>
      </c>
      <c r="V646" t="n">
        <v>15.1</v>
      </c>
      <c r="W646" t="inlineStr">
        <is>
          <t>1%</t>
        </is>
      </c>
      <c r="X646" t="inlineStr">
        <is>
          <t>56 : 44</t>
        </is>
      </c>
      <c r="Y646" t="inlineStr"/>
      <c r="Z646" t="n">
        <v>1501</v>
      </c>
      <c r="AA646" t="n">
        <v>16.2</v>
      </c>
      <c r="AB646" t="inlineStr">
        <is>
          <t>U0645</t>
        </is>
      </c>
      <c r="AC646" t="inlineStr">
        <is>
          <t>CH</t>
        </is>
      </c>
      <c r="AD646" t="n">
        <v>16.2</v>
      </c>
      <c r="AE646" t="n">
        <v>27.6</v>
      </c>
      <c r="AF646" t="n">
        <v>15.1</v>
      </c>
      <c r="AG646" t="inlineStr">
        <is>
          <t>1:15.1</t>
        </is>
      </c>
      <c r="AH646" t="inlineStr">
        <is>
          <t>1%</t>
        </is>
      </c>
      <c r="AI646" t="inlineStr"/>
      <c r="AJ646" t="n">
        <v>11.9</v>
      </c>
    </row>
    <row r="647">
      <c r="A647" t="inlineStr">
        <is>
          <t>Jiangnan University</t>
        </is>
      </c>
      <c r="B647" t="inlineStr">
        <is>
          <t>China</t>
        </is>
      </c>
      <c r="C647" t="inlineStr">
        <is>
          <t>1001-1200</t>
        </is>
      </c>
      <c r="D647" t="inlineStr"/>
      <c r="E647" t="n">
        <v>4.4</v>
      </c>
      <c r="F647" t="n">
        <v>3.3</v>
      </c>
      <c r="G647" t="n">
        <v>20</v>
      </c>
      <c r="H647" t="n">
        <v>26.7</v>
      </c>
      <c r="I647" t="inlineStr"/>
      <c r="J647" t="inlineStr"/>
      <c r="K647" t="n">
        <v>44.4</v>
      </c>
      <c r="L647" t="n">
        <v>1.4</v>
      </c>
      <c r="M647" t="n">
        <v>1.2</v>
      </c>
      <c r="N647" t="inlineStr">
        <is>
          <t>801–1000</t>
        </is>
      </c>
      <c r="O647" t="inlineStr">
        <is>
          <t>32.7–36.9</t>
        </is>
      </c>
      <c r="P647" t="n">
        <v>24.7</v>
      </c>
      <c r="Q647" t="n">
        <v>22.4</v>
      </c>
      <c r="R647" t="n">
        <v>60.2</v>
      </c>
      <c r="S647" t="n">
        <v>76.59999999999999</v>
      </c>
      <c r="T647" t="n">
        <v>24</v>
      </c>
      <c r="U647" t="inlineStr">
        <is>
          <t>31,018</t>
        </is>
      </c>
      <c r="V647" t="n">
        <v>12.9</v>
      </c>
      <c r="W647" t="inlineStr">
        <is>
          <t>1%</t>
        </is>
      </c>
      <c r="X647" t="inlineStr"/>
      <c r="Y647" t="n">
        <v>1001</v>
      </c>
      <c r="Z647" t="n">
        <v>801</v>
      </c>
      <c r="AA647" t="n">
        <v>34.8</v>
      </c>
      <c r="AB647" t="inlineStr">
        <is>
          <t>U0646</t>
        </is>
      </c>
      <c r="AC647" t="inlineStr">
        <is>
          <t>CH</t>
        </is>
      </c>
      <c r="AD647" t="n">
        <v>34.8</v>
      </c>
      <c r="AE647" t="n">
        <v>26.7</v>
      </c>
      <c r="AF647" t="n">
        <v>12.9</v>
      </c>
      <c r="AG647" t="inlineStr">
        <is>
          <t>1:12.9</t>
        </is>
      </c>
      <c r="AH647" t="inlineStr">
        <is>
          <t>1%</t>
        </is>
      </c>
      <c r="AI647" t="n">
        <v>4.4</v>
      </c>
      <c r="AJ647" t="n">
        <v>19.03</v>
      </c>
    </row>
    <row r="648">
      <c r="A648" t="inlineStr">
        <is>
          <t>Jiangsu Normal University</t>
        </is>
      </c>
      <c r="B648" t="inlineStr">
        <is>
          <t>China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1201–1500</t>
        </is>
      </c>
      <c r="O648" t="inlineStr">
        <is>
          <t>22.8–28.2</t>
        </is>
      </c>
      <c r="P648" t="n">
        <v>16.3</v>
      </c>
      <c r="Q648" t="n">
        <v>12.9</v>
      </c>
      <c r="R648" t="n">
        <v>47.1</v>
      </c>
      <c r="S648" t="n">
        <v>23.9</v>
      </c>
      <c r="T648" t="n">
        <v>27.4</v>
      </c>
      <c r="U648" t="inlineStr">
        <is>
          <t>25,759</t>
        </is>
      </c>
      <c r="V648" t="n">
        <v>15</v>
      </c>
      <c r="W648" t="inlineStr">
        <is>
          <t>2%</t>
        </is>
      </c>
      <c r="X648" t="inlineStr"/>
      <c r="Y648" t="inlineStr"/>
      <c r="Z648" t="n">
        <v>1201</v>
      </c>
      <c r="AA648" t="n">
        <v>25.5</v>
      </c>
      <c r="AB648" t="inlineStr">
        <is>
          <t>U0647</t>
        </is>
      </c>
      <c r="AC648" t="inlineStr">
        <is>
          <t>CH</t>
        </is>
      </c>
      <c r="AD648" t="n">
        <v>25.5</v>
      </c>
      <c r="AE648" t="n">
        <v>47.1</v>
      </c>
      <c r="AF648" t="n">
        <v>15</v>
      </c>
      <c r="AG648" t="inlineStr">
        <is>
          <t>1:15.0</t>
        </is>
      </c>
      <c r="AH648" t="inlineStr">
        <is>
          <t>2%</t>
        </is>
      </c>
      <c r="AI648" t="inlineStr"/>
      <c r="AJ648" t="n">
        <v>21.05</v>
      </c>
    </row>
    <row r="649">
      <c r="A649" t="inlineStr">
        <is>
          <t>Jiangsu University</t>
        </is>
      </c>
      <c r="B649" t="inlineStr">
        <is>
          <t>China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601–800</t>
        </is>
      </c>
      <c r="O649" t="inlineStr">
        <is>
          <t>37.0–41.8</t>
        </is>
      </c>
      <c r="P649" t="n">
        <v>25.6</v>
      </c>
      <c r="Q649" t="n">
        <v>14.1</v>
      </c>
      <c r="R649" t="n">
        <v>77.5</v>
      </c>
      <c r="S649" t="n">
        <v>51.1</v>
      </c>
      <c r="T649" t="n">
        <v>55.1</v>
      </c>
      <c r="U649" t="inlineStr">
        <is>
          <t>35,258</t>
        </is>
      </c>
      <c r="V649" t="n">
        <v>9.4</v>
      </c>
      <c r="W649" t="inlineStr">
        <is>
          <t>6%</t>
        </is>
      </c>
      <c r="X649" t="inlineStr">
        <is>
          <t>43 : 57</t>
        </is>
      </c>
      <c r="Y649" t="inlineStr"/>
      <c r="Z649" t="n">
        <v>601</v>
      </c>
      <c r="AA649" t="n">
        <v>39.4</v>
      </c>
      <c r="AB649" t="inlineStr">
        <is>
          <t>U0648</t>
        </is>
      </c>
      <c r="AC649" t="inlineStr">
        <is>
          <t>CH</t>
        </is>
      </c>
      <c r="AD649" t="n">
        <v>39.4</v>
      </c>
      <c r="AE649" t="n">
        <v>77.5</v>
      </c>
      <c r="AF649" t="n">
        <v>9.4</v>
      </c>
      <c r="AG649" t="inlineStr">
        <is>
          <t>1:9.4</t>
        </is>
      </c>
      <c r="AH649" t="inlineStr">
        <is>
          <t>6%</t>
        </is>
      </c>
      <c r="AI649" t="inlineStr"/>
      <c r="AJ649" t="n">
        <v>37.59</v>
      </c>
    </row>
    <row r="650">
      <c r="A650" t="inlineStr">
        <is>
          <t>The Jikei University School of Medicine</t>
        </is>
      </c>
      <c r="B650" t="inlineStr">
        <is>
          <t>Japan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1201–1500</t>
        </is>
      </c>
      <c r="O650" t="inlineStr">
        <is>
          <t>22.8–28.2</t>
        </is>
      </c>
      <c r="P650" t="n">
        <v>30.1</v>
      </c>
      <c r="Q650" t="n">
        <v>10.8</v>
      </c>
      <c r="R650" t="n">
        <v>40.5</v>
      </c>
      <c r="S650" t="n">
        <v>42.6</v>
      </c>
      <c r="T650" t="n">
        <v>19.7</v>
      </c>
      <c r="U650" t="inlineStr">
        <is>
          <t>1,095</t>
        </is>
      </c>
      <c r="V650" t="n">
        <v>0.9</v>
      </c>
      <c r="W650" t="inlineStr">
        <is>
          <t>0%</t>
        </is>
      </c>
      <c r="X650" t="inlineStr">
        <is>
          <t>50 : 50</t>
        </is>
      </c>
      <c r="Y650" t="inlineStr"/>
      <c r="Z650" t="n">
        <v>1201</v>
      </c>
      <c r="AA650" t="n">
        <v>25.5</v>
      </c>
      <c r="AB650" t="inlineStr">
        <is>
          <t>U0649</t>
        </is>
      </c>
      <c r="AC650" t="inlineStr">
        <is>
          <t>JA</t>
        </is>
      </c>
      <c r="AD650" t="n">
        <v>25.5</v>
      </c>
      <c r="AE650" t="n">
        <v>40.5</v>
      </c>
      <c r="AF650" t="n">
        <v>0.9</v>
      </c>
      <c r="AG650" t="inlineStr">
        <is>
          <t>1:0.9</t>
        </is>
      </c>
      <c r="AH650" t="inlineStr">
        <is>
          <t>0%</t>
        </is>
      </c>
      <c r="AI650" t="inlineStr"/>
      <c r="AJ650" t="n">
        <v>16.09</v>
      </c>
    </row>
    <row r="651">
      <c r="A651" t="inlineStr">
        <is>
          <t>Jilin University</t>
        </is>
      </c>
      <c r="B651" t="inlineStr">
        <is>
          <t>China</t>
        </is>
      </c>
      <c r="C651" t="inlineStr">
        <is>
          <t>497</t>
        </is>
      </c>
      <c r="D651" t="n">
        <v>24.2</v>
      </c>
      <c r="E651" t="n">
        <v>12.1</v>
      </c>
      <c r="F651" t="n">
        <v>46.1</v>
      </c>
      <c r="G651" t="n">
        <v>37.4</v>
      </c>
      <c r="H651" t="n">
        <v>27.4</v>
      </c>
      <c r="I651" t="n">
        <v>11.6</v>
      </c>
      <c r="J651" t="n">
        <v>2.1</v>
      </c>
      <c r="K651" t="n">
        <v>62.2</v>
      </c>
      <c r="L651" t="n">
        <v>23.2</v>
      </c>
      <c r="M651" t="n">
        <v>9.1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497</v>
      </c>
      <c r="Z651" t="inlineStr"/>
      <c r="AA651" t="inlineStr"/>
      <c r="AB651" t="inlineStr">
        <is>
          <t>U0650</t>
        </is>
      </c>
      <c r="AC651" t="inlineStr">
        <is>
          <t>CH</t>
        </is>
      </c>
      <c r="AD651" t="n">
        <v>24.2</v>
      </c>
      <c r="AE651" t="n">
        <v>27.4</v>
      </c>
      <c r="AF651" t="inlineStr"/>
      <c r="AG651" t="inlineStr"/>
      <c r="AH651" t="inlineStr"/>
      <c r="AI651" t="n">
        <v>12.1</v>
      </c>
      <c r="AJ651" t="n">
        <v>21.69</v>
      </c>
    </row>
    <row r="652">
      <c r="A652" t="inlineStr">
        <is>
          <t>Jimma University</t>
        </is>
      </c>
      <c r="B652" t="inlineStr">
        <is>
          <t>Ethiopia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1001–1200</t>
        </is>
      </c>
      <c r="O652" t="inlineStr">
        <is>
          <t>28.3–32.6</t>
        </is>
      </c>
      <c r="P652" t="n">
        <v>16.4</v>
      </c>
      <c r="Q652" t="n">
        <v>8.9</v>
      </c>
      <c r="R652" t="n">
        <v>60.2</v>
      </c>
      <c r="S652" t="n">
        <v>16.2</v>
      </c>
      <c r="T652" t="n">
        <v>39.2</v>
      </c>
      <c r="U652" t="inlineStr">
        <is>
          <t>30,186</t>
        </is>
      </c>
      <c r="V652" t="n">
        <v>14.9</v>
      </c>
      <c r="W652" t="inlineStr">
        <is>
          <t>1%</t>
        </is>
      </c>
      <c r="X652" t="inlineStr">
        <is>
          <t>38 : 62</t>
        </is>
      </c>
      <c r="Y652" t="inlineStr"/>
      <c r="Z652" t="n">
        <v>1001</v>
      </c>
      <c r="AA652" t="n">
        <v>30.45</v>
      </c>
      <c r="AB652" t="inlineStr">
        <is>
          <t>U0651</t>
        </is>
      </c>
      <c r="AC652" t="inlineStr">
        <is>
          <t>ET</t>
        </is>
      </c>
      <c r="AD652" t="n">
        <v>30.45</v>
      </c>
      <c r="AE652" t="n">
        <v>60.2</v>
      </c>
      <c r="AF652" t="n">
        <v>14.9</v>
      </c>
      <c r="AG652" t="inlineStr">
        <is>
          <t>1:14.9</t>
        </is>
      </c>
      <c r="AH652" t="inlineStr">
        <is>
          <t>1%</t>
        </is>
      </c>
      <c r="AI652" t="inlineStr"/>
      <c r="AJ652" t="n">
        <v>25.78</v>
      </c>
    </row>
    <row r="653">
      <c r="A653" t="inlineStr">
        <is>
          <t>Jinan University (China)</t>
        </is>
      </c>
      <c r="B653" t="inlineStr">
        <is>
          <t>China</t>
        </is>
      </c>
      <c r="C653" t="inlineStr">
        <is>
          <t>580</t>
        </is>
      </c>
      <c r="D653" t="n">
        <v>21.3</v>
      </c>
      <c r="E653" t="n">
        <v>5.2</v>
      </c>
      <c r="F653" t="n">
        <v>2.7</v>
      </c>
      <c r="G653" t="n">
        <v>8.9</v>
      </c>
      <c r="H653" t="n">
        <v>52.7</v>
      </c>
      <c r="I653" t="n">
        <v>34</v>
      </c>
      <c r="J653" t="n">
        <v>83.09999999999999</v>
      </c>
      <c r="K653" t="n">
        <v>52.8</v>
      </c>
      <c r="L653" t="n">
        <v>6.5</v>
      </c>
      <c r="M653" t="n">
        <v>3.1</v>
      </c>
      <c r="N653" t="inlineStr">
        <is>
          <t>501–600</t>
        </is>
      </c>
      <c r="O653" t="inlineStr">
        <is>
          <t>41.9–45.3</t>
        </is>
      </c>
      <c r="P653" t="n">
        <v>25.9</v>
      </c>
      <c r="Q653" t="n">
        <v>22.8</v>
      </c>
      <c r="R653" t="n">
        <v>73.5</v>
      </c>
      <c r="S653" t="n">
        <v>43.6</v>
      </c>
      <c r="T653" t="n">
        <v>63.1</v>
      </c>
      <c r="U653" t="inlineStr">
        <is>
          <t>37,555</t>
        </is>
      </c>
      <c r="V653" t="n">
        <v>15</v>
      </c>
      <c r="W653" t="inlineStr">
        <is>
          <t>30%</t>
        </is>
      </c>
      <c r="X653" t="inlineStr">
        <is>
          <t>60 : 40</t>
        </is>
      </c>
      <c r="Y653" t="n">
        <v>580</v>
      </c>
      <c r="Z653" t="n">
        <v>501</v>
      </c>
      <c r="AA653" t="n">
        <v>43.59999999999999</v>
      </c>
      <c r="AB653" t="inlineStr">
        <is>
          <t>U0652</t>
        </is>
      </c>
      <c r="AC653" t="inlineStr">
        <is>
          <t>CH</t>
        </is>
      </c>
      <c r="AD653" t="n">
        <v>21.3</v>
      </c>
      <c r="AE653" t="n">
        <v>52.7</v>
      </c>
      <c r="AF653" t="n">
        <v>15</v>
      </c>
      <c r="AG653" t="inlineStr">
        <is>
          <t>1:15.0</t>
        </is>
      </c>
      <c r="AH653" t="inlineStr">
        <is>
          <t>30%</t>
        </is>
      </c>
      <c r="AI653" t="n">
        <v>5.2</v>
      </c>
      <c r="AJ653" t="n">
        <v>36.57</v>
      </c>
    </row>
    <row r="654">
      <c r="A654" t="inlineStr">
        <is>
          <t>Johannes Gutenberg Universität Mainz</t>
        </is>
      </c>
      <c r="B654" t="inlineStr">
        <is>
          <t>Germany</t>
        </is>
      </c>
      <c r="C654" t="inlineStr">
        <is>
          <t>501</t>
        </is>
      </c>
      <c r="D654" t="n">
        <v>24.1</v>
      </c>
      <c r="E654" t="n">
        <v>22.3</v>
      </c>
      <c r="F654" t="n">
        <v>11.4</v>
      </c>
      <c r="G654" t="n">
        <v>57.8</v>
      </c>
      <c r="H654" t="n">
        <v>11.5</v>
      </c>
      <c r="I654" t="n">
        <v>42</v>
      </c>
      <c r="J654" t="n">
        <v>15.5</v>
      </c>
      <c r="K654" t="n">
        <v>87</v>
      </c>
      <c r="L654" t="n">
        <v>11.4</v>
      </c>
      <c r="M654" t="n">
        <v>16.3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n">
        <v>501</v>
      </c>
      <c r="Z654" t="inlineStr"/>
      <c r="AA654" t="inlineStr"/>
      <c r="AB654" t="inlineStr">
        <is>
          <t>U0653</t>
        </is>
      </c>
      <c r="AC654" t="inlineStr">
        <is>
          <t>GE</t>
        </is>
      </c>
      <c r="AD654" t="n">
        <v>24.1</v>
      </c>
      <c r="AE654" t="n">
        <v>11.5</v>
      </c>
      <c r="AF654" t="inlineStr"/>
      <c r="AG654" t="inlineStr"/>
      <c r="AH654" t="inlineStr"/>
      <c r="AI654" t="n">
        <v>22.3</v>
      </c>
      <c r="AJ654" t="n">
        <v>16.87</v>
      </c>
    </row>
    <row r="655">
      <c r="A655" t="inlineStr">
        <is>
          <t>Johannes Gutenberg University of Mainz</t>
        </is>
      </c>
      <c r="B655" t="inlineStr">
        <is>
          <t>Germany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251–300</t>
        </is>
      </c>
      <c r="O655" t="inlineStr">
        <is>
          <t>53.1–55.8</t>
        </is>
      </c>
      <c r="P655" t="n">
        <v>39.5</v>
      </c>
      <c r="Q655" t="n">
        <v>32.6</v>
      </c>
      <c r="R655" t="n">
        <v>82.3</v>
      </c>
      <c r="S655" t="n">
        <v>89</v>
      </c>
      <c r="T655" t="n">
        <v>66</v>
      </c>
      <c r="U655" t="inlineStr">
        <is>
          <t>30,755</t>
        </is>
      </c>
      <c r="V655" t="n">
        <v>24.1</v>
      </c>
      <c r="W655" t="inlineStr">
        <is>
          <t>11%</t>
        </is>
      </c>
      <c r="X655" t="inlineStr">
        <is>
          <t>59 : 41</t>
        </is>
      </c>
      <c r="Y655" t="inlineStr"/>
      <c r="Z655" t="n">
        <v>251</v>
      </c>
      <c r="AA655" t="n">
        <v>54.45</v>
      </c>
      <c r="AB655" t="inlineStr">
        <is>
          <t>U0654</t>
        </is>
      </c>
      <c r="AC655" t="inlineStr">
        <is>
          <t>GE</t>
        </is>
      </c>
      <c r="AD655" t="n">
        <v>54.45</v>
      </c>
      <c r="AE655" t="n">
        <v>82.3</v>
      </c>
      <c r="AF655" t="n">
        <v>24.1</v>
      </c>
      <c r="AG655" t="inlineStr">
        <is>
          <t>1:24.1</t>
        </is>
      </c>
      <c r="AH655" t="inlineStr">
        <is>
          <t>11%</t>
        </is>
      </c>
      <c r="AI655" t="inlineStr"/>
      <c r="AJ655" t="n">
        <v>51.38</v>
      </c>
    </row>
    <row r="656">
      <c r="A656" t="inlineStr">
        <is>
          <t>Johannes Kepler University Linz</t>
        </is>
      </c>
      <c r="B656" t="inlineStr">
        <is>
          <t>Austria</t>
        </is>
      </c>
      <c r="C656" t="inlineStr">
        <is>
          <t>472</t>
        </is>
      </c>
      <c r="D656" t="n">
        <v>25.3</v>
      </c>
      <c r="E656" t="n">
        <v>12.8</v>
      </c>
      <c r="F656" t="n">
        <v>12.3</v>
      </c>
      <c r="G656" t="n">
        <v>75.90000000000001</v>
      </c>
      <c r="H656" t="n">
        <v>14.3</v>
      </c>
      <c r="I656" t="n">
        <v>83.5</v>
      </c>
      <c r="J656" t="n">
        <v>33.5</v>
      </c>
      <c r="K656" t="n">
        <v>59.7</v>
      </c>
      <c r="L656" t="n">
        <v>12.2</v>
      </c>
      <c r="M656" t="n">
        <v>13.2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n">
        <v>472</v>
      </c>
      <c r="Z656" t="inlineStr"/>
      <c r="AA656" t="inlineStr"/>
      <c r="AB656" t="inlineStr">
        <is>
          <t>U0655</t>
        </is>
      </c>
      <c r="AC656" t="inlineStr">
        <is>
          <t>AU</t>
        </is>
      </c>
      <c r="AD656" t="n">
        <v>25.3</v>
      </c>
      <c r="AE656" t="n">
        <v>14.3</v>
      </c>
      <c r="AF656" t="inlineStr"/>
      <c r="AG656" t="inlineStr"/>
      <c r="AH656" t="inlineStr"/>
      <c r="AI656" t="n">
        <v>12.8</v>
      </c>
      <c r="AJ656" t="n">
        <v>17.72</v>
      </c>
    </row>
    <row r="657">
      <c r="A657" t="inlineStr">
        <is>
          <t>Johannes Kepler University of Linz</t>
        </is>
      </c>
      <c r="B657" t="inlineStr">
        <is>
          <t>Austria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401–500</t>
        </is>
      </c>
      <c r="O657" t="inlineStr">
        <is>
          <t>45.4–49.0</t>
        </is>
      </c>
      <c r="P657" t="n">
        <v>36.8</v>
      </c>
      <c r="Q657" t="n">
        <v>35.4</v>
      </c>
      <c r="R657" t="n">
        <v>58.2</v>
      </c>
      <c r="S657" t="n">
        <v>98.7</v>
      </c>
      <c r="T657" t="n">
        <v>71.7</v>
      </c>
      <c r="U657" t="inlineStr">
        <is>
          <t>6,803</t>
        </is>
      </c>
      <c r="V657" t="n">
        <v>20.8</v>
      </c>
      <c r="W657" t="inlineStr">
        <is>
          <t>16%</t>
        </is>
      </c>
      <c r="X657" t="inlineStr">
        <is>
          <t>50 : 50</t>
        </is>
      </c>
      <c r="Y657" t="inlineStr"/>
      <c r="Z657" t="n">
        <v>401</v>
      </c>
      <c r="AA657" t="n">
        <v>47.2</v>
      </c>
      <c r="AB657" t="inlineStr">
        <is>
          <t>U0656</t>
        </is>
      </c>
      <c r="AC657" t="inlineStr">
        <is>
          <t>AU</t>
        </is>
      </c>
      <c r="AD657" t="n">
        <v>47.2</v>
      </c>
      <c r="AE657" t="n">
        <v>58.2</v>
      </c>
      <c r="AF657" t="n">
        <v>20.8</v>
      </c>
      <c r="AG657" t="inlineStr">
        <is>
          <t>1:20.8</t>
        </is>
      </c>
      <c r="AH657" t="inlineStr">
        <is>
          <t>16%</t>
        </is>
      </c>
      <c r="AI657" t="inlineStr"/>
      <c r="AJ657" t="n">
        <v>46.92</v>
      </c>
    </row>
    <row r="658">
      <c r="A658" t="inlineStr">
        <is>
          <t>The John Paul II Catholic University of Lublin</t>
        </is>
      </c>
      <c r="B658" t="inlineStr">
        <is>
          <t>Poland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1201–1500</t>
        </is>
      </c>
      <c r="O658" t="inlineStr">
        <is>
          <t>22.8–28.2</t>
        </is>
      </c>
      <c r="P658" t="n">
        <v>27.7</v>
      </c>
      <c r="Q658" t="n">
        <v>14.3</v>
      </c>
      <c r="R658" t="n">
        <v>35.1</v>
      </c>
      <c r="S658" t="n">
        <v>18.6</v>
      </c>
      <c r="T658" t="n">
        <v>34</v>
      </c>
      <c r="U658" t="inlineStr">
        <is>
          <t>9,173</t>
        </is>
      </c>
      <c r="V658" t="n">
        <v>9.6</v>
      </c>
      <c r="W658" t="inlineStr">
        <is>
          <t>9%</t>
        </is>
      </c>
      <c r="X658" t="inlineStr">
        <is>
          <t>65 : 35</t>
        </is>
      </c>
      <c r="Y658" t="inlineStr"/>
      <c r="Z658" t="n">
        <v>1201</v>
      </c>
      <c r="AA658" t="n">
        <v>25.5</v>
      </c>
      <c r="AB658" t="inlineStr">
        <is>
          <t>U0657</t>
        </is>
      </c>
      <c r="AC658" t="inlineStr">
        <is>
          <t>PO</t>
        </is>
      </c>
      <c r="AD658" t="n">
        <v>25.5</v>
      </c>
      <c r="AE658" t="n">
        <v>35.1</v>
      </c>
      <c r="AF658" t="n">
        <v>9.6</v>
      </c>
      <c r="AG658" t="inlineStr">
        <is>
          <t>1:9.6</t>
        </is>
      </c>
      <c r="AH658" t="inlineStr">
        <is>
          <t>9%</t>
        </is>
      </c>
      <c r="AI658" t="inlineStr"/>
      <c r="AJ658" t="n">
        <v>19.75</v>
      </c>
    </row>
    <row r="659">
      <c r="A659" t="inlineStr">
        <is>
          <t>Johns Hopkins University</t>
        </is>
      </c>
      <c r="B659" t="inlineStr">
        <is>
          <t>United States</t>
        </is>
      </c>
      <c r="C659" t="inlineStr">
        <is>
          <t>32</t>
        </is>
      </c>
      <c r="D659" t="n">
        <v>82.09999999999999</v>
      </c>
      <c r="E659" t="n">
        <v>86</v>
      </c>
      <c r="F659" t="n">
        <v>62.6</v>
      </c>
      <c r="G659" t="n">
        <v>100</v>
      </c>
      <c r="H659" t="n">
        <v>84.2</v>
      </c>
      <c r="I659" t="n">
        <v>63.7</v>
      </c>
      <c r="J659" t="n">
        <v>95.8</v>
      </c>
      <c r="K659" t="n">
        <v>98.7</v>
      </c>
      <c r="L659" t="n">
        <v>71.5</v>
      </c>
      <c r="M659" t="n">
        <v>61.9</v>
      </c>
      <c r="N659" t="inlineStr">
        <is>
          <t>15</t>
        </is>
      </c>
      <c r="O659" t="inlineStr">
        <is>
          <t>91.1</t>
        </is>
      </c>
      <c r="P659" t="n">
        <v>84.40000000000001</v>
      </c>
      <c r="Q659" t="n">
        <v>92.3</v>
      </c>
      <c r="R659" t="n">
        <v>97.2</v>
      </c>
      <c r="S659" t="n">
        <v>100</v>
      </c>
      <c r="T659" t="n">
        <v>84.2</v>
      </c>
      <c r="U659" t="inlineStr">
        <is>
          <t>15,772</t>
        </is>
      </c>
      <c r="V659" t="n">
        <v>4.1</v>
      </c>
      <c r="W659" t="inlineStr">
        <is>
          <t>28%</t>
        </is>
      </c>
      <c r="X659" t="inlineStr">
        <is>
          <t>56 : 44</t>
        </is>
      </c>
      <c r="Y659" t="n">
        <v>32</v>
      </c>
      <c r="Z659" t="n">
        <v>15</v>
      </c>
      <c r="AA659" t="n">
        <v>91.09999999999999</v>
      </c>
      <c r="AB659" t="inlineStr">
        <is>
          <t>U0658</t>
        </is>
      </c>
      <c r="AC659" t="inlineStr">
        <is>
          <t>UN</t>
        </is>
      </c>
      <c r="AD659" t="n">
        <v>82.09999999999999</v>
      </c>
      <c r="AE659" t="n">
        <v>84.2</v>
      </c>
      <c r="AF659" t="n">
        <v>4.1</v>
      </c>
      <c r="AG659" t="inlineStr">
        <is>
          <t>1:4.1</t>
        </is>
      </c>
      <c r="AH659" t="inlineStr">
        <is>
          <t>28%</t>
        </is>
      </c>
      <c r="AI659" t="n">
        <v>86</v>
      </c>
      <c r="AJ659" t="n">
        <v>87.65000000000001</v>
      </c>
    </row>
    <row r="660">
      <c r="A660" t="inlineStr">
        <is>
          <t>Jordan University of Science &amp; Technology</t>
        </is>
      </c>
      <c r="B660" t="inlineStr">
        <is>
          <t>Jordan</t>
        </is>
      </c>
      <c r="C660" t="inlineStr">
        <is>
          <t>554</t>
        </is>
      </c>
      <c r="D660" t="n">
        <v>22.4</v>
      </c>
      <c r="E660" t="n">
        <v>21</v>
      </c>
      <c r="F660" t="n">
        <v>30.7</v>
      </c>
      <c r="G660" t="n">
        <v>18.8</v>
      </c>
      <c r="H660" t="n">
        <v>5.6</v>
      </c>
      <c r="I660" t="n">
        <v>38.2</v>
      </c>
      <c r="J660" t="n">
        <v>67.7</v>
      </c>
      <c r="K660" t="n">
        <v>55.5</v>
      </c>
      <c r="L660" t="n">
        <v>4.3</v>
      </c>
      <c r="M660" t="n">
        <v>24.5</v>
      </c>
      <c r="N660" t="inlineStr">
        <is>
          <t>801–1000</t>
        </is>
      </c>
      <c r="O660" t="inlineStr">
        <is>
          <t>32.7–36.9</t>
        </is>
      </c>
      <c r="P660" t="n">
        <v>19.8</v>
      </c>
      <c r="Q660" t="n">
        <v>13.6</v>
      </c>
      <c r="R660" t="n">
        <v>67.3</v>
      </c>
      <c r="S660" t="n">
        <v>40.8</v>
      </c>
      <c r="T660" t="n">
        <v>61.1</v>
      </c>
      <c r="U660" t="inlineStr">
        <is>
          <t>21,161</t>
        </is>
      </c>
      <c r="V660" t="n">
        <v>13.3</v>
      </c>
      <c r="W660" t="inlineStr">
        <is>
          <t>17%</t>
        </is>
      </c>
      <c r="X660" t="inlineStr">
        <is>
          <t>56 : 44</t>
        </is>
      </c>
      <c r="Y660" t="n">
        <v>554</v>
      </c>
      <c r="Z660" t="n">
        <v>801</v>
      </c>
      <c r="AA660" t="n">
        <v>34.8</v>
      </c>
      <c r="AB660" t="inlineStr">
        <is>
          <t>U0659</t>
        </is>
      </c>
      <c r="AC660" t="inlineStr">
        <is>
          <t>JO</t>
        </is>
      </c>
      <c r="AD660" t="n">
        <v>22.4</v>
      </c>
      <c r="AE660" t="n">
        <v>5.6</v>
      </c>
      <c r="AF660" t="n">
        <v>13.3</v>
      </c>
      <c r="AG660" t="inlineStr">
        <is>
          <t>1:13.3</t>
        </is>
      </c>
      <c r="AH660" t="inlineStr">
        <is>
          <t>17%</t>
        </is>
      </c>
      <c r="AI660" t="n">
        <v>21</v>
      </c>
      <c r="AJ660" t="n">
        <v>16.99</v>
      </c>
    </row>
    <row r="661">
      <c r="A661" t="inlineStr">
        <is>
          <t>The Josip Juraj Strossmayer University of Osijek</t>
        </is>
      </c>
      <c r="B661" t="inlineStr">
        <is>
          <t>Croatia</t>
        </is>
      </c>
      <c r="C661" t="inlineStr">
        <is>
          <t>1201-1400</t>
        </is>
      </c>
      <c r="D661" t="inlineStr"/>
      <c r="E661" t="n">
        <v>4.3</v>
      </c>
      <c r="F661" t="n">
        <v>2</v>
      </c>
      <c r="G661" t="n">
        <v>28.6</v>
      </c>
      <c r="H661" t="n">
        <v>3.1</v>
      </c>
      <c r="I661" t="inlineStr"/>
      <c r="J661" t="inlineStr"/>
      <c r="K661" t="n">
        <v>54</v>
      </c>
      <c r="L661" t="n">
        <v>11.2</v>
      </c>
      <c r="M661" t="n">
        <v>1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n">
        <v>1201</v>
      </c>
      <c r="Z661" t="inlineStr"/>
      <c r="AA661" t="inlineStr"/>
      <c r="AB661" t="inlineStr">
        <is>
          <t>U0660</t>
        </is>
      </c>
      <c r="AC661" t="inlineStr">
        <is>
          <t>CR</t>
        </is>
      </c>
      <c r="AD661" t="inlineStr"/>
      <c r="AE661" t="n">
        <v>3.1</v>
      </c>
      <c r="AF661" t="inlineStr"/>
      <c r="AG661" t="inlineStr"/>
      <c r="AH661" t="inlineStr"/>
      <c r="AI661" t="n">
        <v>4.3</v>
      </c>
      <c r="AJ661" t="n">
        <v>14.33</v>
      </c>
    </row>
    <row r="662">
      <c r="A662" t="inlineStr">
        <is>
          <t>Jouf University</t>
        </is>
      </c>
      <c r="B662" t="inlineStr">
        <is>
          <t>Saudi Arabia</t>
        </is>
      </c>
      <c r="C662" t="inlineStr">
        <is>
          <t>801-850</t>
        </is>
      </c>
      <c r="D662" t="inlineStr"/>
      <c r="E662" t="n">
        <v>11.7</v>
      </c>
      <c r="F662" t="n">
        <v>5.1</v>
      </c>
      <c r="G662" t="n">
        <v>37.1</v>
      </c>
      <c r="H662" t="n">
        <v>2.3</v>
      </c>
      <c r="I662" t="n">
        <v>100</v>
      </c>
      <c r="J662" t="n">
        <v>2.6</v>
      </c>
      <c r="K662" t="n">
        <v>43.5</v>
      </c>
      <c r="L662" t="n">
        <v>2.4</v>
      </c>
      <c r="M662" t="n">
        <v>1</v>
      </c>
      <c r="N662" t="inlineStr">
        <is>
          <t>601–800</t>
        </is>
      </c>
      <c r="O662" t="inlineStr">
        <is>
          <t>37.0–41.8</t>
        </is>
      </c>
      <c r="P662" t="n">
        <v>30.5</v>
      </c>
      <c r="Q662" t="n">
        <v>18.3</v>
      </c>
      <c r="R662" t="n">
        <v>58.3</v>
      </c>
      <c r="S662" t="n">
        <v>21.3</v>
      </c>
      <c r="T662" t="n">
        <v>76.7</v>
      </c>
      <c r="U662" t="inlineStr">
        <is>
          <t>19,006</t>
        </is>
      </c>
      <c r="V662" t="n">
        <v>9.6</v>
      </c>
      <c r="W662" t="inlineStr">
        <is>
          <t>3%</t>
        </is>
      </c>
      <c r="X662" t="inlineStr">
        <is>
          <t>64 : 36</t>
        </is>
      </c>
      <c r="Y662" t="n">
        <v>801</v>
      </c>
      <c r="Z662" t="n">
        <v>601</v>
      </c>
      <c r="AA662" t="n">
        <v>39.4</v>
      </c>
      <c r="AB662" t="inlineStr">
        <is>
          <t>U0661</t>
        </is>
      </c>
      <c r="AC662" t="inlineStr">
        <is>
          <t>SA</t>
        </is>
      </c>
      <c r="AD662" t="n">
        <v>39.4</v>
      </c>
      <c r="AE662" t="n">
        <v>2.3</v>
      </c>
      <c r="AF662" t="n">
        <v>9.6</v>
      </c>
      <c r="AG662" t="inlineStr">
        <is>
          <t>1:9.6</t>
        </is>
      </c>
      <c r="AH662" t="inlineStr">
        <is>
          <t>3%</t>
        </is>
      </c>
      <c r="AI662" t="n">
        <v>11.7</v>
      </c>
      <c r="AJ662" t="n">
        <v>22.23</v>
      </c>
    </row>
    <row r="663">
      <c r="A663" t="inlineStr">
        <is>
          <t>JSS Academy of Higher Education and Research</t>
        </is>
      </c>
      <c r="B663" t="inlineStr">
        <is>
          <t>India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>
        <is>
          <t>801–1000</t>
        </is>
      </c>
      <c r="O663" t="inlineStr">
        <is>
          <t>32.7–36.9</t>
        </is>
      </c>
      <c r="P663" t="n">
        <v>39.7</v>
      </c>
      <c r="Q663" t="n">
        <v>10.6</v>
      </c>
      <c r="R663" t="n">
        <v>51.9</v>
      </c>
      <c r="S663" t="n">
        <v>22</v>
      </c>
      <c r="T663" t="n">
        <v>51.8</v>
      </c>
      <c r="U663" t="inlineStr">
        <is>
          <t>8,315</t>
        </is>
      </c>
      <c r="V663" t="n">
        <v>9.5</v>
      </c>
      <c r="W663" t="inlineStr">
        <is>
          <t>8%</t>
        </is>
      </c>
      <c r="X663" t="inlineStr">
        <is>
          <t>58 : 42</t>
        </is>
      </c>
      <c r="Y663" t="inlineStr"/>
      <c r="Z663" t="n">
        <v>801</v>
      </c>
      <c r="AA663" t="n">
        <v>34.8</v>
      </c>
      <c r="AB663" t="inlineStr">
        <is>
          <t>U0662</t>
        </is>
      </c>
      <c r="AC663" t="inlineStr">
        <is>
          <t>IN</t>
        </is>
      </c>
      <c r="AD663" t="n">
        <v>34.8</v>
      </c>
      <c r="AE663" t="n">
        <v>51.9</v>
      </c>
      <c r="AF663" t="n">
        <v>9.5</v>
      </c>
      <c r="AG663" t="inlineStr">
        <is>
          <t>1:9.5</t>
        </is>
      </c>
      <c r="AH663" t="inlineStr">
        <is>
          <t>8%</t>
        </is>
      </c>
      <c r="AI663" t="inlineStr"/>
      <c r="AJ663" t="n">
        <v>27.2</v>
      </c>
    </row>
    <row r="664">
      <c r="A664" t="inlineStr">
        <is>
          <t>Julius-Maximilians-Universität Würzburg</t>
        </is>
      </c>
      <c r="B664" t="inlineStr">
        <is>
          <t>Germany</t>
        </is>
      </c>
      <c r="C664" t="inlineStr">
        <is>
          <t>428</t>
        </is>
      </c>
      <c r="D664" t="n">
        <v>27.8</v>
      </c>
      <c r="E664" t="n">
        <v>15.8</v>
      </c>
      <c r="F664" t="n">
        <v>7</v>
      </c>
      <c r="G664" t="n">
        <v>5.5</v>
      </c>
      <c r="H664" t="n">
        <v>74.40000000000001</v>
      </c>
      <c r="I664" t="n">
        <v>45</v>
      </c>
      <c r="J664" t="n">
        <v>9.5</v>
      </c>
      <c r="K664" t="n">
        <v>78.5</v>
      </c>
      <c r="L664" t="n">
        <v>8.699999999999999</v>
      </c>
      <c r="M664" t="n">
        <v>8.800000000000001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n">
        <v>428</v>
      </c>
      <c r="Z664" t="inlineStr"/>
      <c r="AA664" t="inlineStr"/>
      <c r="AB664" t="inlineStr">
        <is>
          <t>U0663</t>
        </is>
      </c>
      <c r="AC664" t="inlineStr">
        <is>
          <t>GE</t>
        </is>
      </c>
      <c r="AD664" t="n">
        <v>27.8</v>
      </c>
      <c r="AE664" t="n">
        <v>74.40000000000001</v>
      </c>
      <c r="AF664" t="inlineStr"/>
      <c r="AG664" t="inlineStr"/>
      <c r="AH664" t="inlineStr"/>
      <c r="AI664" t="n">
        <v>15.8</v>
      </c>
      <c r="AJ664" t="n">
        <v>35.93</v>
      </c>
    </row>
    <row r="665">
      <c r="A665" t="inlineStr">
        <is>
          <t>Juntendo University</t>
        </is>
      </c>
      <c r="B665" t="inlineStr">
        <is>
          <t>Japan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>
        <is>
          <t>601–800</t>
        </is>
      </c>
      <c r="O665" t="inlineStr">
        <is>
          <t>37.0–41.8</t>
        </is>
      </c>
      <c r="P665" t="n">
        <v>37.6</v>
      </c>
      <c r="Q665" t="n">
        <v>17.1</v>
      </c>
      <c r="R665" t="n">
        <v>59.3</v>
      </c>
      <c r="S665" t="n">
        <v>81.40000000000001</v>
      </c>
      <c r="T665" t="n">
        <v>25.3</v>
      </c>
      <c r="U665" t="inlineStr">
        <is>
          <t>6,579</t>
        </is>
      </c>
      <c r="V665" t="n">
        <v>5</v>
      </c>
      <c r="W665" t="inlineStr">
        <is>
          <t>3%</t>
        </is>
      </c>
      <c r="X665" t="inlineStr">
        <is>
          <t>54 : 46</t>
        </is>
      </c>
      <c r="Y665" t="inlineStr"/>
      <c r="Z665" t="n">
        <v>601</v>
      </c>
      <c r="AA665" t="n">
        <v>39.4</v>
      </c>
      <c r="AB665" t="inlineStr">
        <is>
          <t>U0664</t>
        </is>
      </c>
      <c r="AC665" t="inlineStr">
        <is>
          <t>JA</t>
        </is>
      </c>
      <c r="AD665" t="n">
        <v>39.4</v>
      </c>
      <c r="AE665" t="n">
        <v>59.3</v>
      </c>
      <c r="AF665" t="n">
        <v>5</v>
      </c>
      <c r="AG665" t="inlineStr">
        <is>
          <t>1:5.0</t>
        </is>
      </c>
      <c r="AH665" t="inlineStr">
        <is>
          <t>3%</t>
        </is>
      </c>
      <c r="AI665" t="inlineStr"/>
      <c r="AJ665" t="n">
        <v>26.44</v>
      </c>
    </row>
    <row r="666">
      <c r="A666" t="inlineStr">
        <is>
          <t>Justus-Liebig-University Giessen</t>
        </is>
      </c>
      <c r="B666" t="inlineStr">
        <is>
          <t>Germany</t>
        </is>
      </c>
      <c r="C666" t="inlineStr">
        <is>
          <t>445</t>
        </is>
      </c>
      <c r="D666" t="n">
        <v>26.7</v>
      </c>
      <c r="E666" t="n">
        <v>12.7</v>
      </c>
      <c r="F666" t="n">
        <v>5.9</v>
      </c>
      <c r="G666" t="n">
        <v>1.9</v>
      </c>
      <c r="H666" t="n">
        <v>79.3</v>
      </c>
      <c r="I666" t="n">
        <v>14.2</v>
      </c>
      <c r="J666" t="n">
        <v>18.8</v>
      </c>
      <c r="K666" t="n">
        <v>83.90000000000001</v>
      </c>
      <c r="L666" t="n">
        <v>10.5</v>
      </c>
      <c r="M666" t="n">
        <v>11</v>
      </c>
      <c r="N666" t="inlineStr">
        <is>
          <t>351–400</t>
        </is>
      </c>
      <c r="O666" t="inlineStr">
        <is>
          <t>49.1–51.0</t>
        </is>
      </c>
      <c r="P666" t="n">
        <v>34.4</v>
      </c>
      <c r="Q666" t="n">
        <v>38</v>
      </c>
      <c r="R666" t="n">
        <v>72.5</v>
      </c>
      <c r="S666" t="n">
        <v>70.5</v>
      </c>
      <c r="T666" t="n">
        <v>62.7</v>
      </c>
      <c r="U666" t="inlineStr">
        <is>
          <t>27,184</t>
        </is>
      </c>
      <c r="V666" t="n">
        <v>42.4</v>
      </c>
      <c r="W666" t="inlineStr">
        <is>
          <t>11%</t>
        </is>
      </c>
      <c r="X666" t="inlineStr">
        <is>
          <t>64 : 36</t>
        </is>
      </c>
      <c r="Y666" t="n">
        <v>445</v>
      </c>
      <c r="Z666" t="n">
        <v>351</v>
      </c>
      <c r="AA666" t="n">
        <v>50.05</v>
      </c>
      <c r="AB666" t="inlineStr">
        <is>
          <t>U0665</t>
        </is>
      </c>
      <c r="AC666" t="inlineStr">
        <is>
          <t>GE</t>
        </is>
      </c>
      <c r="AD666" t="n">
        <v>26.7</v>
      </c>
      <c r="AE666" t="n">
        <v>79.3</v>
      </c>
      <c r="AF666" t="n">
        <v>42.4</v>
      </c>
      <c r="AG666" t="inlineStr">
        <is>
          <t>1:42.4</t>
        </is>
      </c>
      <c r="AH666" t="inlineStr">
        <is>
          <t>11%</t>
        </is>
      </c>
      <c r="AI666" t="n">
        <v>12.7</v>
      </c>
      <c r="AJ666" t="n">
        <v>52.5</v>
      </c>
    </row>
    <row r="667">
      <c r="A667" t="inlineStr">
        <is>
          <t>K.N. Toosi University of Technology</t>
        </is>
      </c>
      <c r="B667" t="inlineStr">
        <is>
          <t>Iran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>
        <is>
          <t>801–1000</t>
        </is>
      </c>
      <c r="O667" t="inlineStr">
        <is>
          <t>32.7–36.9</t>
        </is>
      </c>
      <c r="P667" t="n">
        <v>22.6</v>
      </c>
      <c r="Q667" t="n">
        <v>21</v>
      </c>
      <c r="R667" t="n">
        <v>60.2</v>
      </c>
      <c r="S667" t="n">
        <v>34.8</v>
      </c>
      <c r="T667" t="n">
        <v>35.7</v>
      </c>
      <c r="U667" t="inlineStr">
        <is>
          <t>8,727</t>
        </is>
      </c>
      <c r="V667" t="n">
        <v>23.1</v>
      </c>
      <c r="W667" t="inlineStr">
        <is>
          <t>1%</t>
        </is>
      </c>
      <c r="X667" t="inlineStr">
        <is>
          <t>34 : 66</t>
        </is>
      </c>
      <c r="Y667" t="inlineStr"/>
      <c r="Z667" t="n">
        <v>801</v>
      </c>
      <c r="AA667" t="n">
        <v>34.8</v>
      </c>
      <c r="AB667" t="inlineStr">
        <is>
          <t>U0666</t>
        </is>
      </c>
      <c r="AC667" t="inlineStr">
        <is>
          <t>IR</t>
        </is>
      </c>
      <c r="AD667" t="n">
        <v>34.8</v>
      </c>
      <c r="AE667" t="n">
        <v>60.2</v>
      </c>
      <c r="AF667" t="n">
        <v>23.1</v>
      </c>
      <c r="AG667" t="inlineStr">
        <is>
          <t>1:23.1</t>
        </is>
      </c>
      <c r="AH667" t="inlineStr">
        <is>
          <t>1%</t>
        </is>
      </c>
      <c r="AI667" t="inlineStr"/>
      <c r="AJ667" t="n">
        <v>31.27</v>
      </c>
    </row>
    <row r="668">
      <c r="A668" t="inlineStr">
        <is>
          <t>Kırşehir Ahi Evran University</t>
        </is>
      </c>
      <c r="B668" t="inlineStr">
        <is>
          <t>Turkey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>
        <is>
          <t>1501+</t>
        </is>
      </c>
      <c r="O668" t="inlineStr">
        <is>
          <t>9.7–22.7</t>
        </is>
      </c>
      <c r="P668" t="n">
        <v>11.8</v>
      </c>
      <c r="Q668" t="n">
        <v>9.800000000000001</v>
      </c>
      <c r="R668" t="n">
        <v>18.4</v>
      </c>
      <c r="S668" t="n">
        <v>16.5</v>
      </c>
      <c r="T668" t="n">
        <v>37.3</v>
      </c>
      <c r="U668" t="inlineStr">
        <is>
          <t>12,506</t>
        </is>
      </c>
      <c r="V668" t="n">
        <v>24.6</v>
      </c>
      <c r="W668" t="inlineStr">
        <is>
          <t>17%</t>
        </is>
      </c>
      <c r="X668" t="inlineStr">
        <is>
          <t>50 : 50</t>
        </is>
      </c>
      <c r="Y668" t="inlineStr"/>
      <c r="Z668" t="n">
        <v>1501</v>
      </c>
      <c r="AA668" t="n">
        <v>16.2</v>
      </c>
      <c r="AB668" t="inlineStr">
        <is>
          <t>U0667</t>
        </is>
      </c>
      <c r="AC668" t="inlineStr">
        <is>
          <t>TU</t>
        </is>
      </c>
      <c r="AD668" t="n">
        <v>16.2</v>
      </c>
      <c r="AE668" t="n">
        <v>18.4</v>
      </c>
      <c r="AF668" t="n">
        <v>24.6</v>
      </c>
      <c r="AG668" t="inlineStr">
        <is>
          <t>1:24.6</t>
        </is>
      </c>
      <c r="AH668" t="inlineStr">
        <is>
          <t>17%</t>
        </is>
      </c>
      <c r="AI668" t="inlineStr"/>
      <c r="AJ668" t="n">
        <v>13.13</v>
      </c>
    </row>
    <row r="669">
      <c r="A669" t="inlineStr">
        <is>
          <t>Kafrelsheikh University</t>
        </is>
      </c>
      <c r="B669" t="inlineStr">
        <is>
          <t>Egypt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>
        <is>
          <t>801–1000</t>
        </is>
      </c>
      <c r="O669" t="inlineStr">
        <is>
          <t>32.7–36.9</t>
        </is>
      </c>
      <c r="P669" t="n">
        <v>14.7</v>
      </c>
      <c r="Q669" t="n">
        <v>9.1</v>
      </c>
      <c r="R669" t="n">
        <v>76.2</v>
      </c>
      <c r="S669" t="n">
        <v>20</v>
      </c>
      <c r="T669" t="n">
        <v>51.9</v>
      </c>
      <c r="U669" t="inlineStr">
        <is>
          <t>72,606</t>
        </is>
      </c>
      <c r="V669" t="n">
        <v>28.7</v>
      </c>
      <c r="W669" t="inlineStr">
        <is>
          <t>2%</t>
        </is>
      </c>
      <c r="X669" t="inlineStr">
        <is>
          <t>48 : 52</t>
        </is>
      </c>
      <c r="Y669" t="inlineStr"/>
      <c r="Z669" t="n">
        <v>801</v>
      </c>
      <c r="AA669" t="n">
        <v>34.8</v>
      </c>
      <c r="AB669" t="inlineStr">
        <is>
          <t>U0668</t>
        </is>
      </c>
      <c r="AC669" t="inlineStr">
        <is>
          <t>EG</t>
        </is>
      </c>
      <c r="AD669" t="n">
        <v>34.8</v>
      </c>
      <c r="AE669" t="n">
        <v>76.2</v>
      </c>
      <c r="AF669" t="n">
        <v>28.7</v>
      </c>
      <c r="AG669" t="inlineStr">
        <is>
          <t>1:28.7</t>
        </is>
      </c>
      <c r="AH669" t="inlineStr">
        <is>
          <t>2%</t>
        </is>
      </c>
      <c r="AI669" t="inlineStr"/>
      <c r="AJ669" t="n">
        <v>33.8</v>
      </c>
    </row>
    <row r="670">
      <c r="A670" t="inlineStr">
        <is>
          <t>Kagawa University</t>
        </is>
      </c>
      <c r="B670" t="inlineStr">
        <is>
          <t>Japan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1201–1500</t>
        </is>
      </c>
      <c r="O670" t="inlineStr">
        <is>
          <t>22.8–28.2</t>
        </is>
      </c>
      <c r="P670" t="n">
        <v>25.7</v>
      </c>
      <c r="Q670" t="n">
        <v>12.9</v>
      </c>
      <c r="R670" t="n">
        <v>27.4</v>
      </c>
      <c r="S670" t="n">
        <v>54.1</v>
      </c>
      <c r="T670" t="n">
        <v>31.9</v>
      </c>
      <c r="U670" t="inlineStr">
        <is>
          <t>6,309</t>
        </is>
      </c>
      <c r="V670" t="n">
        <v>9.6</v>
      </c>
      <c r="W670" t="inlineStr">
        <is>
          <t>2%</t>
        </is>
      </c>
      <c r="X670" t="inlineStr">
        <is>
          <t>42 : 58</t>
        </is>
      </c>
      <c r="Y670" t="inlineStr"/>
      <c r="Z670" t="n">
        <v>1201</v>
      </c>
      <c r="AA670" t="n">
        <v>25.5</v>
      </c>
      <c r="AB670" t="inlineStr">
        <is>
          <t>U0669</t>
        </is>
      </c>
      <c r="AC670" t="inlineStr">
        <is>
          <t>JA</t>
        </is>
      </c>
      <c r="AD670" t="n">
        <v>25.5</v>
      </c>
      <c r="AE670" t="n">
        <v>27.4</v>
      </c>
      <c r="AF670" t="n">
        <v>9.6</v>
      </c>
      <c r="AG670" t="inlineStr">
        <is>
          <t>1:9.6</t>
        </is>
      </c>
      <c r="AH670" t="inlineStr">
        <is>
          <t>2%</t>
        </is>
      </c>
      <c r="AI670" t="inlineStr"/>
      <c r="AJ670" t="n">
        <v>16.17</v>
      </c>
    </row>
    <row r="671">
      <c r="A671" t="inlineStr">
        <is>
          <t>Kagoshima University</t>
        </is>
      </c>
      <c r="B671" t="inlineStr">
        <is>
          <t>Japan</t>
        </is>
      </c>
      <c r="C671" t="inlineStr">
        <is>
          <t>1001-1200</t>
        </is>
      </c>
      <c r="D671" t="inlineStr"/>
      <c r="E671" t="n">
        <v>6.1</v>
      </c>
      <c r="F671" t="n">
        <v>2.9</v>
      </c>
      <c r="G671" t="n">
        <v>63.6</v>
      </c>
      <c r="H671" t="n">
        <v>3.5</v>
      </c>
      <c r="I671" t="n">
        <v>3.8</v>
      </c>
      <c r="J671" t="n">
        <v>2.8</v>
      </c>
      <c r="K671" t="n">
        <v>26.6</v>
      </c>
      <c r="L671" t="n">
        <v>1.7</v>
      </c>
      <c r="M671" t="n">
        <v>1</v>
      </c>
      <c r="N671" t="inlineStr">
        <is>
          <t>1201–1500</t>
        </is>
      </c>
      <c r="O671" t="inlineStr">
        <is>
          <t>22.8–28.2</t>
        </is>
      </c>
      <c r="P671" t="n">
        <v>25.7</v>
      </c>
      <c r="Q671" t="n">
        <v>13.5</v>
      </c>
      <c r="R671" t="n">
        <v>24</v>
      </c>
      <c r="S671" t="n">
        <v>55.2</v>
      </c>
      <c r="T671" t="n">
        <v>27.7</v>
      </c>
      <c r="U671" t="inlineStr">
        <is>
          <t>10,257</t>
        </is>
      </c>
      <c r="V671" t="n">
        <v>10.1</v>
      </c>
      <c r="W671" t="inlineStr">
        <is>
          <t>3%</t>
        </is>
      </c>
      <c r="X671" t="inlineStr">
        <is>
          <t>38 : 62</t>
        </is>
      </c>
      <c r="Y671" t="n">
        <v>1001</v>
      </c>
      <c r="Z671" t="n">
        <v>1201</v>
      </c>
      <c r="AA671" t="n">
        <v>25.5</v>
      </c>
      <c r="AB671" t="inlineStr">
        <is>
          <t>U0670</t>
        </is>
      </c>
      <c r="AC671" t="inlineStr">
        <is>
          <t>JA</t>
        </is>
      </c>
      <c r="AD671" t="n">
        <v>25.5</v>
      </c>
      <c r="AE671" t="n">
        <v>3.5</v>
      </c>
      <c r="AF671" t="n">
        <v>10.1</v>
      </c>
      <c r="AG671" t="inlineStr">
        <is>
          <t>1:10.1</t>
        </is>
      </c>
      <c r="AH671" t="inlineStr">
        <is>
          <t>3%</t>
        </is>
      </c>
      <c r="AI671" t="n">
        <v>6.1</v>
      </c>
      <c r="AJ671" t="n">
        <v>8.23</v>
      </c>
    </row>
    <row r="672">
      <c r="A672" t="inlineStr">
        <is>
          <t>KAIST - Korea Advanced Institute of Science &amp; Technology</t>
        </is>
      </c>
      <c r="B672" t="inlineStr">
        <is>
          <t>South Korea</t>
        </is>
      </c>
      <c r="C672" t="inlineStr">
        <is>
          <t>53</t>
        </is>
      </c>
      <c r="D672" t="n">
        <v>75.7</v>
      </c>
      <c r="E672" t="n">
        <v>87.7</v>
      </c>
      <c r="F672" t="n">
        <v>91</v>
      </c>
      <c r="G672" t="n">
        <v>60.2</v>
      </c>
      <c r="H672" t="n">
        <v>96.2</v>
      </c>
      <c r="I672" t="n">
        <v>21.1</v>
      </c>
      <c r="J672" t="n">
        <v>10.9</v>
      </c>
      <c r="K672" t="n">
        <v>46.8</v>
      </c>
      <c r="L672" t="n">
        <v>63.3</v>
      </c>
      <c r="M672" t="n">
        <v>60.3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n">
        <v>53</v>
      </c>
      <c r="Z672" t="inlineStr"/>
      <c r="AA672" t="inlineStr"/>
      <c r="AB672" t="inlineStr">
        <is>
          <t>U0671</t>
        </is>
      </c>
      <c r="AC672" t="inlineStr">
        <is>
          <t>SO</t>
        </is>
      </c>
      <c r="AD672" t="n">
        <v>75.7</v>
      </c>
      <c r="AE672" t="n">
        <v>96.2</v>
      </c>
      <c r="AF672" t="inlineStr"/>
      <c r="AG672" t="inlineStr"/>
      <c r="AH672" t="inlineStr"/>
      <c r="AI672" t="n">
        <v>87.7</v>
      </c>
      <c r="AJ672" t="n">
        <v>42.54</v>
      </c>
    </row>
    <row r="673">
      <c r="A673" t="inlineStr">
        <is>
          <t>Kalasalingam Academy of Research and Education</t>
        </is>
      </c>
      <c r="B673" t="inlineStr">
        <is>
          <t>India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>
        <is>
          <t>801–1000</t>
        </is>
      </c>
      <c r="O673" t="inlineStr">
        <is>
          <t>32.7–36.9</t>
        </is>
      </c>
      <c r="P673" t="n">
        <v>29.1</v>
      </c>
      <c r="Q673" t="n">
        <v>8.9</v>
      </c>
      <c r="R673" t="n">
        <v>74.8</v>
      </c>
      <c r="S673" t="n">
        <v>19.9</v>
      </c>
      <c r="T673" t="n">
        <v>30.3</v>
      </c>
      <c r="U673" t="inlineStr">
        <is>
          <t>8,049</t>
        </is>
      </c>
      <c r="V673" t="n">
        <v>7.5</v>
      </c>
      <c r="W673" t="inlineStr">
        <is>
          <t>4%</t>
        </is>
      </c>
      <c r="X673" t="inlineStr">
        <is>
          <t>55 : 45</t>
        </is>
      </c>
      <c r="Y673" t="inlineStr"/>
      <c r="Z673" t="n">
        <v>801</v>
      </c>
      <c r="AA673" t="n">
        <v>34.8</v>
      </c>
      <c r="AB673" t="inlineStr">
        <is>
          <t>U0672</t>
        </is>
      </c>
      <c r="AC673" t="inlineStr">
        <is>
          <t>IN</t>
        </is>
      </c>
      <c r="AD673" t="n">
        <v>34.8</v>
      </c>
      <c r="AE673" t="n">
        <v>74.8</v>
      </c>
      <c r="AF673" t="n">
        <v>7.5</v>
      </c>
      <c r="AG673" t="inlineStr">
        <is>
          <t>1:7.5</t>
        </is>
      </c>
      <c r="AH673" t="inlineStr">
        <is>
          <t>4%</t>
        </is>
      </c>
      <c r="AI673" t="inlineStr"/>
      <c r="AJ673" t="n">
        <v>28.05</v>
      </c>
    </row>
    <row r="674">
      <c r="A674" t="inlineStr">
        <is>
          <t>Kanagawa University</t>
        </is>
      </c>
      <c r="B674" t="inlineStr">
        <is>
          <t>Japan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>
        <is>
          <t>1501+</t>
        </is>
      </c>
      <c r="O674" t="inlineStr">
        <is>
          <t>9.7–22.7</t>
        </is>
      </c>
      <c r="P674" t="n">
        <v>17.6</v>
      </c>
      <c r="Q674" t="n">
        <v>8.300000000000001</v>
      </c>
      <c r="R674" t="n">
        <v>11.4</v>
      </c>
      <c r="S674" t="n">
        <v>24.4</v>
      </c>
      <c r="T674" t="n">
        <v>38.7</v>
      </c>
      <c r="U674" t="inlineStr">
        <is>
          <t>17,730</t>
        </is>
      </c>
      <c r="V674" t="n">
        <v>14.5</v>
      </c>
      <c r="W674" t="inlineStr">
        <is>
          <t>4%</t>
        </is>
      </c>
      <c r="X674" t="inlineStr">
        <is>
          <t>30 : 70</t>
        </is>
      </c>
      <c r="Y674" t="inlineStr"/>
      <c r="Z674" t="n">
        <v>1501</v>
      </c>
      <c r="AA674" t="n">
        <v>16.2</v>
      </c>
      <c r="AB674" t="inlineStr">
        <is>
          <t>U0673</t>
        </is>
      </c>
      <c r="AC674" t="inlineStr">
        <is>
          <t>JA</t>
        </is>
      </c>
      <c r="AD674" t="n">
        <v>16.2</v>
      </c>
      <c r="AE674" t="n">
        <v>11.4</v>
      </c>
      <c r="AF674" t="n">
        <v>14.5</v>
      </c>
      <c r="AG674" t="inlineStr">
        <is>
          <t>1:14.5</t>
        </is>
      </c>
      <c r="AH674" t="inlineStr">
        <is>
          <t>4%</t>
        </is>
      </c>
      <c r="AI674" t="inlineStr"/>
      <c r="AJ674" t="n">
        <v>10.56</v>
      </c>
    </row>
    <row r="675">
      <c r="A675" t="inlineStr">
        <is>
          <t>Kanazawa Medical University</t>
        </is>
      </c>
      <c r="B675" t="inlineStr">
        <is>
          <t>Japan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>
        <is>
          <t>1501+</t>
        </is>
      </c>
      <c r="O675" t="inlineStr">
        <is>
          <t>9.7–22.7</t>
        </is>
      </c>
      <c r="P675" t="n">
        <v>26.6</v>
      </c>
      <c r="Q675" t="n">
        <v>10.2</v>
      </c>
      <c r="R675" t="n">
        <v>17.3</v>
      </c>
      <c r="S675" t="n">
        <v>29.7</v>
      </c>
      <c r="T675" t="n">
        <v>21.2</v>
      </c>
      <c r="U675" t="inlineStr">
        <is>
          <t>1,063</t>
        </is>
      </c>
      <c r="V675" t="n">
        <v>2.1</v>
      </c>
      <c r="W675" t="inlineStr">
        <is>
          <t>1%</t>
        </is>
      </c>
      <c r="X675" t="inlineStr">
        <is>
          <t>55 : 45</t>
        </is>
      </c>
      <c r="Y675" t="inlineStr"/>
      <c r="Z675" t="n">
        <v>1501</v>
      </c>
      <c r="AA675" t="n">
        <v>16.2</v>
      </c>
      <c r="AB675" t="inlineStr">
        <is>
          <t>U0674</t>
        </is>
      </c>
      <c r="AC675" t="inlineStr">
        <is>
          <t>JA</t>
        </is>
      </c>
      <c r="AD675" t="n">
        <v>16.2</v>
      </c>
      <c r="AE675" t="n">
        <v>17.3</v>
      </c>
      <c r="AF675" t="n">
        <v>2.1</v>
      </c>
      <c r="AG675" t="inlineStr">
        <is>
          <t>1:2.1</t>
        </is>
      </c>
      <c r="AH675" t="inlineStr">
        <is>
          <t>1%</t>
        </is>
      </c>
      <c r="AI675" t="inlineStr"/>
      <c r="AJ675" t="n">
        <v>9.109999999999999</v>
      </c>
    </row>
    <row r="676">
      <c r="A676" t="inlineStr">
        <is>
          <t>Kanazawa University</t>
        </is>
      </c>
      <c r="B676" t="inlineStr">
        <is>
          <t>Japan</t>
        </is>
      </c>
      <c r="C676" t="inlineStr">
        <is>
          <t>901-950</t>
        </is>
      </c>
      <c r="D676" t="inlineStr"/>
      <c r="E676" t="n">
        <v>10.5</v>
      </c>
      <c r="F676" t="n">
        <v>3.9</v>
      </c>
      <c r="G676" t="n">
        <v>55.1</v>
      </c>
      <c r="H676" t="n">
        <v>12.2</v>
      </c>
      <c r="I676" t="n">
        <v>8.1</v>
      </c>
      <c r="J676" t="n">
        <v>5.8</v>
      </c>
      <c r="K676" t="n">
        <v>31.9</v>
      </c>
      <c r="L676" t="n">
        <v>1.8</v>
      </c>
      <c r="M676" t="n">
        <v>1.6</v>
      </c>
      <c r="N676" t="inlineStr">
        <is>
          <t>1001–1200</t>
        </is>
      </c>
      <c r="O676" t="inlineStr">
        <is>
          <t>28.3–32.6</t>
        </is>
      </c>
      <c r="P676" t="n">
        <v>35.5</v>
      </c>
      <c r="Q676" t="n">
        <v>18.8</v>
      </c>
      <c r="R676" t="n">
        <v>35.4</v>
      </c>
      <c r="S676" t="n">
        <v>70.40000000000001</v>
      </c>
      <c r="T676" t="n">
        <v>33.6</v>
      </c>
      <c r="U676" t="inlineStr">
        <is>
          <t>10,271</t>
        </is>
      </c>
      <c r="V676" t="n">
        <v>9.9</v>
      </c>
      <c r="W676" t="inlineStr">
        <is>
          <t>6%</t>
        </is>
      </c>
      <c r="X676" t="inlineStr">
        <is>
          <t>37 : 63</t>
        </is>
      </c>
      <c r="Y676" t="n">
        <v>901</v>
      </c>
      <c r="Z676" t="n">
        <v>1001</v>
      </c>
      <c r="AA676" t="n">
        <v>30.45</v>
      </c>
      <c r="AB676" t="inlineStr">
        <is>
          <t>U0675</t>
        </is>
      </c>
      <c r="AC676" t="inlineStr">
        <is>
          <t>JA</t>
        </is>
      </c>
      <c r="AD676" t="n">
        <v>30.45</v>
      </c>
      <c r="AE676" t="n">
        <v>12.2</v>
      </c>
      <c r="AF676" t="n">
        <v>9.9</v>
      </c>
      <c r="AG676" t="inlineStr">
        <is>
          <t>1:9.9</t>
        </is>
      </c>
      <c r="AH676" t="inlineStr">
        <is>
          <t>6%</t>
        </is>
      </c>
      <c r="AI676" t="n">
        <v>10.5</v>
      </c>
      <c r="AJ676" t="n">
        <v>15.07</v>
      </c>
    </row>
    <row r="677">
      <c r="A677" t="inlineStr">
        <is>
          <t xml:space="preserve">Kangwon National University </t>
        </is>
      </c>
      <c r="B677" t="inlineStr">
        <is>
          <t>South Korea</t>
        </is>
      </c>
      <c r="C677" t="inlineStr">
        <is>
          <t>1001-1200</t>
        </is>
      </c>
      <c r="D677" t="inlineStr"/>
      <c r="E677" t="n">
        <v>4.8</v>
      </c>
      <c r="F677" t="n">
        <v>4.7</v>
      </c>
      <c r="G677" t="n">
        <v>22.2</v>
      </c>
      <c r="H677" t="n">
        <v>8.199999999999999</v>
      </c>
      <c r="I677" t="n">
        <v>4.7</v>
      </c>
      <c r="J677" t="n">
        <v>2.6</v>
      </c>
      <c r="K677" t="n">
        <v>27.6</v>
      </c>
      <c r="L677" t="n">
        <v>2.8</v>
      </c>
      <c r="M677" t="n">
        <v>34.5</v>
      </c>
      <c r="N677" t="inlineStr">
        <is>
          <t>1201–1500</t>
        </is>
      </c>
      <c r="O677" t="inlineStr">
        <is>
          <t>22.8–28.2</t>
        </is>
      </c>
      <c r="P677" t="n">
        <v>22</v>
      </c>
      <c r="Q677" t="n">
        <v>21.9</v>
      </c>
      <c r="R677" t="n">
        <v>32.4</v>
      </c>
      <c r="S677" t="n">
        <v>47.4</v>
      </c>
      <c r="T677" t="n">
        <v>24.1</v>
      </c>
      <c r="U677" t="inlineStr">
        <is>
          <t>21,920</t>
        </is>
      </c>
      <c r="V677" t="n">
        <v>21.6</v>
      </c>
      <c r="W677" t="inlineStr">
        <is>
          <t>3%</t>
        </is>
      </c>
      <c r="X677" t="inlineStr">
        <is>
          <t>41 : 59</t>
        </is>
      </c>
      <c r="Y677" t="n">
        <v>1001</v>
      </c>
      <c r="Z677" t="n">
        <v>1201</v>
      </c>
      <c r="AA677" t="n">
        <v>25.5</v>
      </c>
      <c r="AB677" t="inlineStr">
        <is>
          <t>U0676</t>
        </is>
      </c>
      <c r="AC677" t="inlineStr">
        <is>
          <t>SO</t>
        </is>
      </c>
      <c r="AD677" t="n">
        <v>25.5</v>
      </c>
      <c r="AE677" t="n">
        <v>8.199999999999999</v>
      </c>
      <c r="AF677" t="n">
        <v>21.6</v>
      </c>
      <c r="AG677" t="inlineStr">
        <is>
          <t>1:21.6</t>
        </is>
      </c>
      <c r="AH677" t="inlineStr">
        <is>
          <t>3%</t>
        </is>
      </c>
      <c r="AI677" t="n">
        <v>4.8</v>
      </c>
      <c r="AJ677" t="n">
        <v>13.18</v>
      </c>
    </row>
    <row r="678">
      <c r="A678" t="inlineStr">
        <is>
          <t>Kansai Medical University</t>
        </is>
      </c>
      <c r="B678" t="inlineStr">
        <is>
          <t>Japan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>
        <is>
          <t>1001–1200</t>
        </is>
      </c>
      <c r="O678" t="inlineStr">
        <is>
          <t>28.3–32.6</t>
        </is>
      </c>
      <c r="P678" t="n">
        <v>30</v>
      </c>
      <c r="Q678" t="n">
        <v>10.6</v>
      </c>
      <c r="R678" t="n">
        <v>51.6</v>
      </c>
      <c r="S678" t="n">
        <v>47.9</v>
      </c>
      <c r="T678" t="n">
        <v>21</v>
      </c>
      <c r="U678" t="inlineStr">
        <is>
          <t>1,217</t>
        </is>
      </c>
      <c r="V678" t="n">
        <v>1.6</v>
      </c>
      <c r="W678" t="inlineStr">
        <is>
          <t>3%</t>
        </is>
      </c>
      <c r="X678" t="inlineStr">
        <is>
          <t>55 : 45</t>
        </is>
      </c>
      <c r="Y678" t="inlineStr"/>
      <c r="Z678" t="n">
        <v>1001</v>
      </c>
      <c r="AA678" t="n">
        <v>30.45</v>
      </c>
      <c r="AB678" t="inlineStr">
        <is>
          <t>U0677</t>
        </is>
      </c>
      <c r="AC678" t="inlineStr">
        <is>
          <t>JA</t>
        </is>
      </c>
      <c r="AD678" t="n">
        <v>30.45</v>
      </c>
      <c r="AE678" t="n">
        <v>51.6</v>
      </c>
      <c r="AF678" t="n">
        <v>1.6</v>
      </c>
      <c r="AG678" t="inlineStr">
        <is>
          <t>1:1.6</t>
        </is>
      </c>
      <c r="AH678" t="inlineStr">
        <is>
          <t>3%</t>
        </is>
      </c>
      <c r="AI678" t="inlineStr"/>
      <c r="AJ678" t="n">
        <v>19.66</v>
      </c>
    </row>
    <row r="679">
      <c r="A679" t="inlineStr">
        <is>
          <t>Kansai University</t>
        </is>
      </c>
      <c r="B679" t="inlineStr">
        <is>
          <t>Japan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>
        <is>
          <t>1501+</t>
        </is>
      </c>
      <c r="O679" t="inlineStr">
        <is>
          <t>9.7–22.7</t>
        </is>
      </c>
      <c r="P679" t="n">
        <v>20.2</v>
      </c>
      <c r="Q679" t="n">
        <v>8.300000000000001</v>
      </c>
      <c r="R679" t="n">
        <v>7.3</v>
      </c>
      <c r="S679" t="n">
        <v>25.5</v>
      </c>
      <c r="T679" t="n">
        <v>33.4</v>
      </c>
      <c r="U679" t="inlineStr">
        <is>
          <t>30,026</t>
        </is>
      </c>
      <c r="V679" t="n">
        <v>12.3</v>
      </c>
      <c r="W679" t="inlineStr">
        <is>
          <t>4%</t>
        </is>
      </c>
      <c r="X679" t="inlineStr">
        <is>
          <t>41 : 59</t>
        </is>
      </c>
      <c r="Y679" t="inlineStr"/>
      <c r="Z679" t="n">
        <v>1501</v>
      </c>
      <c r="AA679" t="n">
        <v>16.2</v>
      </c>
      <c r="AB679" t="inlineStr">
        <is>
          <t>U0678</t>
        </is>
      </c>
      <c r="AC679" t="inlineStr">
        <is>
          <t>JA</t>
        </is>
      </c>
      <c r="AD679" t="n">
        <v>16.2</v>
      </c>
      <c r="AE679" t="n">
        <v>7.3</v>
      </c>
      <c r="AF679" t="n">
        <v>12.3</v>
      </c>
      <c r="AG679" t="inlineStr">
        <is>
          <t>1:12.3</t>
        </is>
      </c>
      <c r="AH679" t="inlineStr">
        <is>
          <t>4%</t>
        </is>
      </c>
      <c r="AI679" t="inlineStr"/>
      <c r="AJ679" t="n">
        <v>8.029999999999999</v>
      </c>
    </row>
    <row r="680">
      <c r="A680" t="inlineStr">
        <is>
          <t xml:space="preserve">Kansas State University </t>
        </is>
      </c>
      <c r="B680" t="inlineStr">
        <is>
          <t>United States</t>
        </is>
      </c>
      <c r="C680" t="inlineStr">
        <is>
          <t>851-900</t>
        </is>
      </c>
      <c r="D680" t="inlineStr"/>
      <c r="E680" t="n">
        <v>8.199999999999999</v>
      </c>
      <c r="F680" t="n">
        <v>6.7</v>
      </c>
      <c r="G680" t="n">
        <v>10.3</v>
      </c>
      <c r="H680" t="n">
        <v>22.1</v>
      </c>
      <c r="I680" t="n">
        <v>10.1</v>
      </c>
      <c r="J680" t="n">
        <v>4.6</v>
      </c>
      <c r="K680" t="n">
        <v>74.90000000000001</v>
      </c>
      <c r="L680" t="n">
        <v>13.5</v>
      </c>
      <c r="M680" t="n">
        <v>10.2</v>
      </c>
      <c r="N680" t="inlineStr">
        <is>
          <t>601–800</t>
        </is>
      </c>
      <c r="O680" t="inlineStr">
        <is>
          <t>37.0–41.8</t>
        </is>
      </c>
      <c r="P680" t="n">
        <v>32.9</v>
      </c>
      <c r="Q680" t="n">
        <v>20.9</v>
      </c>
      <c r="R680" t="n">
        <v>57.4</v>
      </c>
      <c r="S680" t="n">
        <v>66.90000000000001</v>
      </c>
      <c r="T680" t="n">
        <v>57.5</v>
      </c>
      <c r="U680" t="inlineStr">
        <is>
          <t>19,332</t>
        </is>
      </c>
      <c r="V680" t="n">
        <v>13.8</v>
      </c>
      <c r="W680" t="inlineStr">
        <is>
          <t>6%</t>
        </is>
      </c>
      <c r="X680" t="inlineStr">
        <is>
          <t>53 : 47</t>
        </is>
      </c>
      <c r="Y680" t="n">
        <v>851</v>
      </c>
      <c r="Z680" t="n">
        <v>601</v>
      </c>
      <c r="AA680" t="n">
        <v>39.4</v>
      </c>
      <c r="AB680" t="inlineStr">
        <is>
          <t>U0679</t>
        </is>
      </c>
      <c r="AC680" t="inlineStr">
        <is>
          <t>UN</t>
        </is>
      </c>
      <c r="AD680" t="n">
        <v>39.4</v>
      </c>
      <c r="AE680" t="n">
        <v>22.1</v>
      </c>
      <c r="AF680" t="n">
        <v>13.8</v>
      </c>
      <c r="AG680" t="inlineStr">
        <is>
          <t>1:13.8</t>
        </is>
      </c>
      <c r="AH680" t="inlineStr">
        <is>
          <t>6%</t>
        </is>
      </c>
      <c r="AI680" t="n">
        <v>8.199999999999999</v>
      </c>
      <c r="AJ680" t="n">
        <v>24.95</v>
      </c>
    </row>
    <row r="681">
      <c r="A681" t="inlineStr">
        <is>
          <t>Kaohsiung Medical University</t>
        </is>
      </c>
      <c r="B681" t="inlineStr">
        <is>
          <t>Taiwan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>
        <is>
          <t>801–1000</t>
        </is>
      </c>
      <c r="O681" t="inlineStr">
        <is>
          <t>32.7–36.9</t>
        </is>
      </c>
      <c r="P681" t="n">
        <v>26.4</v>
      </c>
      <c r="Q681" t="n">
        <v>26.1</v>
      </c>
      <c r="R681" t="n">
        <v>44</v>
      </c>
      <c r="S681" t="n">
        <v>81.3</v>
      </c>
      <c r="T681" t="n">
        <v>28.7</v>
      </c>
      <c r="U681" t="inlineStr">
        <is>
          <t>6,528</t>
        </is>
      </c>
      <c r="V681" t="n">
        <v>12.2</v>
      </c>
      <c r="W681" t="inlineStr">
        <is>
          <t>5%</t>
        </is>
      </c>
      <c r="X681" t="inlineStr">
        <is>
          <t>59 : 41</t>
        </is>
      </c>
      <c r="Y681" t="inlineStr"/>
      <c r="Z681" t="n">
        <v>801</v>
      </c>
      <c r="AA681" t="n">
        <v>34.8</v>
      </c>
      <c r="AB681" t="inlineStr">
        <is>
          <t>U0680</t>
        </is>
      </c>
      <c r="AC681" t="inlineStr">
        <is>
          <t>TA</t>
        </is>
      </c>
      <c r="AD681" t="n">
        <v>34.8</v>
      </c>
      <c r="AE681" t="n">
        <v>44</v>
      </c>
      <c r="AF681" t="n">
        <v>12.2</v>
      </c>
      <c r="AG681" t="inlineStr">
        <is>
          <t>1:12.2</t>
        </is>
      </c>
      <c r="AH681" t="inlineStr">
        <is>
          <t>5%</t>
        </is>
      </c>
      <c r="AI681" t="inlineStr"/>
      <c r="AJ681" t="n">
        <v>27.35</v>
      </c>
    </row>
    <row r="682">
      <c r="A682" t="inlineStr">
        <is>
          <t>Karabük University</t>
        </is>
      </c>
      <c r="B682" t="inlineStr">
        <is>
          <t>Turkey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>
        <is>
          <t>1201–1500</t>
        </is>
      </c>
      <c r="O682" t="inlineStr">
        <is>
          <t>22.8–28.2</t>
        </is>
      </c>
      <c r="P682" t="n">
        <v>12.6</v>
      </c>
      <c r="Q682" t="n">
        <v>9.4</v>
      </c>
      <c r="R682" t="n">
        <v>57.2</v>
      </c>
      <c r="S682" t="n">
        <v>16.1</v>
      </c>
      <c r="T682" t="n">
        <v>48.2</v>
      </c>
      <c r="U682" t="inlineStr">
        <is>
          <t>47,709</t>
        </is>
      </c>
      <c r="V682" t="n">
        <v>42.4</v>
      </c>
      <c r="W682" t="inlineStr">
        <is>
          <t>24%</t>
        </is>
      </c>
      <c r="X682" t="inlineStr">
        <is>
          <t>39 : 61</t>
        </is>
      </c>
      <c r="Y682" t="inlineStr"/>
      <c r="Z682" t="n">
        <v>1201</v>
      </c>
      <c r="AA682" t="n">
        <v>25.5</v>
      </c>
      <c r="AB682" t="inlineStr">
        <is>
          <t>U0681</t>
        </is>
      </c>
      <c r="AC682" t="inlineStr">
        <is>
          <t>TU</t>
        </is>
      </c>
      <c r="AD682" t="n">
        <v>25.5</v>
      </c>
      <c r="AE682" t="n">
        <v>57.2</v>
      </c>
      <c r="AF682" t="n">
        <v>42.4</v>
      </c>
      <c r="AG682" t="inlineStr">
        <is>
          <t>1:42.4</t>
        </is>
      </c>
      <c r="AH682" t="inlineStr">
        <is>
          <t>24%</t>
        </is>
      </c>
      <c r="AI682" t="inlineStr"/>
      <c r="AJ682" t="n">
        <v>27.31</v>
      </c>
    </row>
    <row r="683">
      <c r="A683" t="inlineStr">
        <is>
          <t>Karadeniz Technical University</t>
        </is>
      </c>
      <c r="B683" t="inlineStr">
        <is>
          <t>Turkey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>
        <is>
          <t>1501+</t>
        </is>
      </c>
      <c r="O683" t="inlineStr">
        <is>
          <t>9.7–22.7</t>
        </is>
      </c>
      <c r="P683" t="n">
        <v>19.3</v>
      </c>
      <c r="Q683" t="n">
        <v>10.1</v>
      </c>
      <c r="R683" t="n">
        <v>27.8</v>
      </c>
      <c r="S683" t="n">
        <v>22.4</v>
      </c>
      <c r="T683" t="n">
        <v>22.7</v>
      </c>
      <c r="U683" t="inlineStr">
        <is>
          <t>30,690</t>
        </is>
      </c>
      <c r="V683" t="n">
        <v>14</v>
      </c>
      <c r="W683" t="inlineStr">
        <is>
          <t>5%</t>
        </is>
      </c>
      <c r="X683" t="inlineStr">
        <is>
          <t>44 : 56</t>
        </is>
      </c>
      <c r="Y683" t="inlineStr"/>
      <c r="Z683" t="n">
        <v>1501</v>
      </c>
      <c r="AA683" t="n">
        <v>16.2</v>
      </c>
      <c r="AB683" t="inlineStr">
        <is>
          <t>U0682</t>
        </is>
      </c>
      <c r="AC683" t="inlineStr">
        <is>
          <t>TU</t>
        </is>
      </c>
      <c r="AD683" t="n">
        <v>16.2</v>
      </c>
      <c r="AE683" t="n">
        <v>27.8</v>
      </c>
      <c r="AF683" t="n">
        <v>14</v>
      </c>
      <c r="AG683" t="inlineStr">
        <is>
          <t>1:14.0</t>
        </is>
      </c>
      <c r="AH683" t="inlineStr">
        <is>
          <t>5%</t>
        </is>
      </c>
      <c r="AI683" t="inlineStr"/>
      <c r="AJ683" t="n">
        <v>12.6</v>
      </c>
    </row>
    <row r="684">
      <c r="A684" t="inlineStr">
        <is>
          <t>Karaganda Buketov University</t>
        </is>
      </c>
      <c r="B684" t="inlineStr">
        <is>
          <t>Kazakhstan</t>
        </is>
      </c>
      <c r="C684" t="inlineStr">
        <is>
          <t>901-950</t>
        </is>
      </c>
      <c r="D684" t="inlineStr"/>
      <c r="E684" t="n">
        <v>15.6</v>
      </c>
      <c r="F684" t="n">
        <v>24.5</v>
      </c>
      <c r="G684" t="n">
        <v>41.3</v>
      </c>
      <c r="H684" t="n">
        <v>1.1</v>
      </c>
      <c r="I684" t="n">
        <v>13.1</v>
      </c>
      <c r="J684" t="n">
        <v>5.2</v>
      </c>
      <c r="K684" t="n">
        <v>7.5</v>
      </c>
      <c r="L684" t="n">
        <v>7.8</v>
      </c>
      <c r="M684" t="n">
        <v>1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n">
        <v>901</v>
      </c>
      <c r="Z684" t="inlineStr"/>
      <c r="AA684" t="inlineStr"/>
      <c r="AB684" t="inlineStr">
        <is>
          <t>U0683</t>
        </is>
      </c>
      <c r="AC684" t="inlineStr">
        <is>
          <t>KA</t>
        </is>
      </c>
      <c r="AD684" t="inlineStr"/>
      <c r="AE684" t="n">
        <v>1.1</v>
      </c>
      <c r="AF684" t="inlineStr"/>
      <c r="AG684" t="inlineStr"/>
      <c r="AH684" t="inlineStr"/>
      <c r="AI684" t="n">
        <v>15.6</v>
      </c>
      <c r="AJ684" t="n">
        <v>13.72</v>
      </c>
    </row>
    <row r="685">
      <c r="A685" t="inlineStr">
        <is>
          <t>Karaganda State Technical University</t>
        </is>
      </c>
      <c r="B685" t="inlineStr">
        <is>
          <t>Kazakhstan</t>
        </is>
      </c>
      <c r="C685" t="inlineStr">
        <is>
          <t>851-900</t>
        </is>
      </c>
      <c r="D685" t="inlineStr"/>
      <c r="E685" t="n">
        <v>9.699999999999999</v>
      </c>
      <c r="F685" t="n">
        <v>7.7</v>
      </c>
      <c r="G685" t="n">
        <v>84.59999999999999</v>
      </c>
      <c r="H685" t="n">
        <v>1.1</v>
      </c>
      <c r="I685" t="n">
        <v>10</v>
      </c>
      <c r="J685" t="n">
        <v>18.8</v>
      </c>
      <c r="K685" t="n">
        <v>2.4</v>
      </c>
      <c r="L685" t="n">
        <v>5.8</v>
      </c>
      <c r="M685" t="n">
        <v>1.2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n">
        <v>851</v>
      </c>
      <c r="Z685" t="inlineStr"/>
      <c r="AA685" t="inlineStr"/>
      <c r="AB685" t="inlineStr">
        <is>
          <t>U0684</t>
        </is>
      </c>
      <c r="AC685" t="inlineStr">
        <is>
          <t>KA</t>
        </is>
      </c>
      <c r="AD685" t="inlineStr"/>
      <c r="AE685" t="n">
        <v>1.1</v>
      </c>
      <c r="AF685" t="inlineStr"/>
      <c r="AG685" t="inlineStr"/>
      <c r="AH685" t="inlineStr"/>
      <c r="AI685" t="n">
        <v>9.699999999999999</v>
      </c>
      <c r="AJ685" t="n">
        <v>13.72</v>
      </c>
    </row>
    <row r="686">
      <c r="A686" t="inlineStr">
        <is>
          <t>Karl-Franzens-Universitaet Graz</t>
        </is>
      </c>
      <c r="B686" t="inlineStr">
        <is>
          <t>Austria</t>
        </is>
      </c>
      <c r="C686" t="inlineStr">
        <is>
          <t>671-680</t>
        </is>
      </c>
      <c r="D686" t="inlineStr"/>
      <c r="E686" t="n">
        <v>19.9</v>
      </c>
      <c r="F686" t="n">
        <v>10.9</v>
      </c>
      <c r="G686" t="n">
        <v>11.7</v>
      </c>
      <c r="H686" t="n">
        <v>10.7</v>
      </c>
      <c r="I686" t="n">
        <v>45.4</v>
      </c>
      <c r="J686" t="n">
        <v>26.1</v>
      </c>
      <c r="K686" t="n">
        <v>63.9</v>
      </c>
      <c r="L686" t="n">
        <v>31.9</v>
      </c>
      <c r="M686" t="n">
        <v>12.3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n">
        <v>671</v>
      </c>
      <c r="Z686" t="inlineStr"/>
      <c r="AA686" t="inlineStr"/>
      <c r="AB686" t="inlineStr">
        <is>
          <t>U0685</t>
        </is>
      </c>
      <c r="AC686" t="inlineStr">
        <is>
          <t>AU</t>
        </is>
      </c>
      <c r="AD686" t="inlineStr"/>
      <c r="AE686" t="n">
        <v>10.7</v>
      </c>
      <c r="AF686" t="inlineStr"/>
      <c r="AG686" t="inlineStr"/>
      <c r="AH686" t="inlineStr"/>
      <c r="AI686" t="n">
        <v>19.9</v>
      </c>
      <c r="AJ686" t="n">
        <v>16.63</v>
      </c>
    </row>
    <row r="687">
      <c r="A687" t="inlineStr">
        <is>
          <t>Karlsruhe Institute of Technology</t>
        </is>
      </c>
      <c r="B687" t="inlineStr">
        <is>
          <t>Germany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>
        <f>140</f>
        <v/>
      </c>
      <c r="O687" t="inlineStr">
        <is>
          <t>62.8</t>
        </is>
      </c>
      <c r="P687" t="n">
        <v>49.9</v>
      </c>
      <c r="Q687" t="n">
        <v>56.8</v>
      </c>
      <c r="R687" t="n">
        <v>72.5</v>
      </c>
      <c r="S687" t="n">
        <v>99.90000000000001</v>
      </c>
      <c r="T687" t="n">
        <v>77.59999999999999</v>
      </c>
      <c r="U687" t="inlineStr">
        <is>
          <t>21,448</t>
        </is>
      </c>
      <c r="V687" t="n">
        <v>20.5</v>
      </c>
      <c r="W687" t="inlineStr">
        <is>
          <t>25%</t>
        </is>
      </c>
      <c r="X687" t="inlineStr">
        <is>
          <t>29 : 71</t>
        </is>
      </c>
      <c r="Y687" t="inlineStr"/>
      <c r="Z687" t="n">
        <v>140</v>
      </c>
      <c r="AA687" t="n">
        <v>62.8</v>
      </c>
      <c r="AB687" t="inlineStr">
        <is>
          <t>U0686</t>
        </is>
      </c>
      <c r="AC687" t="inlineStr">
        <is>
          <t>GE</t>
        </is>
      </c>
      <c r="AD687" t="n">
        <v>62.8</v>
      </c>
      <c r="AE687" t="n">
        <v>72.5</v>
      </c>
      <c r="AF687" t="n">
        <v>20.5</v>
      </c>
      <c r="AG687" t="inlineStr">
        <is>
          <t>1:20.5</t>
        </is>
      </c>
      <c r="AH687" t="inlineStr">
        <is>
          <t>25%</t>
        </is>
      </c>
      <c r="AI687" t="inlineStr"/>
      <c r="AJ687" t="n">
        <v>63.9</v>
      </c>
    </row>
    <row r="688">
      <c r="A688" t="inlineStr">
        <is>
          <t>Karlstad University</t>
        </is>
      </c>
      <c r="B688" t="inlineStr">
        <is>
          <t>Sweden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>
        <is>
          <t>1001–1200</t>
        </is>
      </c>
      <c r="O688" t="inlineStr">
        <is>
          <t>28.3–32.6</t>
        </is>
      </c>
      <c r="P688" t="n">
        <v>19.9</v>
      </c>
      <c r="Q688" t="n">
        <v>14.4</v>
      </c>
      <c r="R688" t="n">
        <v>53.8</v>
      </c>
      <c r="S688" t="n">
        <v>29.4</v>
      </c>
      <c r="T688" t="n">
        <v>57.4</v>
      </c>
      <c r="U688" t="inlineStr">
        <is>
          <t>10,279</t>
        </is>
      </c>
      <c r="V688" t="n">
        <v>12.8</v>
      </c>
      <c r="W688" t="inlineStr">
        <is>
          <t>2%</t>
        </is>
      </c>
      <c r="X688" t="inlineStr">
        <is>
          <t>63 : 37</t>
        </is>
      </c>
      <c r="Y688" t="inlineStr"/>
      <c r="Z688" t="n">
        <v>1001</v>
      </c>
      <c r="AA688" t="n">
        <v>30.45</v>
      </c>
      <c r="AB688" t="inlineStr">
        <is>
          <t>U0687</t>
        </is>
      </c>
      <c r="AC688" t="inlineStr">
        <is>
          <t>SW</t>
        </is>
      </c>
      <c r="AD688" t="n">
        <v>30.45</v>
      </c>
      <c r="AE688" t="n">
        <v>53.8</v>
      </c>
      <c r="AF688" t="n">
        <v>12.8</v>
      </c>
      <c r="AG688" t="inlineStr">
        <is>
          <t>1:12.8</t>
        </is>
      </c>
      <c r="AH688" t="inlineStr">
        <is>
          <t>2%</t>
        </is>
      </c>
      <c r="AI688" t="inlineStr"/>
      <c r="AJ688" t="n">
        <v>31.12</v>
      </c>
    </row>
    <row r="689">
      <c r="A689" t="inlineStr">
        <is>
          <t>Karnatak University Dharwad</t>
        </is>
      </c>
      <c r="B689" t="inlineStr">
        <is>
          <t>India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>
        <is>
          <t>1001–1200</t>
        </is>
      </c>
      <c r="O689" t="inlineStr">
        <is>
          <t>28.3–32.6</t>
        </is>
      </c>
      <c r="P689" t="n">
        <v>35.1</v>
      </c>
      <c r="Q689" t="n">
        <v>9.699999999999999</v>
      </c>
      <c r="R689" t="n">
        <v>52.5</v>
      </c>
      <c r="S689" t="n">
        <v>21.6</v>
      </c>
      <c r="T689" t="n">
        <v>27.8</v>
      </c>
      <c r="U689" t="inlineStr">
        <is>
          <t>4,968</t>
        </is>
      </c>
      <c r="V689" t="n">
        <v>12.1</v>
      </c>
      <c r="W689" t="inlineStr">
        <is>
          <t>0%</t>
        </is>
      </c>
      <c r="X689" t="inlineStr">
        <is>
          <t>53 : 47</t>
        </is>
      </c>
      <c r="Y689" t="inlineStr"/>
      <c r="Z689" t="n">
        <v>1001</v>
      </c>
      <c r="AA689" t="n">
        <v>30.45</v>
      </c>
      <c r="AB689" t="inlineStr">
        <is>
          <t>U0688</t>
        </is>
      </c>
      <c r="AC689" t="inlineStr">
        <is>
          <t>IN</t>
        </is>
      </c>
      <c r="AD689" t="n">
        <v>30.45</v>
      </c>
      <c r="AE689" t="n">
        <v>52.5</v>
      </c>
      <c r="AF689" t="n">
        <v>12.1</v>
      </c>
      <c r="AG689" t="inlineStr">
        <is>
          <t>1:12.1</t>
        </is>
      </c>
      <c r="AH689" t="inlineStr">
        <is>
          <t>0%</t>
        </is>
      </c>
      <c r="AI689" t="inlineStr"/>
      <c r="AJ689" t="n">
        <v>21.11</v>
      </c>
    </row>
    <row r="690">
      <c r="A690" t="inlineStr">
        <is>
          <t>Karolinska Institute</t>
        </is>
      </c>
      <c r="B690" t="inlineStr">
        <is>
          <t>Sweden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>
        <is>
          <t>50</t>
        </is>
      </c>
      <c r="O690" t="inlineStr">
        <is>
          <t>75.9</t>
        </is>
      </c>
      <c r="P690" t="n">
        <v>58.9</v>
      </c>
      <c r="Q690" t="n">
        <v>67.90000000000001</v>
      </c>
      <c r="R690" t="n">
        <v>95.3</v>
      </c>
      <c r="S690" t="n">
        <v>96</v>
      </c>
      <c r="T690" t="n">
        <v>85.7</v>
      </c>
      <c r="U690" t="inlineStr">
        <is>
          <t>8,085</t>
        </is>
      </c>
      <c r="V690" t="n">
        <v>9.9</v>
      </c>
      <c r="W690" t="inlineStr">
        <is>
          <t>27%</t>
        </is>
      </c>
      <c r="X690" t="inlineStr">
        <is>
          <t>70 : 30</t>
        </is>
      </c>
      <c r="Y690" t="inlineStr"/>
      <c r="Z690" t="n">
        <v>50</v>
      </c>
      <c r="AA690" t="n">
        <v>75.90000000000001</v>
      </c>
      <c r="AB690" t="inlineStr">
        <is>
          <t>U0689</t>
        </is>
      </c>
      <c r="AC690" t="inlineStr">
        <is>
          <t>SW</t>
        </is>
      </c>
      <c r="AD690" t="n">
        <v>75.90000000000001</v>
      </c>
      <c r="AE690" t="n">
        <v>95.3</v>
      </c>
      <c r="AF690" t="n">
        <v>9.9</v>
      </c>
      <c r="AG690" t="inlineStr">
        <is>
          <t>1:9.9</t>
        </is>
      </c>
      <c r="AH690" t="inlineStr">
        <is>
          <t>27%</t>
        </is>
      </c>
      <c r="AI690" t="inlineStr"/>
      <c r="AJ690" t="n">
        <v>78.58</v>
      </c>
    </row>
    <row r="691">
      <c r="A691" t="inlineStr">
        <is>
          <t>Karunya Institute of Technology and Sciences</t>
        </is>
      </c>
      <c r="B691" t="inlineStr">
        <is>
          <t>India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>
        <is>
          <t>1201–1500</t>
        </is>
      </c>
      <c r="O691" t="inlineStr">
        <is>
          <t>22.8–28.2</t>
        </is>
      </c>
      <c r="P691" t="n">
        <v>18.7</v>
      </c>
      <c r="Q691" t="n">
        <v>13.4</v>
      </c>
      <c r="R691" t="n">
        <v>48.4</v>
      </c>
      <c r="S691" t="n">
        <v>18.6</v>
      </c>
      <c r="T691" t="n">
        <v>23.2</v>
      </c>
      <c r="U691" t="inlineStr">
        <is>
          <t>7,659</t>
        </is>
      </c>
      <c r="V691" t="n">
        <v>16.5</v>
      </c>
      <c r="W691" t="inlineStr">
        <is>
          <t>0%</t>
        </is>
      </c>
      <c r="X691" t="inlineStr">
        <is>
          <t>36 : 64</t>
        </is>
      </c>
      <c r="Y691" t="inlineStr"/>
      <c r="Z691" t="n">
        <v>1201</v>
      </c>
      <c r="AA691" t="n">
        <v>25.5</v>
      </c>
      <c r="AB691" t="inlineStr">
        <is>
          <t>U0690</t>
        </is>
      </c>
      <c r="AC691" t="inlineStr">
        <is>
          <t>IN</t>
        </is>
      </c>
      <c r="AD691" t="n">
        <v>25.5</v>
      </c>
      <c r="AE691" t="n">
        <v>48.4</v>
      </c>
      <c r="AF691" t="n">
        <v>16.5</v>
      </c>
      <c r="AG691" t="inlineStr">
        <is>
          <t>1:16.5</t>
        </is>
      </c>
      <c r="AH691" t="inlineStr">
        <is>
          <t>0%</t>
        </is>
      </c>
      <c r="AI691" t="inlineStr"/>
      <c r="AJ691" t="n">
        <v>20.69</v>
      </c>
    </row>
    <row r="692">
      <c r="A692" t="inlineStr">
        <is>
          <t>Kasetsart University</t>
        </is>
      </c>
      <c r="B692" t="inlineStr">
        <is>
          <t>Thailand</t>
        </is>
      </c>
      <c r="C692" t="inlineStr">
        <is>
          <t>781-790</t>
        </is>
      </c>
      <c r="D692" t="inlineStr"/>
      <c r="E692" t="n">
        <v>25.2</v>
      </c>
      <c r="F692" t="n">
        <v>18.6</v>
      </c>
      <c r="G692" t="n">
        <v>6.5</v>
      </c>
      <c r="H692" t="n">
        <v>2.5</v>
      </c>
      <c r="I692" t="n">
        <v>4.3</v>
      </c>
      <c r="J692" t="n">
        <v>1.3</v>
      </c>
      <c r="K692" t="n">
        <v>51.9</v>
      </c>
      <c r="L692" t="n">
        <v>18.5</v>
      </c>
      <c r="M692" t="n">
        <v>33.9</v>
      </c>
      <c r="N692" t="inlineStr">
        <is>
          <t>1501+</t>
        </is>
      </c>
      <c r="O692" t="inlineStr">
        <is>
          <t>9.7–22.7</t>
        </is>
      </c>
      <c r="P692" t="n">
        <v>18.1</v>
      </c>
      <c r="Q692" t="n">
        <v>12.6</v>
      </c>
      <c r="R692" t="n">
        <v>23.5</v>
      </c>
      <c r="S692" t="n">
        <v>25.7</v>
      </c>
      <c r="T692" t="n">
        <v>33.8</v>
      </c>
      <c r="U692" t="inlineStr">
        <is>
          <t>70,633</t>
        </is>
      </c>
      <c r="V692" t="n">
        <v>18.7</v>
      </c>
      <c r="W692" t="inlineStr">
        <is>
          <t>1%</t>
        </is>
      </c>
      <c r="X692" t="inlineStr">
        <is>
          <t>62 : 38</t>
        </is>
      </c>
      <c r="Y692" t="n">
        <v>781</v>
      </c>
      <c r="Z692" t="n">
        <v>1501</v>
      </c>
      <c r="AA692" t="n">
        <v>16.2</v>
      </c>
      <c r="AB692" t="inlineStr">
        <is>
          <t>U0691</t>
        </is>
      </c>
      <c r="AC692" t="inlineStr">
        <is>
          <t>TH</t>
        </is>
      </c>
      <c r="AD692" t="n">
        <v>16.2</v>
      </c>
      <c r="AE692" t="n">
        <v>2.5</v>
      </c>
      <c r="AF692" t="n">
        <v>18.7</v>
      </c>
      <c r="AG692" t="inlineStr">
        <is>
          <t>1:18.7</t>
        </is>
      </c>
      <c r="AH692" t="inlineStr">
        <is>
          <t>1%</t>
        </is>
      </c>
      <c r="AI692" t="n">
        <v>25.2</v>
      </c>
      <c r="AJ692" t="n">
        <v>8.93</v>
      </c>
    </row>
    <row r="693">
      <c r="A693" t="inlineStr">
        <is>
          <t>Kashan University of Medical Sciences and Health Services</t>
        </is>
      </c>
      <c r="B693" t="inlineStr">
        <is>
          <t>Iran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>
        <is>
          <t>601–800</t>
        </is>
      </c>
      <c r="O693" t="inlineStr">
        <is>
          <t>37.0–41.8</t>
        </is>
      </c>
      <c r="P693" t="n">
        <v>32.9</v>
      </c>
      <c r="Q693" t="n">
        <v>15</v>
      </c>
      <c r="R693" t="n">
        <v>75.59999999999999</v>
      </c>
      <c r="S693" t="n">
        <v>17.4</v>
      </c>
      <c r="T693" t="n">
        <v>25.3</v>
      </c>
      <c r="U693" t="inlineStr">
        <is>
          <t>3,265</t>
        </is>
      </c>
      <c r="V693" t="n">
        <v>20.5</v>
      </c>
      <c r="W693" t="inlineStr">
        <is>
          <t>3%</t>
        </is>
      </c>
      <c r="X693" t="inlineStr">
        <is>
          <t>58 : 42</t>
        </is>
      </c>
      <c r="Y693" t="inlineStr"/>
      <c r="Z693" t="n">
        <v>601</v>
      </c>
      <c r="AA693" t="n">
        <v>39.4</v>
      </c>
      <c r="AB693" t="inlineStr">
        <is>
          <t>U0692</t>
        </is>
      </c>
      <c r="AC693" t="inlineStr">
        <is>
          <t>IR</t>
        </is>
      </c>
      <c r="AD693" t="n">
        <v>39.4</v>
      </c>
      <c r="AE693" t="n">
        <v>75.59999999999999</v>
      </c>
      <c r="AF693" t="n">
        <v>20.5</v>
      </c>
      <c r="AG693" t="inlineStr">
        <is>
          <t>1:20.5</t>
        </is>
      </c>
      <c r="AH693" t="inlineStr">
        <is>
          <t>3%</t>
        </is>
      </c>
      <c r="AI693" t="inlineStr"/>
      <c r="AJ693" t="n">
        <v>30.28</v>
      </c>
    </row>
    <row r="694">
      <c r="A694" t="inlineStr">
        <is>
          <t>Kastamonu University</t>
        </is>
      </c>
      <c r="B694" t="inlineStr">
        <is>
          <t>Turkey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>
        <is>
          <t>1501+</t>
        </is>
      </c>
      <c r="O694" t="inlineStr">
        <is>
          <t>9.7–22.7</t>
        </is>
      </c>
      <c r="P694" t="n">
        <v>11.6</v>
      </c>
      <c r="Q694" t="n">
        <v>11.6</v>
      </c>
      <c r="R694" t="n">
        <v>35.8</v>
      </c>
      <c r="S694" t="n">
        <v>15.9</v>
      </c>
      <c r="T694" t="n">
        <v>35.5</v>
      </c>
      <c r="U694" t="inlineStr">
        <is>
          <t>18,233</t>
        </is>
      </c>
      <c r="V694" t="n">
        <v>36.8</v>
      </c>
      <c r="W694" t="inlineStr">
        <is>
          <t>12%</t>
        </is>
      </c>
      <c r="X694" t="inlineStr">
        <is>
          <t>43 : 57</t>
        </is>
      </c>
      <c r="Y694" t="inlineStr"/>
      <c r="Z694" t="n">
        <v>1501</v>
      </c>
      <c r="AA694" t="n">
        <v>16.2</v>
      </c>
      <c r="AB694" t="inlineStr">
        <is>
          <t>U0693</t>
        </is>
      </c>
      <c r="AC694" t="inlineStr">
        <is>
          <t>TU</t>
        </is>
      </c>
      <c r="AD694" t="n">
        <v>16.2</v>
      </c>
      <c r="AE694" t="n">
        <v>35.8</v>
      </c>
      <c r="AF694" t="n">
        <v>36.8</v>
      </c>
      <c r="AG694" t="inlineStr">
        <is>
          <t>1:36.8</t>
        </is>
      </c>
      <c r="AH694" t="inlineStr">
        <is>
          <t>12%</t>
        </is>
      </c>
      <c r="AI694" t="inlineStr"/>
      <c r="AJ694" t="n">
        <v>18.91</v>
      </c>
    </row>
    <row r="695">
      <c r="A695" t="inlineStr">
        <is>
          <t>Kaunas University of Technology</t>
        </is>
      </c>
      <c r="B695" t="inlineStr">
        <is>
          <t>Lithuania</t>
        </is>
      </c>
      <c r="C695" t="inlineStr">
        <is>
          <t>751-760</t>
        </is>
      </c>
      <c r="D695" t="inlineStr"/>
      <c r="E695" t="n">
        <v>11.2</v>
      </c>
      <c r="F695" t="n">
        <v>18.5</v>
      </c>
      <c r="G695" t="n">
        <v>31.1</v>
      </c>
      <c r="H695" t="n">
        <v>7.9</v>
      </c>
      <c r="I695" t="n">
        <v>3.5</v>
      </c>
      <c r="J695" t="n">
        <v>28.6</v>
      </c>
      <c r="K695" t="n">
        <v>64.2</v>
      </c>
      <c r="L695" t="n">
        <v>23.2</v>
      </c>
      <c r="M695" t="n">
        <v>16.1</v>
      </c>
      <c r="N695" t="inlineStr">
        <is>
          <t>1201–1500</t>
        </is>
      </c>
      <c r="O695" t="inlineStr">
        <is>
          <t>22.8–28.2</t>
        </is>
      </c>
      <c r="P695" t="n">
        <v>22.2</v>
      </c>
      <c r="Q695" t="n">
        <v>15.3</v>
      </c>
      <c r="R695" t="n">
        <v>39</v>
      </c>
      <c r="S695" t="n">
        <v>36.9</v>
      </c>
      <c r="T695" t="n">
        <v>39.2</v>
      </c>
      <c r="U695" t="inlineStr">
        <is>
          <t>7,986</t>
        </is>
      </c>
      <c r="V695" t="n">
        <v>13.3</v>
      </c>
      <c r="W695" t="inlineStr">
        <is>
          <t>8%</t>
        </is>
      </c>
      <c r="X695" t="inlineStr">
        <is>
          <t>36 : 64</t>
        </is>
      </c>
      <c r="Y695" t="n">
        <v>751</v>
      </c>
      <c r="Z695" t="n">
        <v>1201</v>
      </c>
      <c r="AA695" t="n">
        <v>25.5</v>
      </c>
      <c r="AB695" t="inlineStr">
        <is>
          <t>U0694</t>
        </is>
      </c>
      <c r="AC695" t="inlineStr">
        <is>
          <t>LI</t>
        </is>
      </c>
      <c r="AD695" t="n">
        <v>25.5</v>
      </c>
      <c r="AE695" t="n">
        <v>7.9</v>
      </c>
      <c r="AF695" t="n">
        <v>13.3</v>
      </c>
      <c r="AG695" t="inlineStr">
        <is>
          <t>1:13.3</t>
        </is>
      </c>
      <c r="AH695" t="inlineStr">
        <is>
          <t>8%</t>
        </is>
      </c>
      <c r="AI695" t="n">
        <v>11.2</v>
      </c>
      <c r="AJ695" t="n">
        <v>13.29</v>
      </c>
    </row>
    <row r="696">
      <c r="A696" t="inlineStr">
        <is>
          <t>Kazakh Ablai Khan University of International Relations and World Languages</t>
        </is>
      </c>
      <c r="B696" t="inlineStr">
        <is>
          <t>Kazakhstan</t>
        </is>
      </c>
      <c r="C696" t="inlineStr">
        <is>
          <t>1201-1400</t>
        </is>
      </c>
      <c r="D696" t="inlineStr"/>
      <c r="E696" t="n">
        <v>7.7</v>
      </c>
      <c r="F696" t="n">
        <v>9</v>
      </c>
      <c r="G696" t="n">
        <v>40.4</v>
      </c>
      <c r="H696" t="n">
        <v>1</v>
      </c>
      <c r="I696" t="n">
        <v>6.6</v>
      </c>
      <c r="J696" t="n">
        <v>4.1</v>
      </c>
      <c r="K696" t="n">
        <v>1</v>
      </c>
      <c r="L696" t="n">
        <v>3.4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n">
        <v>1201</v>
      </c>
      <c r="Z696" t="inlineStr"/>
      <c r="AA696" t="inlineStr"/>
      <c r="AB696" t="inlineStr">
        <is>
          <t>U0695</t>
        </is>
      </c>
      <c r="AC696" t="inlineStr">
        <is>
          <t>KA</t>
        </is>
      </c>
      <c r="AD696" t="inlineStr"/>
      <c r="AE696" t="n">
        <v>1</v>
      </c>
      <c r="AF696" t="inlineStr"/>
      <c r="AG696" t="inlineStr"/>
      <c r="AH696" t="inlineStr"/>
      <c r="AI696" t="n">
        <v>7.7</v>
      </c>
      <c r="AJ696" t="n">
        <v>13.69</v>
      </c>
    </row>
    <row r="697">
      <c r="A697" t="inlineStr">
        <is>
          <t>Kazakh-British Technical University</t>
        </is>
      </c>
      <c r="B697" t="inlineStr">
        <is>
          <t>Kazakhstan</t>
        </is>
      </c>
      <c r="C697" t="inlineStr">
        <is>
          <t>1001-1200</t>
        </is>
      </c>
      <c r="D697" t="inlineStr"/>
      <c r="E697" t="n">
        <v>14.4</v>
      </c>
      <c r="F697" t="n">
        <v>28.2</v>
      </c>
      <c r="G697" t="n">
        <v>16.1</v>
      </c>
      <c r="H697" t="n">
        <v>1.5</v>
      </c>
      <c r="I697" t="n">
        <v>6</v>
      </c>
      <c r="J697" t="n">
        <v>2.5</v>
      </c>
      <c r="K697" t="n">
        <v>13.8</v>
      </c>
      <c r="L697" t="n">
        <v>3.4</v>
      </c>
      <c r="M697" t="n">
        <v>1.2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n">
        <v>1001</v>
      </c>
      <c r="Z697" t="inlineStr"/>
      <c r="AA697" t="inlineStr"/>
      <c r="AB697" t="inlineStr">
        <is>
          <t>U0696</t>
        </is>
      </c>
      <c r="AC697" t="inlineStr">
        <is>
          <t>KA</t>
        </is>
      </c>
      <c r="AD697" t="inlineStr"/>
      <c r="AE697" t="n">
        <v>1.5</v>
      </c>
      <c r="AF697" t="inlineStr"/>
      <c r="AG697" t="inlineStr"/>
      <c r="AH697" t="inlineStr"/>
      <c r="AI697" t="n">
        <v>14.4</v>
      </c>
      <c r="AJ697" t="n">
        <v>13.84</v>
      </c>
    </row>
    <row r="698">
      <c r="A698" t="inlineStr">
        <is>
          <t>Kazakh National Agrarian University KazNAU</t>
        </is>
      </c>
      <c r="B698" t="inlineStr">
        <is>
          <t>Kazakhstan</t>
        </is>
      </c>
      <c r="C698" t="inlineStr">
        <is>
          <t>671-680</t>
        </is>
      </c>
      <c r="D698" t="inlineStr"/>
      <c r="E698" t="n">
        <v>19.9</v>
      </c>
      <c r="F698" t="n">
        <v>16.4</v>
      </c>
      <c r="G698" t="n">
        <v>85.2</v>
      </c>
      <c r="H698" t="n">
        <v>1.1</v>
      </c>
      <c r="I698" t="n">
        <v>19.6</v>
      </c>
      <c r="J698" t="n">
        <v>22.6</v>
      </c>
      <c r="K698" t="n">
        <v>6.5</v>
      </c>
      <c r="L698" t="n">
        <v>3.3</v>
      </c>
      <c r="M698" t="n">
        <v>2.7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n">
        <v>671</v>
      </c>
      <c r="Z698" t="inlineStr"/>
      <c r="AA698" t="inlineStr"/>
      <c r="AB698" t="inlineStr">
        <is>
          <t>U0697</t>
        </is>
      </c>
      <c r="AC698" t="inlineStr">
        <is>
          <t>KA</t>
        </is>
      </c>
      <c r="AD698" t="inlineStr"/>
      <c r="AE698" t="n">
        <v>1.1</v>
      </c>
      <c r="AF698" t="inlineStr"/>
      <c r="AG698" t="inlineStr"/>
      <c r="AH698" t="inlineStr"/>
      <c r="AI698" t="n">
        <v>19.9</v>
      </c>
      <c r="AJ698" t="n">
        <v>13.72</v>
      </c>
    </row>
    <row r="699">
      <c r="A699" t="inlineStr">
        <is>
          <t>Kazan (Volga region) Federal University</t>
        </is>
      </c>
      <c r="B699" t="inlineStr">
        <is>
          <t>Russian Federation</t>
        </is>
      </c>
      <c r="C699" t="inlineStr">
        <is>
          <t>401</t>
        </is>
      </c>
      <c r="D699" t="n">
        <v>29.6</v>
      </c>
      <c r="E699" t="n">
        <v>23.6</v>
      </c>
      <c r="F699" t="n">
        <v>11.4</v>
      </c>
      <c r="G699" t="n">
        <v>95.59999999999999</v>
      </c>
      <c r="H699" t="n">
        <v>2.4</v>
      </c>
      <c r="I699" t="n">
        <v>10.2</v>
      </c>
      <c r="J699" t="n">
        <v>95.7</v>
      </c>
      <c r="K699" t="n">
        <v>88.3</v>
      </c>
      <c r="L699" t="n">
        <v>15.4</v>
      </c>
      <c r="M699" t="n">
        <v>22.2</v>
      </c>
      <c r="N699" t="inlineStr">
        <is>
          <t>801–1000</t>
        </is>
      </c>
      <c r="O699" t="inlineStr">
        <is>
          <t>32.7–36.9</t>
        </is>
      </c>
      <c r="P699" t="n">
        <v>44.7</v>
      </c>
      <c r="Q699" t="n">
        <v>21.7</v>
      </c>
      <c r="R699" t="n">
        <v>32.3</v>
      </c>
      <c r="S699" t="n">
        <v>42.6</v>
      </c>
      <c r="T699" t="n">
        <v>69.2</v>
      </c>
      <c r="U699" t="inlineStr">
        <is>
          <t>22,464</t>
        </is>
      </c>
      <c r="V699" t="n">
        <v>10.8</v>
      </c>
      <c r="W699" t="inlineStr">
        <is>
          <t>33%</t>
        </is>
      </c>
      <c r="X699" t="inlineStr">
        <is>
          <t>67 : 33</t>
        </is>
      </c>
      <c r="Y699" t="n">
        <v>401</v>
      </c>
      <c r="Z699" t="n">
        <v>801</v>
      </c>
      <c r="AA699" t="n">
        <v>34.8</v>
      </c>
      <c r="AB699" t="inlineStr">
        <is>
          <t>U0698</t>
        </is>
      </c>
      <c r="AC699" t="inlineStr">
        <is>
          <t>RU</t>
        </is>
      </c>
      <c r="AD699" t="n">
        <v>29.6</v>
      </c>
      <c r="AE699" t="n">
        <v>2.4</v>
      </c>
      <c r="AF699" t="n">
        <v>10.8</v>
      </c>
      <c r="AG699" t="inlineStr">
        <is>
          <t>1:10.8</t>
        </is>
      </c>
      <c r="AH699" t="inlineStr">
        <is>
          <t>33%</t>
        </is>
      </c>
      <c r="AI699" t="n">
        <v>23.6</v>
      </c>
      <c r="AJ699" t="n">
        <v>22.23</v>
      </c>
    </row>
    <row r="700">
      <c r="A700" t="inlineStr">
        <is>
          <t>Kazan National Research Technical University</t>
        </is>
      </c>
      <c r="B700" t="inlineStr">
        <is>
          <t>Russian Federation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>
        <is>
          <t>1501+</t>
        </is>
      </c>
      <c r="O700" t="inlineStr">
        <is>
          <t>9.7–22.7</t>
        </is>
      </c>
      <c r="P700" t="n">
        <v>18.8</v>
      </c>
      <c r="Q700" t="n">
        <v>10.8</v>
      </c>
      <c r="R700" t="n">
        <v>24.9</v>
      </c>
      <c r="S700" t="n">
        <v>42.6</v>
      </c>
      <c r="T700" t="n">
        <v>31.7</v>
      </c>
      <c r="U700" t="inlineStr">
        <is>
          <t>7,516</t>
        </is>
      </c>
      <c r="V700" t="n">
        <v>16.7</v>
      </c>
      <c r="W700" t="inlineStr">
        <is>
          <t>12%</t>
        </is>
      </c>
      <c r="X700" t="inlineStr">
        <is>
          <t>26 : 74</t>
        </is>
      </c>
      <c r="Y700" t="inlineStr"/>
      <c r="Z700" t="n">
        <v>1501</v>
      </c>
      <c r="AA700" t="n">
        <v>16.2</v>
      </c>
      <c r="AB700" t="inlineStr">
        <is>
          <t>U0699</t>
        </is>
      </c>
      <c r="AC700" t="inlineStr">
        <is>
          <t>RU</t>
        </is>
      </c>
      <c r="AD700" t="n">
        <v>16.2</v>
      </c>
      <c r="AE700" t="n">
        <v>24.9</v>
      </c>
      <c r="AF700" t="n">
        <v>16.7</v>
      </c>
      <c r="AG700" t="inlineStr">
        <is>
          <t>1:16.7</t>
        </is>
      </c>
      <c r="AH700" t="inlineStr">
        <is>
          <t>12%</t>
        </is>
      </c>
      <c r="AI700" t="inlineStr"/>
      <c r="AJ700" t="n">
        <v>14.26</v>
      </c>
    </row>
    <row r="701">
      <c r="A701" t="inlineStr">
        <is>
          <t>Kazan National Research Technological University</t>
        </is>
      </c>
      <c r="B701" t="inlineStr">
        <is>
          <t>Russian Federation</t>
        </is>
      </c>
      <c r="C701" t="inlineStr">
        <is>
          <t>1201-1400</t>
        </is>
      </c>
      <c r="D701" t="inlineStr"/>
      <c r="E701" t="n">
        <v>5.7</v>
      </c>
      <c r="F701" t="n">
        <v>4.1</v>
      </c>
      <c r="G701" t="n">
        <v>18.9</v>
      </c>
      <c r="H701" t="n">
        <v>1.4</v>
      </c>
      <c r="I701" t="n">
        <v>2.7</v>
      </c>
      <c r="J701" t="n">
        <v>29.6</v>
      </c>
      <c r="K701" t="n">
        <v>7.2</v>
      </c>
      <c r="L701" t="n">
        <v>3.1</v>
      </c>
      <c r="M701" t="n">
        <v>1</v>
      </c>
      <c r="N701" t="inlineStr">
        <is>
          <t>1501+</t>
        </is>
      </c>
      <c r="O701" t="inlineStr">
        <is>
          <t>9.7–22.7</t>
        </is>
      </c>
      <c r="P701" t="n">
        <v>21.9</v>
      </c>
      <c r="Q701" t="n">
        <v>8.800000000000001</v>
      </c>
      <c r="R701" t="n">
        <v>12.4</v>
      </c>
      <c r="S701" t="n">
        <v>36.1</v>
      </c>
      <c r="T701" t="n">
        <v>35.4</v>
      </c>
      <c r="U701" t="inlineStr">
        <is>
          <t>13,088</t>
        </is>
      </c>
      <c r="V701" t="n">
        <v>11.6</v>
      </c>
      <c r="W701" t="inlineStr">
        <is>
          <t>16%</t>
        </is>
      </c>
      <c r="X701" t="inlineStr">
        <is>
          <t>40 : 60</t>
        </is>
      </c>
      <c r="Y701" t="n">
        <v>1201</v>
      </c>
      <c r="Z701" t="n">
        <v>1501</v>
      </c>
      <c r="AA701" t="n">
        <v>16.2</v>
      </c>
      <c r="AB701" t="inlineStr">
        <is>
          <t>U0700</t>
        </is>
      </c>
      <c r="AC701" t="inlineStr">
        <is>
          <t>RU</t>
        </is>
      </c>
      <c r="AD701" t="n">
        <v>16.2</v>
      </c>
      <c r="AE701" t="n">
        <v>1.4</v>
      </c>
      <c r="AF701" t="n">
        <v>11.6</v>
      </c>
      <c r="AG701" t="inlineStr">
        <is>
          <t>1:11.6</t>
        </is>
      </c>
      <c r="AH701" t="inlineStr">
        <is>
          <t>16%</t>
        </is>
      </c>
      <c r="AI701" t="n">
        <v>5.7</v>
      </c>
      <c r="AJ701" t="n">
        <v>6.99</v>
      </c>
    </row>
    <row r="702">
      <c r="A702" t="inlineStr">
        <is>
          <t>Kazan State Medical University</t>
        </is>
      </c>
      <c r="B702" t="inlineStr">
        <is>
          <t>Russian Federation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>
        <is>
          <t>1501+</t>
        </is>
      </c>
      <c r="O702" t="inlineStr">
        <is>
          <t>9.7–22.7</t>
        </is>
      </c>
      <c r="P702" t="n">
        <v>40.5</v>
      </c>
      <c r="Q702" t="n">
        <v>10.3</v>
      </c>
      <c r="R702" t="n">
        <v>7.3</v>
      </c>
      <c r="S702" t="n">
        <v>17.1</v>
      </c>
      <c r="T702" t="n">
        <v>45.2</v>
      </c>
      <c r="U702" t="inlineStr">
        <is>
          <t>5,891</t>
        </is>
      </c>
      <c r="V702" t="n">
        <v>10.7</v>
      </c>
      <c r="W702" t="inlineStr">
        <is>
          <t>31%</t>
        </is>
      </c>
      <c r="X702" t="inlineStr">
        <is>
          <t>63 : 37</t>
        </is>
      </c>
      <c r="Y702" t="inlineStr"/>
      <c r="Z702" t="n">
        <v>1501</v>
      </c>
      <c r="AA702" t="n">
        <v>16.2</v>
      </c>
      <c r="AB702" t="inlineStr">
        <is>
          <t>U0701</t>
        </is>
      </c>
      <c r="AC702" t="inlineStr">
        <is>
          <t>RU</t>
        </is>
      </c>
      <c r="AD702" t="n">
        <v>16.2</v>
      </c>
      <c r="AE702" t="n">
        <v>7.3</v>
      </c>
      <c r="AF702" t="n">
        <v>10.7</v>
      </c>
      <c r="AG702" t="inlineStr">
        <is>
          <t>1:10.7</t>
        </is>
      </c>
      <c r="AH702" t="inlineStr">
        <is>
          <t>31%</t>
        </is>
      </c>
      <c r="AI702" t="inlineStr"/>
      <c r="AJ702" t="n">
        <v>11.93</v>
      </c>
    </row>
    <row r="703">
      <c r="A703" t="inlineStr">
        <is>
          <t xml:space="preserve">Keele University </t>
        </is>
      </c>
      <c r="B703" t="inlineStr">
        <is>
          <t>United Kingdom</t>
        </is>
      </c>
      <c r="C703" t="inlineStr">
        <is>
          <t>791-800</t>
        </is>
      </c>
      <c r="D703" t="inlineStr"/>
      <c r="E703" t="n">
        <v>6</v>
      </c>
      <c r="F703" t="n">
        <v>4.4</v>
      </c>
      <c r="G703" t="n">
        <v>14.4</v>
      </c>
      <c r="H703" t="n">
        <v>26.2</v>
      </c>
      <c r="I703" t="n">
        <v>51.6</v>
      </c>
      <c r="J703" t="n">
        <v>30.7</v>
      </c>
      <c r="K703" t="n">
        <v>62.9</v>
      </c>
      <c r="L703" t="n">
        <v>6.9</v>
      </c>
      <c r="M703" t="n">
        <v>3.1</v>
      </c>
      <c r="N703" t="inlineStr">
        <is>
          <t>501–600</t>
        </is>
      </c>
      <c r="O703" t="inlineStr">
        <is>
          <t>41.9–45.3</t>
        </is>
      </c>
      <c r="P703" t="n">
        <v>21.5</v>
      </c>
      <c r="Q703" t="n">
        <v>24.6</v>
      </c>
      <c r="R703" t="n">
        <v>73.3</v>
      </c>
      <c r="S703" t="n">
        <v>66.09999999999999</v>
      </c>
      <c r="T703" t="n">
        <v>81.3</v>
      </c>
      <c r="U703" t="inlineStr">
        <is>
          <t>9,610</t>
        </is>
      </c>
      <c r="V703" t="n">
        <v>15.8</v>
      </c>
      <c r="W703" t="inlineStr">
        <is>
          <t>15%</t>
        </is>
      </c>
      <c r="X703" t="inlineStr">
        <is>
          <t>60 : 40</t>
        </is>
      </c>
      <c r="Y703" t="n">
        <v>791</v>
      </c>
      <c r="Z703" t="n">
        <v>501</v>
      </c>
      <c r="AA703" t="n">
        <v>43.59999999999999</v>
      </c>
      <c r="AB703" t="inlineStr">
        <is>
          <t>U0702</t>
        </is>
      </c>
      <c r="AC703" t="inlineStr">
        <is>
          <t>UN</t>
        </is>
      </c>
      <c r="AD703" t="n">
        <v>43.59999999999999</v>
      </c>
      <c r="AE703" t="n">
        <v>26.2</v>
      </c>
      <c r="AF703" t="n">
        <v>15.8</v>
      </c>
      <c r="AG703" t="inlineStr">
        <is>
          <t>1:15.8</t>
        </is>
      </c>
      <c r="AH703" t="inlineStr">
        <is>
          <t>15%</t>
        </is>
      </c>
      <c r="AI703" t="n">
        <v>6</v>
      </c>
      <c r="AJ703" t="n">
        <v>33.89</v>
      </c>
    </row>
    <row r="704">
      <c r="A704" t="inlineStr">
        <is>
          <t>Keio University</t>
        </is>
      </c>
      <c r="B704" t="inlineStr">
        <is>
          <t>Japan</t>
        </is>
      </c>
      <c r="C704" t="inlineStr">
        <is>
          <t>188</t>
        </is>
      </c>
      <c r="D704" t="n">
        <v>47.4</v>
      </c>
      <c r="E704" t="n">
        <v>53</v>
      </c>
      <c r="F704" t="n">
        <v>91.59999999999999</v>
      </c>
      <c r="G704" t="n">
        <v>57.2</v>
      </c>
      <c r="H704" t="n">
        <v>5.1</v>
      </c>
      <c r="I704" t="n">
        <v>9.4</v>
      </c>
      <c r="J704" t="n">
        <v>10.2</v>
      </c>
      <c r="K704" t="n">
        <v>57.5</v>
      </c>
      <c r="L704" t="n">
        <v>91.40000000000001</v>
      </c>
      <c r="M704" t="n">
        <v>59</v>
      </c>
      <c r="N704" t="inlineStr">
        <is>
          <t>601–800</t>
        </is>
      </c>
      <c r="O704" t="inlineStr">
        <is>
          <t>37.0–41.8</t>
        </is>
      </c>
      <c r="P704" t="n">
        <v>36.9</v>
      </c>
      <c r="Q704" t="n">
        <v>27</v>
      </c>
      <c r="R704" t="n">
        <v>49.2</v>
      </c>
      <c r="S704" t="n">
        <v>73.3</v>
      </c>
      <c r="T704" t="n">
        <v>38.4</v>
      </c>
      <c r="U704" t="inlineStr">
        <is>
          <t>33,577</t>
        </is>
      </c>
      <c r="V704" t="n">
        <v>10.2</v>
      </c>
      <c r="W704" t="inlineStr">
        <is>
          <t>8%</t>
        </is>
      </c>
      <c r="X704" t="inlineStr">
        <is>
          <t>36 : 64</t>
        </is>
      </c>
      <c r="Y704" t="n">
        <v>188</v>
      </c>
      <c r="Z704" t="n">
        <v>601</v>
      </c>
      <c r="AA704" t="n">
        <v>39.4</v>
      </c>
      <c r="AB704" t="inlineStr">
        <is>
          <t>U0703</t>
        </is>
      </c>
      <c r="AC704" t="inlineStr">
        <is>
          <t>JA</t>
        </is>
      </c>
      <c r="AD704" t="n">
        <v>47.4</v>
      </c>
      <c r="AE704" t="n">
        <v>5.1</v>
      </c>
      <c r="AF704" t="n">
        <v>10.2</v>
      </c>
      <c r="AG704" t="inlineStr">
        <is>
          <t>1:10.2</t>
        </is>
      </c>
      <c r="AH704" t="inlineStr">
        <is>
          <t>8%</t>
        </is>
      </c>
      <c r="AI704" t="n">
        <v>53</v>
      </c>
      <c r="AJ704" t="n">
        <v>18.38</v>
      </c>
    </row>
    <row r="705">
      <c r="A705" t="inlineStr">
        <is>
          <t>Kemerovo State University</t>
        </is>
      </c>
      <c r="B705" t="inlineStr">
        <is>
          <t>Russian Federation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>
        <is>
          <t>1501+</t>
        </is>
      </c>
      <c r="O705" t="inlineStr">
        <is>
          <t>9.7–22.7</t>
        </is>
      </c>
      <c r="P705" t="n">
        <v>14.9</v>
      </c>
      <c r="Q705" t="n">
        <v>10.1</v>
      </c>
      <c r="R705" t="n">
        <v>8.6</v>
      </c>
      <c r="S705" t="n">
        <v>18.2</v>
      </c>
      <c r="T705" t="n">
        <v>24.3</v>
      </c>
      <c r="U705" t="inlineStr">
        <is>
          <t>14,842</t>
        </is>
      </c>
      <c r="V705" t="n">
        <v>18.5</v>
      </c>
      <c r="W705" t="inlineStr">
        <is>
          <t>7%</t>
        </is>
      </c>
      <c r="X705" t="inlineStr">
        <is>
          <t>63 : 37</t>
        </is>
      </c>
      <c r="Y705" t="inlineStr"/>
      <c r="Z705" t="n">
        <v>1501</v>
      </c>
      <c r="AA705" t="n">
        <v>16.2</v>
      </c>
      <c r="AB705" t="inlineStr">
        <is>
          <t>U0704</t>
        </is>
      </c>
      <c r="AC705" t="inlineStr">
        <is>
          <t>RU</t>
        </is>
      </c>
      <c r="AD705" t="n">
        <v>16.2</v>
      </c>
      <c r="AE705" t="n">
        <v>8.6</v>
      </c>
      <c r="AF705" t="n">
        <v>18.5</v>
      </c>
      <c r="AG705" t="inlineStr">
        <is>
          <t>1:18.5</t>
        </is>
      </c>
      <c r="AH705" t="inlineStr">
        <is>
          <t>7%</t>
        </is>
      </c>
      <c r="AI705" t="inlineStr"/>
      <c r="AJ705" t="n">
        <v>7.17</v>
      </c>
    </row>
    <row r="706">
      <c r="A706" t="inlineStr">
        <is>
          <t>Kent State University</t>
        </is>
      </c>
      <c r="B706" t="inlineStr">
        <is>
          <t>United States</t>
        </is>
      </c>
      <c r="C706" t="inlineStr">
        <is>
          <t>1001-1200</t>
        </is>
      </c>
      <c r="D706" t="inlineStr"/>
      <c r="E706" t="n">
        <v>5.5</v>
      </c>
      <c r="F706" t="n">
        <v>2.9</v>
      </c>
      <c r="G706" t="n">
        <v>6.2</v>
      </c>
      <c r="H706" t="n">
        <v>12.7</v>
      </c>
      <c r="I706" t="n">
        <v>19.2</v>
      </c>
      <c r="J706" t="n">
        <v>6.6</v>
      </c>
      <c r="K706" t="n">
        <v>57.1</v>
      </c>
      <c r="L706" t="n">
        <v>7.6</v>
      </c>
      <c r="M706" t="n">
        <v>2.8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n">
        <v>1001</v>
      </c>
      <c r="Z706" t="inlineStr"/>
      <c r="AA706" t="inlineStr"/>
      <c r="AB706" t="inlineStr">
        <is>
          <t>U0705</t>
        </is>
      </c>
      <c r="AC706" t="inlineStr">
        <is>
          <t>UN</t>
        </is>
      </c>
      <c r="AD706" t="inlineStr"/>
      <c r="AE706" t="n">
        <v>12.7</v>
      </c>
      <c r="AF706" t="inlineStr"/>
      <c r="AG706" t="inlineStr"/>
      <c r="AH706" t="inlineStr"/>
      <c r="AI706" t="n">
        <v>5.5</v>
      </c>
      <c r="AJ706" t="n">
        <v>17.24</v>
      </c>
    </row>
    <row r="707">
      <c r="A707" t="inlineStr">
        <is>
          <t>Kenyatta University</t>
        </is>
      </c>
      <c r="B707" t="inlineStr">
        <is>
          <t>Kenya</t>
        </is>
      </c>
      <c r="C707" t="inlineStr">
        <is>
          <t>1201-1400</t>
        </is>
      </c>
      <c r="D707" t="inlineStr"/>
      <c r="E707" t="n">
        <v>7</v>
      </c>
      <c r="F707" t="n">
        <v>7.4</v>
      </c>
      <c r="G707" t="n">
        <v>1.5</v>
      </c>
      <c r="H707" t="n">
        <v>1.3</v>
      </c>
      <c r="I707" t="inlineStr"/>
      <c r="J707" t="inlineStr"/>
      <c r="K707" t="n">
        <v>13.1</v>
      </c>
      <c r="L707" t="n">
        <v>28.4</v>
      </c>
      <c r="M707" t="n">
        <v>1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n">
        <v>1201</v>
      </c>
      <c r="Z707" t="inlineStr"/>
      <c r="AA707" t="inlineStr"/>
      <c r="AB707" t="inlineStr">
        <is>
          <t>U0706</t>
        </is>
      </c>
      <c r="AC707" t="inlineStr">
        <is>
          <t>KE</t>
        </is>
      </c>
      <c r="AD707" t="inlineStr"/>
      <c r="AE707" t="n">
        <v>1.3</v>
      </c>
      <c r="AF707" t="inlineStr"/>
      <c r="AG707" t="inlineStr"/>
      <c r="AH707" t="inlineStr"/>
      <c r="AI707" t="n">
        <v>7</v>
      </c>
      <c r="AJ707" t="n">
        <v>13.78</v>
      </c>
    </row>
    <row r="708">
      <c r="A708" t="inlineStr">
        <is>
          <t>Kerman University of Medical Sciences</t>
        </is>
      </c>
      <c r="B708" t="inlineStr">
        <is>
          <t>Iran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>
        <is>
          <t>1001–1200</t>
        </is>
      </c>
      <c r="O708" t="inlineStr">
        <is>
          <t>28.3–32.6</t>
        </is>
      </c>
      <c r="P708" t="n">
        <v>32.7</v>
      </c>
      <c r="Q708" t="n">
        <v>11.8</v>
      </c>
      <c r="R708" t="n">
        <v>51.2</v>
      </c>
      <c r="S708" t="n">
        <v>20.5</v>
      </c>
      <c r="T708" t="n">
        <v>25.6</v>
      </c>
      <c r="U708" t="inlineStr">
        <is>
          <t>5,350</t>
        </is>
      </c>
      <c r="V708" t="n">
        <v>3.9</v>
      </c>
      <c r="W708" t="inlineStr">
        <is>
          <t>3%</t>
        </is>
      </c>
      <c r="X708" t="inlineStr"/>
      <c r="Y708" t="inlineStr"/>
      <c r="Z708" t="n">
        <v>1001</v>
      </c>
      <c r="AA708" t="n">
        <v>30.45</v>
      </c>
      <c r="AB708" t="inlineStr">
        <is>
          <t>U0707</t>
        </is>
      </c>
      <c r="AC708" t="inlineStr">
        <is>
          <t>IR</t>
        </is>
      </c>
      <c r="AD708" t="n">
        <v>30.45</v>
      </c>
      <c r="AE708" t="n">
        <v>51.2</v>
      </c>
      <c r="AF708" t="n">
        <v>3.9</v>
      </c>
      <c r="AG708" t="inlineStr">
        <is>
          <t>1:3.9</t>
        </is>
      </c>
      <c r="AH708" t="inlineStr">
        <is>
          <t>3%</t>
        </is>
      </c>
      <c r="AI708" t="inlineStr"/>
      <c r="AJ708" t="n">
        <v>21.28</v>
      </c>
    </row>
    <row r="709">
      <c r="A709" t="inlineStr">
        <is>
          <t>Khalifa University</t>
        </is>
      </c>
      <c r="B709" t="inlineStr">
        <is>
          <t>United Arab Emirates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>
        <is>
          <t>251–300</t>
        </is>
      </c>
      <c r="O709" t="inlineStr">
        <is>
          <t>53.1–55.8</t>
        </is>
      </c>
      <c r="P709" t="n">
        <v>31.7</v>
      </c>
      <c r="Q709" t="n">
        <v>35.9</v>
      </c>
      <c r="R709" t="n">
        <v>78.40000000000001</v>
      </c>
      <c r="S709" t="n">
        <v>95.59999999999999</v>
      </c>
      <c r="T709" t="n">
        <v>97.40000000000001</v>
      </c>
      <c r="U709" t="inlineStr">
        <is>
          <t>3,289</t>
        </is>
      </c>
      <c r="V709" t="n">
        <v>9.300000000000001</v>
      </c>
      <c r="W709" t="inlineStr">
        <is>
          <t>41%</t>
        </is>
      </c>
      <c r="X709" t="inlineStr">
        <is>
          <t>58 : 42</t>
        </is>
      </c>
      <c r="Y709" t="inlineStr"/>
      <c r="Z709" t="n">
        <v>251</v>
      </c>
      <c r="AA709" t="n">
        <v>54.45</v>
      </c>
      <c r="AB709" t="inlineStr">
        <is>
          <t>U0708</t>
        </is>
      </c>
      <c r="AC709" t="inlineStr">
        <is>
          <t>UN</t>
        </is>
      </c>
      <c r="AD709" t="n">
        <v>54.45</v>
      </c>
      <c r="AE709" t="n">
        <v>78.40000000000001</v>
      </c>
      <c r="AF709" t="n">
        <v>9.300000000000001</v>
      </c>
      <c r="AG709" t="inlineStr">
        <is>
          <t>1:9.3</t>
        </is>
      </c>
      <c r="AH709" t="inlineStr">
        <is>
          <t>41%</t>
        </is>
      </c>
      <c r="AI709" t="inlineStr"/>
      <c r="AJ709" t="n">
        <v>59.52</v>
      </c>
    </row>
    <row r="710">
      <c r="A710" t="inlineStr">
        <is>
          <t>Khalifa University of Science and Technology</t>
        </is>
      </c>
      <c r="B710" t="inlineStr">
        <is>
          <t>United Arab Emirates</t>
        </is>
      </c>
      <c r="C710" t="inlineStr">
        <is>
          <t>202</t>
        </is>
      </c>
      <c r="D710" t="n">
        <v>46.1</v>
      </c>
      <c r="E710" t="n">
        <v>22.7</v>
      </c>
      <c r="F710" t="n">
        <v>21</v>
      </c>
      <c r="G710" t="n">
        <v>80</v>
      </c>
      <c r="H710" t="n">
        <v>60.7</v>
      </c>
      <c r="I710" t="n">
        <v>100</v>
      </c>
      <c r="J710" t="n">
        <v>78.90000000000001</v>
      </c>
      <c r="K710" t="n">
        <v>78.8</v>
      </c>
      <c r="L710" t="n">
        <v>9.300000000000001</v>
      </c>
      <c r="M710" t="n">
        <v>61.6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n">
        <v>202</v>
      </c>
      <c r="Z710" t="inlineStr"/>
      <c r="AA710" t="inlineStr"/>
      <c r="AB710" t="inlineStr">
        <is>
          <t>U0709</t>
        </is>
      </c>
      <c r="AC710" t="inlineStr">
        <is>
          <t>UN</t>
        </is>
      </c>
      <c r="AD710" t="n">
        <v>46.1</v>
      </c>
      <c r="AE710" t="n">
        <v>60.7</v>
      </c>
      <c r="AF710" t="inlineStr"/>
      <c r="AG710" t="inlineStr"/>
      <c r="AH710" t="inlineStr"/>
      <c r="AI710" t="n">
        <v>22.7</v>
      </c>
      <c r="AJ710" t="n">
        <v>31.78</v>
      </c>
    </row>
    <row r="711">
      <c r="A711" t="inlineStr">
        <is>
          <t>Kharazmi University</t>
        </is>
      </c>
      <c r="B711" t="inlineStr">
        <is>
          <t>Iran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>
        <is>
          <t>1201–1500</t>
        </is>
      </c>
      <c r="O711" t="inlineStr">
        <is>
          <t>22.8–28.2</t>
        </is>
      </c>
      <c r="P711" t="n">
        <v>32.7</v>
      </c>
      <c r="Q711" t="n">
        <v>13.8</v>
      </c>
      <c r="R711" t="n">
        <v>37.2</v>
      </c>
      <c r="S711" t="n">
        <v>25</v>
      </c>
      <c r="T711" t="n">
        <v>29.5</v>
      </c>
      <c r="U711" t="inlineStr">
        <is>
          <t>12,604</t>
        </is>
      </c>
      <c r="V711" t="n">
        <v>16.8</v>
      </c>
      <c r="W711" t="inlineStr">
        <is>
          <t>3%</t>
        </is>
      </c>
      <c r="X711" t="inlineStr">
        <is>
          <t>55 : 45</t>
        </is>
      </c>
      <c r="Y711" t="inlineStr"/>
      <c r="Z711" t="n">
        <v>1201</v>
      </c>
      <c r="AA711" t="n">
        <v>25.5</v>
      </c>
      <c r="AB711" t="inlineStr">
        <is>
          <t>U0710</t>
        </is>
      </c>
      <c r="AC711" t="inlineStr">
        <is>
          <t>IR</t>
        </is>
      </c>
      <c r="AD711" t="n">
        <v>25.5</v>
      </c>
      <c r="AE711" t="n">
        <v>37.2</v>
      </c>
      <c r="AF711" t="n">
        <v>16.8</v>
      </c>
      <c r="AG711" t="inlineStr">
        <is>
          <t>1:16.8</t>
        </is>
      </c>
      <c r="AH711" t="inlineStr">
        <is>
          <t>3%</t>
        </is>
      </c>
      <c r="AI711" t="inlineStr"/>
      <c r="AJ711" t="n">
        <v>19.03</v>
      </c>
    </row>
    <row r="712">
      <c r="A712" t="inlineStr">
        <is>
          <t>Kharkiv Aviation Institute</t>
        </is>
      </c>
      <c r="B712" t="inlineStr">
        <is>
          <t>Ukraine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1201–1500</t>
        </is>
      </c>
      <c r="O712" t="inlineStr">
        <is>
          <t>22.8–28.2</t>
        </is>
      </c>
      <c r="P712" t="n">
        <v>20.6</v>
      </c>
      <c r="Q712" t="n">
        <v>9.199999999999999</v>
      </c>
      <c r="R712" t="n">
        <v>44.5</v>
      </c>
      <c r="S712" t="n">
        <v>16.4</v>
      </c>
      <c r="T712" t="n">
        <v>32.6</v>
      </c>
      <c r="U712" t="inlineStr">
        <is>
          <t>5,654</t>
        </is>
      </c>
      <c r="V712" t="n">
        <v>12</v>
      </c>
      <c r="W712" t="inlineStr">
        <is>
          <t>12%</t>
        </is>
      </c>
      <c r="X712" t="inlineStr">
        <is>
          <t>31 : 69</t>
        </is>
      </c>
      <c r="Y712" t="inlineStr"/>
      <c r="Z712" t="n">
        <v>1201</v>
      </c>
      <c r="AA712" t="n">
        <v>25.5</v>
      </c>
      <c r="AB712" t="inlineStr">
        <is>
          <t>U0711</t>
        </is>
      </c>
      <c r="AC712" t="inlineStr">
        <is>
          <t>UK</t>
        </is>
      </c>
      <c r="AD712" t="n">
        <v>25.5</v>
      </c>
      <c r="AE712" t="n">
        <v>44.5</v>
      </c>
      <c r="AF712" t="n">
        <v>12</v>
      </c>
      <c r="AG712" t="inlineStr">
        <is>
          <t>1:12.0</t>
        </is>
      </c>
      <c r="AH712" t="inlineStr">
        <is>
          <t>12%</t>
        </is>
      </c>
      <c r="AI712" t="inlineStr"/>
      <c r="AJ712" t="n">
        <v>19.58</v>
      </c>
    </row>
    <row r="713">
      <c r="A713" t="inlineStr">
        <is>
          <t xml:space="preserve">Kharkiv National University of Radio Electronics </t>
        </is>
      </c>
      <c r="B713" t="inlineStr">
        <is>
          <t>Ukraine</t>
        </is>
      </c>
      <c r="C713" t="inlineStr">
        <is>
          <t>1201-1400</t>
        </is>
      </c>
      <c r="D713" t="inlineStr"/>
      <c r="E713" t="n">
        <v>3.9</v>
      </c>
      <c r="F713" t="n">
        <v>12.3</v>
      </c>
      <c r="G713" t="n">
        <v>21.6</v>
      </c>
      <c r="H713" t="n">
        <v>1.5</v>
      </c>
      <c r="I713" t="n">
        <v>1.4</v>
      </c>
      <c r="J713" t="n">
        <v>5.1</v>
      </c>
      <c r="K713" t="n">
        <v>11.9</v>
      </c>
      <c r="L713" t="n">
        <v>4.1</v>
      </c>
      <c r="M713" t="n">
        <v>1.4</v>
      </c>
      <c r="N713" t="inlineStr">
        <is>
          <t>1001–1200</t>
        </is>
      </c>
      <c r="O713" t="inlineStr">
        <is>
          <t>28.3–32.6</t>
        </is>
      </c>
      <c r="P713" t="n">
        <v>22.2</v>
      </c>
      <c r="Q713" t="n">
        <v>9.4</v>
      </c>
      <c r="R713" t="n">
        <v>28</v>
      </c>
      <c r="S713" t="n">
        <v>16.5</v>
      </c>
      <c r="T713" t="n">
        <v>32.9</v>
      </c>
      <c r="U713" t="inlineStr">
        <is>
          <t>7,744</t>
        </is>
      </c>
      <c r="V713" t="n">
        <v>10.8</v>
      </c>
      <c r="W713" t="inlineStr">
        <is>
          <t>11%</t>
        </is>
      </c>
      <c r="X713" t="inlineStr">
        <is>
          <t>26 : 74</t>
        </is>
      </c>
      <c r="Y713" t="n">
        <v>1201</v>
      </c>
      <c r="Z713" t="n">
        <v>1001</v>
      </c>
      <c r="AA713" t="n">
        <v>30.45</v>
      </c>
      <c r="AB713" t="inlineStr">
        <is>
          <t>U0712</t>
        </is>
      </c>
      <c r="AC713" t="inlineStr">
        <is>
          <t>UK</t>
        </is>
      </c>
      <c r="AD713" t="n">
        <v>30.45</v>
      </c>
      <c r="AE713" t="n">
        <v>1.5</v>
      </c>
      <c r="AF713" t="n">
        <v>10.8</v>
      </c>
      <c r="AG713" t="inlineStr">
        <is>
          <t>1:10.8</t>
        </is>
      </c>
      <c r="AH713" t="inlineStr">
        <is>
          <t>11%</t>
        </is>
      </c>
      <c r="AI713" t="n">
        <v>3.9</v>
      </c>
      <c r="AJ713" t="n">
        <v>6.73</v>
      </c>
    </row>
    <row r="714">
      <c r="A714" t="inlineStr">
        <is>
          <t>Khoja Akhmet Yassawi International Kazakh-Turkish University</t>
        </is>
      </c>
      <c r="B714" t="inlineStr">
        <is>
          <t>Kazakhstan</t>
        </is>
      </c>
      <c r="C714" t="inlineStr">
        <is>
          <t>801-850</t>
        </is>
      </c>
      <c r="D714" t="inlineStr"/>
      <c r="E714" t="n">
        <v>16.7</v>
      </c>
      <c r="F714" t="n">
        <v>27.9</v>
      </c>
      <c r="G714" t="n">
        <v>44.6</v>
      </c>
      <c r="H714" t="n">
        <v>1.2</v>
      </c>
      <c r="I714" t="n">
        <v>7.1</v>
      </c>
      <c r="J714" t="n">
        <v>16.3</v>
      </c>
      <c r="K714" t="n">
        <v>3.2</v>
      </c>
      <c r="L714" t="n">
        <v>7.7</v>
      </c>
      <c r="M714" t="n">
        <v>1.5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n">
        <v>801</v>
      </c>
      <c r="Z714" t="inlineStr"/>
      <c r="AA714" t="inlineStr"/>
      <c r="AB714" t="inlineStr">
        <is>
          <t>U0713</t>
        </is>
      </c>
      <c r="AC714" t="inlineStr">
        <is>
          <t>KA</t>
        </is>
      </c>
      <c r="AD714" t="inlineStr"/>
      <c r="AE714" t="n">
        <v>1.2</v>
      </c>
      <c r="AF714" t="inlineStr"/>
      <c r="AG714" t="inlineStr"/>
      <c r="AH714" t="inlineStr"/>
      <c r="AI714" t="n">
        <v>16.7</v>
      </c>
      <c r="AJ714" t="n">
        <v>13.75</v>
      </c>
    </row>
    <row r="715">
      <c r="A715" t="inlineStr">
        <is>
          <t>Khon Kaen University</t>
        </is>
      </c>
      <c r="B715" t="inlineStr">
        <is>
          <t>Thailand</t>
        </is>
      </c>
      <c r="C715" t="inlineStr">
        <is>
          <t>951-1000</t>
        </is>
      </c>
      <c r="D715" t="inlineStr"/>
      <c r="E715" t="n">
        <v>17.2</v>
      </c>
      <c r="F715" t="n">
        <v>10.7</v>
      </c>
      <c r="G715" t="n">
        <v>7.4</v>
      </c>
      <c r="H715" t="n">
        <v>4.4</v>
      </c>
      <c r="I715" t="n">
        <v>5.3</v>
      </c>
      <c r="J715" t="n">
        <v>2.3</v>
      </c>
      <c r="K715" t="n">
        <v>50.9</v>
      </c>
      <c r="L715" t="n">
        <v>4.4</v>
      </c>
      <c r="M715" t="n">
        <v>31.8</v>
      </c>
      <c r="N715" t="inlineStr">
        <is>
          <t>1201–1500</t>
        </is>
      </c>
      <c r="O715" t="inlineStr">
        <is>
          <t>22.8–28.2</t>
        </is>
      </c>
      <c r="P715" t="n">
        <v>23.3</v>
      </c>
      <c r="Q715" t="n">
        <v>15.7</v>
      </c>
      <c r="R715" t="n">
        <v>35.5</v>
      </c>
      <c r="S715" t="n">
        <v>36.1</v>
      </c>
      <c r="T715" t="n">
        <v>35.4</v>
      </c>
      <c r="U715" t="inlineStr">
        <is>
          <t>32,895</t>
        </is>
      </c>
      <c r="V715" t="n">
        <v>17.2</v>
      </c>
      <c r="W715" t="inlineStr">
        <is>
          <t>2%</t>
        </is>
      </c>
      <c r="X715" t="inlineStr">
        <is>
          <t>62 : 38</t>
        </is>
      </c>
      <c r="Y715" t="n">
        <v>951</v>
      </c>
      <c r="Z715" t="n">
        <v>1201</v>
      </c>
      <c r="AA715" t="n">
        <v>25.5</v>
      </c>
      <c r="AB715" t="inlineStr">
        <is>
          <t>U0714</t>
        </is>
      </c>
      <c r="AC715" t="inlineStr">
        <is>
          <t>TH</t>
        </is>
      </c>
      <c r="AD715" t="n">
        <v>25.5</v>
      </c>
      <c r="AE715" t="n">
        <v>4.4</v>
      </c>
      <c r="AF715" t="n">
        <v>17.2</v>
      </c>
      <c r="AG715" t="inlineStr">
        <is>
          <t>1:17.2</t>
        </is>
      </c>
      <c r="AH715" t="inlineStr">
        <is>
          <t>2%</t>
        </is>
      </c>
      <c r="AI715" t="n">
        <v>17.2</v>
      </c>
      <c r="AJ715" t="n">
        <v>11.52</v>
      </c>
    </row>
    <row r="716">
      <c r="A716" t="inlineStr">
        <is>
          <t>Khulna University</t>
        </is>
      </c>
      <c r="B716" t="inlineStr">
        <is>
          <t>Bangladesh</t>
        </is>
      </c>
      <c r="C716" t="inlineStr">
        <is>
          <t>1201-1400</t>
        </is>
      </c>
      <c r="D716" t="inlineStr"/>
      <c r="E716" t="n">
        <v>6.9</v>
      </c>
      <c r="F716" t="n">
        <v>5</v>
      </c>
      <c r="G716" t="n">
        <v>10.5</v>
      </c>
      <c r="H716" t="n">
        <v>5.3</v>
      </c>
      <c r="I716" t="inlineStr"/>
      <c r="J716" t="inlineStr"/>
      <c r="K716" t="n">
        <v>17.8</v>
      </c>
      <c r="L716" t="n">
        <v>3.8</v>
      </c>
      <c r="M716" t="n">
        <v>1</v>
      </c>
      <c r="N716" t="inlineStr">
        <is>
          <t>1201–1500</t>
        </is>
      </c>
      <c r="O716" t="inlineStr">
        <is>
          <t>22.8–28.2</t>
        </is>
      </c>
      <c r="P716" t="n">
        <v>17</v>
      </c>
      <c r="Q716" t="n">
        <v>9.5</v>
      </c>
      <c r="R716" t="n">
        <v>46.9</v>
      </c>
      <c r="S716" t="n">
        <v>17.1</v>
      </c>
      <c r="T716" t="n">
        <v>43.7</v>
      </c>
      <c r="U716" t="inlineStr">
        <is>
          <t>6,997</t>
        </is>
      </c>
      <c r="V716" t="n">
        <v>13.9</v>
      </c>
      <c r="W716" t="inlineStr">
        <is>
          <t>0%</t>
        </is>
      </c>
      <c r="X716" t="inlineStr">
        <is>
          <t>43 : 57</t>
        </is>
      </c>
      <c r="Y716" t="n">
        <v>1201</v>
      </c>
      <c r="Z716" t="n">
        <v>1201</v>
      </c>
      <c r="AA716" t="n">
        <v>25.5</v>
      </c>
      <c r="AB716" t="inlineStr">
        <is>
          <t>U0715</t>
        </is>
      </c>
      <c r="AC716" t="inlineStr">
        <is>
          <t>BA</t>
        </is>
      </c>
      <c r="AD716" t="n">
        <v>25.5</v>
      </c>
      <c r="AE716" t="n">
        <v>5.3</v>
      </c>
      <c r="AF716" t="n">
        <v>13.9</v>
      </c>
      <c r="AG716" t="inlineStr">
        <is>
          <t>1:13.9</t>
        </is>
      </c>
      <c r="AH716" t="inlineStr">
        <is>
          <t>0%</t>
        </is>
      </c>
      <c r="AI716" t="n">
        <v>6.9</v>
      </c>
      <c r="AJ716" t="n">
        <v>10.55</v>
      </c>
    </row>
    <row r="717">
      <c r="A717" t="inlineStr">
        <is>
          <t>Khulna University of Engineering and Technology</t>
        </is>
      </c>
      <c r="B717" t="inlineStr">
        <is>
          <t>Bangladesh</t>
        </is>
      </c>
      <c r="C717" t="inlineStr">
        <is>
          <t>1201-1400</t>
        </is>
      </c>
      <c r="D717" t="inlineStr"/>
      <c r="E717" t="n">
        <v>6.6</v>
      </c>
      <c r="F717" t="n">
        <v>11.8</v>
      </c>
      <c r="G717" t="n">
        <v>8.699999999999999</v>
      </c>
      <c r="H717" t="n">
        <v>5.6</v>
      </c>
      <c r="I717" t="inlineStr"/>
      <c r="J717" t="n">
        <v>1</v>
      </c>
      <c r="K717" t="n">
        <v>9.4</v>
      </c>
      <c r="L717" t="n">
        <v>3.7</v>
      </c>
      <c r="M717" t="n">
        <v>1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n">
        <v>1201</v>
      </c>
      <c r="Z717" t="inlineStr"/>
      <c r="AA717" t="inlineStr"/>
      <c r="AB717" t="inlineStr">
        <is>
          <t>U0716</t>
        </is>
      </c>
      <c r="AC717" t="inlineStr">
        <is>
          <t>BA</t>
        </is>
      </c>
      <c r="AD717" t="inlineStr"/>
      <c r="AE717" t="n">
        <v>5.6</v>
      </c>
      <c r="AF717" t="inlineStr"/>
      <c r="AG717" t="inlineStr"/>
      <c r="AH717" t="inlineStr"/>
      <c r="AI717" t="n">
        <v>6.6</v>
      </c>
      <c r="AJ717" t="n">
        <v>15.09</v>
      </c>
    </row>
    <row r="718">
      <c r="A718" t="inlineStr">
        <is>
          <t>KIIT University</t>
        </is>
      </c>
      <c r="B718" t="inlineStr">
        <is>
          <t>India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>
        <is>
          <t>601–800</t>
        </is>
      </c>
      <c r="O718" t="inlineStr">
        <is>
          <t>37.0–41.8</t>
        </is>
      </c>
      <c r="P718" t="n">
        <v>38.5</v>
      </c>
      <c r="Q718" t="n">
        <v>15.8</v>
      </c>
      <c r="R718" t="n">
        <v>61.5</v>
      </c>
      <c r="S718" t="n">
        <v>52</v>
      </c>
      <c r="T718" t="n">
        <v>39.4</v>
      </c>
      <c r="U718" t="inlineStr">
        <is>
          <t>24,802</t>
        </is>
      </c>
      <c r="V718" t="n">
        <v>12.3</v>
      </c>
      <c r="W718" t="inlineStr">
        <is>
          <t>10%</t>
        </is>
      </c>
      <c r="X718" t="inlineStr">
        <is>
          <t>49 : 51</t>
        </is>
      </c>
      <c r="Y718" t="inlineStr"/>
      <c r="Z718" t="n">
        <v>601</v>
      </c>
      <c r="AA718" t="n">
        <v>39.4</v>
      </c>
      <c r="AB718" t="inlineStr">
        <is>
          <t>U0717</t>
        </is>
      </c>
      <c r="AC718" t="inlineStr">
        <is>
          <t>IN</t>
        </is>
      </c>
      <c r="AD718" t="n">
        <v>39.4</v>
      </c>
      <c r="AE718" t="n">
        <v>61.5</v>
      </c>
      <c r="AF718" t="n">
        <v>12.3</v>
      </c>
      <c r="AG718" t="inlineStr">
        <is>
          <t>1:12.3</t>
        </is>
      </c>
      <c r="AH718" t="inlineStr">
        <is>
          <t>10%</t>
        </is>
      </c>
      <c r="AI718" t="inlineStr"/>
      <c r="AJ718" t="n">
        <v>29.84</v>
      </c>
    </row>
    <row r="719">
      <c r="A719" t="inlineStr">
        <is>
          <t>Kindai University (Kinki University)</t>
        </is>
      </c>
      <c r="B719" t="inlineStr">
        <is>
          <t>Japan</t>
        </is>
      </c>
      <c r="C719" t="inlineStr">
        <is>
          <t>1201-1400</t>
        </is>
      </c>
      <c r="D719" t="inlineStr"/>
      <c r="E719" t="n">
        <v>5.2</v>
      </c>
      <c r="F719" t="n">
        <v>4.3</v>
      </c>
      <c r="G719" t="n">
        <v>8.4</v>
      </c>
      <c r="H719" t="n">
        <v>4.9</v>
      </c>
      <c r="I719" t="n">
        <v>15.7</v>
      </c>
      <c r="J719" t="n">
        <v>1.9</v>
      </c>
      <c r="K719" t="n">
        <v>32.2</v>
      </c>
      <c r="L719" t="n">
        <v>1.8</v>
      </c>
      <c r="M719" t="n">
        <v>2.4</v>
      </c>
      <c r="N719" t="inlineStr">
        <is>
          <t>1001–1200</t>
        </is>
      </c>
      <c r="O719" t="inlineStr">
        <is>
          <t>28.3–32.6</t>
        </is>
      </c>
      <c r="P719" t="n">
        <v>18.4</v>
      </c>
      <c r="Q719" t="n">
        <v>11.8</v>
      </c>
      <c r="R719" t="n">
        <v>51.9</v>
      </c>
      <c r="S719" t="n">
        <v>50.2</v>
      </c>
      <c r="T719" t="n">
        <v>30.9</v>
      </c>
      <c r="U719" t="inlineStr">
        <is>
          <t>34,545</t>
        </is>
      </c>
      <c r="V719" t="n">
        <v>17.7</v>
      </c>
      <c r="W719" t="inlineStr">
        <is>
          <t>2%</t>
        </is>
      </c>
      <c r="X719" t="inlineStr">
        <is>
          <t>32 : 68</t>
        </is>
      </c>
      <c r="Y719" t="n">
        <v>1201</v>
      </c>
      <c r="Z719" t="n">
        <v>1001</v>
      </c>
      <c r="AA719" t="n">
        <v>30.45</v>
      </c>
      <c r="AB719" t="inlineStr">
        <is>
          <t>U0718</t>
        </is>
      </c>
      <c r="AC719" t="inlineStr">
        <is>
          <t>JA</t>
        </is>
      </c>
      <c r="AD719" t="n">
        <v>30.45</v>
      </c>
      <c r="AE719" t="n">
        <v>4.9</v>
      </c>
      <c r="AF719" t="n">
        <v>17.7</v>
      </c>
      <c r="AG719" t="inlineStr">
        <is>
          <t>1:17.7</t>
        </is>
      </c>
      <c r="AH719" t="inlineStr">
        <is>
          <t>2%</t>
        </is>
      </c>
      <c r="AI719" t="n">
        <v>5.2</v>
      </c>
      <c r="AJ719" t="n">
        <v>8.529999999999999</v>
      </c>
    </row>
    <row r="720">
      <c r="A720" t="inlineStr">
        <is>
          <t>King Abdulaziz University (KAU)</t>
        </is>
      </c>
      <c r="B720" t="inlineStr">
        <is>
          <t>Saudi Arabia</t>
        </is>
      </c>
      <c r="C720" t="inlineStr">
        <is>
          <t>149</t>
        </is>
      </c>
      <c r="D720" t="n">
        <v>52.2</v>
      </c>
      <c r="E720" t="n">
        <v>59.8</v>
      </c>
      <c r="F720" t="n">
        <v>61.4</v>
      </c>
      <c r="G720" t="n">
        <v>41.6</v>
      </c>
      <c r="H720" t="n">
        <v>34.4</v>
      </c>
      <c r="I720" t="n">
        <v>89.3</v>
      </c>
      <c r="J720" t="n">
        <v>9.5</v>
      </c>
      <c r="K720" t="n">
        <v>93.09999999999999</v>
      </c>
      <c r="L720" t="n">
        <v>35.9</v>
      </c>
      <c r="M720" t="n">
        <v>58.4</v>
      </c>
      <c r="N720" t="inlineStr">
        <is>
          <t>251–300</t>
        </is>
      </c>
      <c r="O720" t="inlineStr">
        <is>
          <t>53.1–55.8</t>
        </is>
      </c>
      <c r="P720" t="n">
        <v>37.8</v>
      </c>
      <c r="Q720" t="n">
        <v>28.6</v>
      </c>
      <c r="R720" t="n">
        <v>90.7</v>
      </c>
      <c r="S720" t="n">
        <v>46.1</v>
      </c>
      <c r="T720" t="n">
        <v>75.40000000000001</v>
      </c>
      <c r="U720" t="inlineStr">
        <is>
          <t>60,540</t>
        </is>
      </c>
      <c r="V720" t="n">
        <v>13.9</v>
      </c>
      <c r="W720" t="inlineStr">
        <is>
          <t>3%</t>
        </is>
      </c>
      <c r="X720" t="inlineStr">
        <is>
          <t>50 : 50</t>
        </is>
      </c>
      <c r="Y720" t="n">
        <v>149</v>
      </c>
      <c r="Z720" t="n">
        <v>251</v>
      </c>
      <c r="AA720" t="n">
        <v>54.45</v>
      </c>
      <c r="AB720" t="inlineStr">
        <is>
          <t>U0719</t>
        </is>
      </c>
      <c r="AC720" t="inlineStr">
        <is>
          <t>SA</t>
        </is>
      </c>
      <c r="AD720" t="n">
        <v>52.2</v>
      </c>
      <c r="AE720" t="n">
        <v>34.4</v>
      </c>
      <c r="AF720" t="n">
        <v>13.9</v>
      </c>
      <c r="AG720" t="inlineStr">
        <is>
          <t>1:13.9</t>
        </is>
      </c>
      <c r="AH720" t="inlineStr">
        <is>
          <t>3%</t>
        </is>
      </c>
      <c r="AI720" t="n">
        <v>59.8</v>
      </c>
      <c r="AJ720" t="n">
        <v>37.04</v>
      </c>
    </row>
    <row r="721">
      <c r="A721" t="inlineStr">
        <is>
          <t>King Fahd University of Petroleum &amp; Minerals</t>
        </is>
      </c>
      <c r="B721" t="inlineStr">
        <is>
          <t>Saudi Arabia</t>
        </is>
      </c>
      <c r="C721" t="inlineStr">
        <is>
          <t>101</t>
        </is>
      </c>
      <c r="D721" t="n">
        <v>59.5</v>
      </c>
      <c r="E721" t="n">
        <v>38</v>
      </c>
      <c r="F721" t="n">
        <v>46.5</v>
      </c>
      <c r="G721" t="n">
        <v>86</v>
      </c>
      <c r="H721" t="n">
        <v>78</v>
      </c>
      <c r="I721" t="n">
        <v>100</v>
      </c>
      <c r="J721" t="n">
        <v>47.6</v>
      </c>
      <c r="K721" t="n">
        <v>73.90000000000001</v>
      </c>
      <c r="L721" t="n">
        <v>97.8</v>
      </c>
      <c r="M721" t="n">
        <v>20.1</v>
      </c>
      <c r="N721" t="inlineStr">
        <is>
          <t>201–250</t>
        </is>
      </c>
      <c r="O721" t="inlineStr">
        <is>
          <t>55.9–58.6</t>
        </is>
      </c>
      <c r="P721" t="n">
        <v>37.6</v>
      </c>
      <c r="Q721" t="n">
        <v>38.7</v>
      </c>
      <c r="R721" t="n">
        <v>86.3</v>
      </c>
      <c r="S721" t="n">
        <v>90.90000000000001</v>
      </c>
      <c r="T721" t="n">
        <v>84.8</v>
      </c>
      <c r="U721" t="inlineStr">
        <is>
          <t>6,801</t>
        </is>
      </c>
      <c r="V721" t="n">
        <v>8.5</v>
      </c>
      <c r="W721" t="inlineStr">
        <is>
          <t>15%</t>
        </is>
      </c>
      <c r="X721" t="inlineStr">
        <is>
          <t>8 : 92</t>
        </is>
      </c>
      <c r="Y721" t="n">
        <v>101</v>
      </c>
      <c r="Z721" t="n">
        <v>201</v>
      </c>
      <c r="AA721" t="n">
        <v>57.25</v>
      </c>
      <c r="AB721" t="inlineStr">
        <is>
          <t>U0720</t>
        </is>
      </c>
      <c r="AC721" t="inlineStr">
        <is>
          <t>SA</t>
        </is>
      </c>
      <c r="AD721" t="n">
        <v>59.5</v>
      </c>
      <c r="AE721" t="n">
        <v>78</v>
      </c>
      <c r="AF721" t="n">
        <v>8.5</v>
      </c>
      <c r="AG721" t="inlineStr">
        <is>
          <t>1:8.5</t>
        </is>
      </c>
      <c r="AH721" t="inlineStr">
        <is>
          <t>15%</t>
        </is>
      </c>
      <c r="AI721" t="n">
        <v>38</v>
      </c>
      <c r="AJ721" t="n">
        <v>57.82</v>
      </c>
    </row>
    <row r="722">
      <c r="A722" t="inlineStr">
        <is>
          <t>King Faisal University</t>
        </is>
      </c>
      <c r="B722" t="inlineStr">
        <is>
          <t>Saudi Arabia</t>
        </is>
      </c>
      <c r="C722" t="inlineStr">
        <is>
          <t>761-770</t>
        </is>
      </c>
      <c r="D722" t="inlineStr"/>
      <c r="E722" t="n">
        <v>16.4</v>
      </c>
      <c r="F722" t="n">
        <v>12.7</v>
      </c>
      <c r="G722" t="n">
        <v>14.5</v>
      </c>
      <c r="H722" t="n">
        <v>2.7</v>
      </c>
      <c r="I722" t="n">
        <v>98</v>
      </c>
      <c r="J722" t="n">
        <v>3.9</v>
      </c>
      <c r="K722" t="n">
        <v>59.3</v>
      </c>
      <c r="L722" t="n">
        <v>8.699999999999999</v>
      </c>
      <c r="M722" t="n">
        <v>1.5</v>
      </c>
      <c r="N722" t="inlineStr">
        <is>
          <t>801–1000</t>
        </is>
      </c>
      <c r="O722" t="inlineStr">
        <is>
          <t>32.7–36.9</t>
        </is>
      </c>
      <c r="P722" t="n">
        <v>19.9</v>
      </c>
      <c r="Q722" t="n">
        <v>12.2</v>
      </c>
      <c r="R722" t="n">
        <v>68</v>
      </c>
      <c r="S722" t="n">
        <v>31.4</v>
      </c>
      <c r="T722" t="n">
        <v>75.5</v>
      </c>
      <c r="U722" t="inlineStr">
        <is>
          <t>29,628</t>
        </is>
      </c>
      <c r="V722" t="n">
        <v>14.5</v>
      </c>
      <c r="W722" t="inlineStr">
        <is>
          <t>2%</t>
        </is>
      </c>
      <c r="X722" t="inlineStr">
        <is>
          <t>60 : 40</t>
        </is>
      </c>
      <c r="Y722" t="n">
        <v>761</v>
      </c>
      <c r="Z722" t="n">
        <v>801</v>
      </c>
      <c r="AA722" t="n">
        <v>34.8</v>
      </c>
      <c r="AB722" t="inlineStr">
        <is>
          <t>U0721</t>
        </is>
      </c>
      <c r="AC722" t="inlineStr">
        <is>
          <t>SA</t>
        </is>
      </c>
      <c r="AD722" t="n">
        <v>34.8</v>
      </c>
      <c r="AE722" t="n">
        <v>2.7</v>
      </c>
      <c r="AF722" t="n">
        <v>14.5</v>
      </c>
      <c r="AG722" t="inlineStr">
        <is>
          <t>1:14.5</t>
        </is>
      </c>
      <c r="AH722" t="inlineStr">
        <is>
          <t>2%</t>
        </is>
      </c>
      <c r="AI722" t="n">
        <v>16.4</v>
      </c>
      <c r="AJ722" t="n">
        <v>18.86</v>
      </c>
    </row>
    <row r="723">
      <c r="A723" t="inlineStr">
        <is>
          <t>King Khalid University</t>
        </is>
      </c>
      <c r="B723" t="inlineStr">
        <is>
          <t>Saudi Arabia</t>
        </is>
      </c>
      <c r="C723" t="inlineStr">
        <is>
          <t>601-610</t>
        </is>
      </c>
      <c r="D723" t="inlineStr"/>
      <c r="E723" t="n">
        <v>16.6</v>
      </c>
      <c r="F723" t="n">
        <v>8.300000000000001</v>
      </c>
      <c r="G723" t="n">
        <v>49.8</v>
      </c>
      <c r="H723" t="n">
        <v>2.7</v>
      </c>
      <c r="I723" t="n">
        <v>100</v>
      </c>
      <c r="J723" t="n">
        <v>18</v>
      </c>
      <c r="K723" t="n">
        <v>78.3</v>
      </c>
      <c r="L723" t="n">
        <v>2.2</v>
      </c>
      <c r="M723" t="n">
        <v>2.3</v>
      </c>
      <c r="N723" t="inlineStr">
        <is>
          <t>501–600</t>
        </is>
      </c>
      <c r="O723" t="inlineStr">
        <is>
          <t>41.9–45.3</t>
        </is>
      </c>
      <c r="P723" t="n">
        <v>29.8</v>
      </c>
      <c r="Q723" t="n">
        <v>20.1</v>
      </c>
      <c r="R723" t="n">
        <v>70.3</v>
      </c>
      <c r="S723" t="n">
        <v>48.6</v>
      </c>
      <c r="T723" t="n">
        <v>91</v>
      </c>
      <c r="U723" t="inlineStr">
        <is>
          <t>32,078</t>
        </is>
      </c>
      <c r="V723" t="n">
        <v>8.300000000000001</v>
      </c>
      <c r="W723" t="inlineStr">
        <is>
          <t>16%</t>
        </is>
      </c>
      <c r="X723" t="inlineStr">
        <is>
          <t>61 : 39</t>
        </is>
      </c>
      <c r="Y723" t="n">
        <v>601</v>
      </c>
      <c r="Z723" t="n">
        <v>501</v>
      </c>
      <c r="AA723" t="n">
        <v>43.59999999999999</v>
      </c>
      <c r="AB723" t="inlineStr">
        <is>
          <t>U0722</t>
        </is>
      </c>
      <c r="AC723" t="inlineStr">
        <is>
          <t>SA</t>
        </is>
      </c>
      <c r="AD723" t="n">
        <v>43.59999999999999</v>
      </c>
      <c r="AE723" t="n">
        <v>2.7</v>
      </c>
      <c r="AF723" t="n">
        <v>8.300000000000001</v>
      </c>
      <c r="AG723" t="inlineStr">
        <is>
          <t>1:8.3</t>
        </is>
      </c>
      <c r="AH723" t="inlineStr">
        <is>
          <t>16%</t>
        </is>
      </c>
      <c r="AI723" t="n">
        <v>16.6</v>
      </c>
      <c r="AJ723" t="n">
        <v>26.75</v>
      </c>
    </row>
    <row r="724">
      <c r="A724" t="inlineStr">
        <is>
          <t>King Mongkut\'s Institute of Technology Ladkrabang</t>
        </is>
      </c>
      <c r="B724" t="inlineStr">
        <is>
          <t>Thailand</t>
        </is>
      </c>
      <c r="C724" t="inlineStr">
        <is>
          <t>1201-1400</t>
        </is>
      </c>
      <c r="D724" t="inlineStr"/>
      <c r="E724" t="n">
        <v>8.300000000000001</v>
      </c>
      <c r="F724" t="n">
        <v>3.7</v>
      </c>
      <c r="G724" t="n">
        <v>4.2</v>
      </c>
      <c r="H724" t="n">
        <v>3.1</v>
      </c>
      <c r="I724" t="n">
        <v>16.7</v>
      </c>
      <c r="J724" t="n">
        <v>2.2</v>
      </c>
      <c r="K724" t="n">
        <v>18.5</v>
      </c>
      <c r="L724" t="n">
        <v>6.2</v>
      </c>
      <c r="M724" t="n">
        <v>1.1</v>
      </c>
      <c r="N724" t="inlineStr">
        <is>
          <t>1501+</t>
        </is>
      </c>
      <c r="O724" t="inlineStr">
        <is>
          <t>9.7–22.7</t>
        </is>
      </c>
      <c r="P724" t="n">
        <v>16.5</v>
      </c>
      <c r="Q724" t="n">
        <v>22.9</v>
      </c>
      <c r="R724" t="n">
        <v>19.2</v>
      </c>
      <c r="S724" t="n">
        <v>55</v>
      </c>
      <c r="T724" t="n">
        <v>30.7</v>
      </c>
      <c r="U724" t="inlineStr">
        <is>
          <t>25,482</t>
        </is>
      </c>
      <c r="V724" t="n">
        <v>23</v>
      </c>
      <c r="W724" t="inlineStr">
        <is>
          <t>1%</t>
        </is>
      </c>
      <c r="X724" t="inlineStr">
        <is>
          <t>52 : 48</t>
        </is>
      </c>
      <c r="Y724" t="n">
        <v>1201</v>
      </c>
      <c r="Z724" t="n">
        <v>1501</v>
      </c>
      <c r="AA724" t="n">
        <v>16.2</v>
      </c>
      <c r="AB724" t="inlineStr">
        <is>
          <t>U0723</t>
        </is>
      </c>
      <c r="AC724" t="inlineStr">
        <is>
          <t>TH</t>
        </is>
      </c>
      <c r="AD724" t="n">
        <v>16.2</v>
      </c>
      <c r="AE724" t="n">
        <v>3.1</v>
      </c>
      <c r="AF724" t="n">
        <v>23</v>
      </c>
      <c r="AG724" t="inlineStr">
        <is>
          <t>1:23.0</t>
        </is>
      </c>
      <c r="AH724" t="inlineStr">
        <is>
          <t>1%</t>
        </is>
      </c>
      <c r="AI724" t="n">
        <v>8.300000000000001</v>
      </c>
      <c r="AJ724" t="n">
        <v>13.76</v>
      </c>
    </row>
    <row r="725">
      <c r="A725" t="inlineStr">
        <is>
          <t>King Mongkut's University of Technology North Bangkok</t>
        </is>
      </c>
      <c r="B725" t="inlineStr">
        <is>
          <t>Thailand</t>
        </is>
      </c>
      <c r="C725" t="inlineStr">
        <is>
          <t>1201-1400</t>
        </is>
      </c>
      <c r="D725" t="inlineStr"/>
      <c r="E725" t="n">
        <v>8.5</v>
      </c>
      <c r="F725" t="n">
        <v>4.9</v>
      </c>
      <c r="G725" t="n">
        <v>4.1</v>
      </c>
      <c r="H725" t="n">
        <v>3.3</v>
      </c>
      <c r="I725" t="n">
        <v>2.8</v>
      </c>
      <c r="J725" t="n">
        <v>1.1</v>
      </c>
      <c r="K725" t="n">
        <v>23.5</v>
      </c>
      <c r="L725" t="n">
        <v>2.5</v>
      </c>
      <c r="M725" t="n">
        <v>1.1</v>
      </c>
      <c r="N725" t="inlineStr">
        <is>
          <t>1201–1500</t>
        </is>
      </c>
      <c r="O725" t="inlineStr">
        <is>
          <t>22.8–28.2</t>
        </is>
      </c>
      <c r="P725" t="n">
        <v>16.2</v>
      </c>
      <c r="Q725" t="n">
        <v>12.7</v>
      </c>
      <c r="R725" t="n">
        <v>50.9</v>
      </c>
      <c r="S725" t="n">
        <v>25.9</v>
      </c>
      <c r="T725" t="n">
        <v>28.7</v>
      </c>
      <c r="U725" t="inlineStr">
        <is>
          <t>28,122</t>
        </is>
      </c>
      <c r="V725" t="n">
        <v>23.3</v>
      </c>
      <c r="W725" t="inlineStr">
        <is>
          <t>0%</t>
        </is>
      </c>
      <c r="X725" t="inlineStr">
        <is>
          <t>42 : 58</t>
        </is>
      </c>
      <c r="Y725" t="n">
        <v>1201</v>
      </c>
      <c r="Z725" t="n">
        <v>1201</v>
      </c>
      <c r="AA725" t="n">
        <v>25.5</v>
      </c>
      <c r="AB725" t="inlineStr">
        <is>
          <t>U0724</t>
        </is>
      </c>
      <c r="AC725" t="inlineStr">
        <is>
          <t>TH</t>
        </is>
      </c>
      <c r="AD725" t="n">
        <v>25.5</v>
      </c>
      <c r="AE725" t="n">
        <v>3.3</v>
      </c>
      <c r="AF725" t="n">
        <v>23.3</v>
      </c>
      <c r="AG725" t="inlineStr">
        <is>
          <t>1:23.3</t>
        </is>
      </c>
      <c r="AH725" t="inlineStr">
        <is>
          <t>0%</t>
        </is>
      </c>
      <c r="AI725" t="n">
        <v>8.5</v>
      </c>
      <c r="AJ725" t="n">
        <v>7.99</v>
      </c>
    </row>
    <row r="726">
      <c r="A726" t="inlineStr">
        <is>
          <t xml:space="preserve">King Mongkut's University of Technology Thonburi </t>
        </is>
      </c>
      <c r="B726" t="inlineStr">
        <is>
          <t>Thailand</t>
        </is>
      </c>
      <c r="C726" t="inlineStr">
        <is>
          <t>951-1000</t>
        </is>
      </c>
      <c r="D726" t="inlineStr"/>
      <c r="E726" t="n">
        <v>13.2</v>
      </c>
      <c r="F726" t="n">
        <v>6.3</v>
      </c>
      <c r="G726" t="n">
        <v>13.3</v>
      </c>
      <c r="H726" t="n">
        <v>8.5</v>
      </c>
      <c r="I726" t="n">
        <v>9.5</v>
      </c>
      <c r="J726" t="n">
        <v>3.2</v>
      </c>
      <c r="K726" t="n">
        <v>36.9</v>
      </c>
      <c r="L726" t="n">
        <v>2.6</v>
      </c>
      <c r="M726" t="n">
        <v>41</v>
      </c>
      <c r="N726" t="inlineStr">
        <is>
          <t>801–1000</t>
        </is>
      </c>
      <c r="O726" t="inlineStr">
        <is>
          <t>32.7–36.9</t>
        </is>
      </c>
      <c r="P726" t="n">
        <v>21.5</v>
      </c>
      <c r="Q726" t="n">
        <v>22.1</v>
      </c>
      <c r="R726" t="n">
        <v>59.5</v>
      </c>
      <c r="S726" t="n">
        <v>71</v>
      </c>
      <c r="T726" t="n">
        <v>43.3</v>
      </c>
      <c r="U726" t="inlineStr">
        <is>
          <t>15,075</t>
        </is>
      </c>
      <c r="V726" t="n">
        <v>20.4</v>
      </c>
      <c r="W726" t="inlineStr">
        <is>
          <t>4%</t>
        </is>
      </c>
      <c r="X726" t="inlineStr">
        <is>
          <t>45 : 55</t>
        </is>
      </c>
      <c r="Y726" t="n">
        <v>951</v>
      </c>
      <c r="Z726" t="n">
        <v>801</v>
      </c>
      <c r="AA726" t="n">
        <v>34.8</v>
      </c>
      <c r="AB726" t="inlineStr">
        <is>
          <t>U0725</t>
        </is>
      </c>
      <c r="AC726" t="inlineStr">
        <is>
          <t>TH</t>
        </is>
      </c>
      <c r="AD726" t="n">
        <v>34.8</v>
      </c>
      <c r="AE726" t="n">
        <v>8.5</v>
      </c>
      <c r="AF726" t="n">
        <v>20.4</v>
      </c>
      <c r="AG726" t="inlineStr">
        <is>
          <t>1:20.4</t>
        </is>
      </c>
      <c r="AH726" t="inlineStr">
        <is>
          <t>4%</t>
        </is>
      </c>
      <c r="AI726" t="n">
        <v>13.2</v>
      </c>
      <c r="AJ726" t="n">
        <v>18.02</v>
      </c>
    </row>
    <row r="727">
      <c r="A727" t="inlineStr">
        <is>
          <t>King's College London</t>
        </is>
      </c>
      <c r="B727" t="inlineStr">
        <is>
          <t>United Kingdom</t>
        </is>
      </c>
      <c r="C727" t="inlineStr">
        <is>
          <t>40</t>
        </is>
      </c>
      <c r="D727" t="n">
        <v>80.2</v>
      </c>
      <c r="E727" t="n">
        <v>90.3</v>
      </c>
      <c r="F727" t="n">
        <v>85.7</v>
      </c>
      <c r="G727" t="n">
        <v>64.3</v>
      </c>
      <c r="H727" t="n">
        <v>53.6</v>
      </c>
      <c r="I727" t="n">
        <v>99.09999999999999</v>
      </c>
      <c r="J727" t="n">
        <v>99.5</v>
      </c>
      <c r="K727" t="n">
        <v>98.59999999999999</v>
      </c>
      <c r="L727" t="n">
        <v>59.8</v>
      </c>
      <c r="M727" t="n">
        <v>96.2</v>
      </c>
      <c r="N727">
        <f>38</f>
        <v/>
      </c>
      <c r="O727" t="inlineStr">
        <is>
          <t>79.0</t>
        </is>
      </c>
      <c r="P727" t="n">
        <v>59.8</v>
      </c>
      <c r="Q727" t="n">
        <v>75.09999999999999</v>
      </c>
      <c r="R727" t="n">
        <v>97.7</v>
      </c>
      <c r="S727" t="n">
        <v>74.2</v>
      </c>
      <c r="T727" t="n">
        <v>97.5</v>
      </c>
      <c r="U727" t="inlineStr">
        <is>
          <t>32,835</t>
        </is>
      </c>
      <c r="V727" t="n">
        <v>13.9</v>
      </c>
      <c r="W727" t="inlineStr">
        <is>
          <t>53%</t>
        </is>
      </c>
      <c r="X727" t="inlineStr">
        <is>
          <t>63 : 37</t>
        </is>
      </c>
      <c r="Y727" t="n">
        <v>40</v>
      </c>
      <c r="Z727" t="n">
        <v>38</v>
      </c>
      <c r="AA727" t="n">
        <v>79</v>
      </c>
      <c r="AB727" t="inlineStr">
        <is>
          <t>U0726</t>
        </is>
      </c>
      <c r="AC727" t="inlineStr">
        <is>
          <t>UN</t>
        </is>
      </c>
      <c r="AD727" t="n">
        <v>80.2</v>
      </c>
      <c r="AE727" t="n">
        <v>53.6</v>
      </c>
      <c r="AF727" t="n">
        <v>13.9</v>
      </c>
      <c r="AG727" t="inlineStr">
        <is>
          <t>1:13.9</t>
        </is>
      </c>
      <c r="AH727" t="inlineStr">
        <is>
          <t>53%</t>
        </is>
      </c>
      <c r="AI727" t="n">
        <v>90.3</v>
      </c>
      <c r="AJ727" t="n">
        <v>72.56999999999999</v>
      </c>
    </row>
    <row r="728">
      <c r="A728" t="inlineStr">
        <is>
          <t>King Saud bin Abdulaziz University for Health Sciences</t>
        </is>
      </c>
      <c r="B728" t="inlineStr">
        <is>
          <t>Saudi Arabia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>
        <is>
          <t>601–800</t>
        </is>
      </c>
      <c r="O728" t="inlineStr">
        <is>
          <t>37.0–41.8</t>
        </is>
      </c>
      <c r="P728" t="n">
        <v>40.8</v>
      </c>
      <c r="Q728" t="n">
        <v>21.7</v>
      </c>
      <c r="R728" t="n">
        <v>43.6</v>
      </c>
      <c r="S728" t="n">
        <v>36.1</v>
      </c>
      <c r="T728" t="n">
        <v>64.40000000000001</v>
      </c>
      <c r="U728" t="inlineStr">
        <is>
          <t>8,594</t>
        </is>
      </c>
      <c r="V728" t="n">
        <v>13</v>
      </c>
      <c r="W728" t="inlineStr">
        <is>
          <t>1%</t>
        </is>
      </c>
      <c r="X728" t="inlineStr">
        <is>
          <t>51 : 49</t>
        </is>
      </c>
      <c r="Y728" t="inlineStr"/>
      <c r="Z728" t="n">
        <v>601</v>
      </c>
      <c r="AA728" t="n">
        <v>39.4</v>
      </c>
      <c r="AB728" t="inlineStr">
        <is>
          <t>U0727</t>
        </is>
      </c>
      <c r="AC728" t="inlineStr">
        <is>
          <t>SA</t>
        </is>
      </c>
      <c r="AD728" t="n">
        <v>39.4</v>
      </c>
      <c r="AE728" t="n">
        <v>43.6</v>
      </c>
      <c r="AF728" t="n">
        <v>13</v>
      </c>
      <c r="AG728" t="inlineStr">
        <is>
          <t>1:13.0</t>
        </is>
      </c>
      <c r="AH728" t="inlineStr">
        <is>
          <t>1%</t>
        </is>
      </c>
      <c r="AI728" t="inlineStr"/>
      <c r="AJ728" t="n">
        <v>33.55</v>
      </c>
    </row>
    <row r="729">
      <c r="A729" t="inlineStr">
        <is>
          <t>King Saud University</t>
        </is>
      </c>
      <c r="B729" t="inlineStr">
        <is>
          <t>Saudi Arabia</t>
        </is>
      </c>
      <c r="C729" t="inlineStr">
        <is>
          <t>200</t>
        </is>
      </c>
      <c r="D729" t="n">
        <v>46.2</v>
      </c>
      <c r="E729" t="n">
        <v>39.4</v>
      </c>
      <c r="F729" t="n">
        <v>28.7</v>
      </c>
      <c r="G729" t="n">
        <v>54.3</v>
      </c>
      <c r="H729" t="n">
        <v>40</v>
      </c>
      <c r="I729" t="n">
        <v>99.40000000000001</v>
      </c>
      <c r="J729" t="n">
        <v>15</v>
      </c>
      <c r="K729" t="n">
        <v>95.09999999999999</v>
      </c>
      <c r="L729" t="n">
        <v>99</v>
      </c>
      <c r="M729" t="n">
        <v>33</v>
      </c>
      <c r="N729" t="inlineStr">
        <is>
          <t>401–500</t>
        </is>
      </c>
      <c r="O729" t="inlineStr">
        <is>
          <t>45.4–49.0</t>
        </is>
      </c>
      <c r="P729" t="n">
        <v>31.4</v>
      </c>
      <c r="Q729" t="n">
        <v>19.9</v>
      </c>
      <c r="R729" t="n">
        <v>84.5</v>
      </c>
      <c r="S729" t="n">
        <v>48.7</v>
      </c>
      <c r="T729" t="n">
        <v>77.2</v>
      </c>
      <c r="U729" t="inlineStr">
        <is>
          <t>50,906</t>
        </is>
      </c>
      <c r="V729" t="n">
        <v>11.9</v>
      </c>
      <c r="W729" t="inlineStr">
        <is>
          <t>6%</t>
        </is>
      </c>
      <c r="X729" t="inlineStr">
        <is>
          <t>43 : 57</t>
        </is>
      </c>
      <c r="Y729" t="n">
        <v>200</v>
      </c>
      <c r="Z729" t="n">
        <v>401</v>
      </c>
      <c r="AA729" t="n">
        <v>47.2</v>
      </c>
      <c r="AB729" t="inlineStr">
        <is>
          <t>U0728</t>
        </is>
      </c>
      <c r="AC729" t="inlineStr">
        <is>
          <t>SA</t>
        </is>
      </c>
      <c r="AD729" t="n">
        <v>46.2</v>
      </c>
      <c r="AE729" t="n">
        <v>40</v>
      </c>
      <c r="AF729" t="n">
        <v>11.9</v>
      </c>
      <c r="AG729" t="inlineStr">
        <is>
          <t>1:11.9</t>
        </is>
      </c>
      <c r="AH729" t="inlineStr">
        <is>
          <t>6%</t>
        </is>
      </c>
      <c r="AI729" t="n">
        <v>39.4</v>
      </c>
      <c r="AJ729" t="n">
        <v>34.61</v>
      </c>
    </row>
    <row r="730">
      <c r="A730" t="inlineStr">
        <is>
          <t>Kingston University</t>
        </is>
      </c>
      <c r="B730" t="inlineStr">
        <is>
          <t>United Kingdom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>
        <is>
          <t>801–1000</t>
        </is>
      </c>
      <c r="O730" t="inlineStr">
        <is>
          <t>32.7–36.9</t>
        </is>
      </c>
      <c r="P730" t="n">
        <v>20</v>
      </c>
      <c r="Q730" t="n">
        <v>15.3</v>
      </c>
      <c r="R730" t="n">
        <v>53.2</v>
      </c>
      <c r="S730" t="n">
        <v>52.2</v>
      </c>
      <c r="T730" t="n">
        <v>91.3</v>
      </c>
      <c r="U730" t="inlineStr">
        <is>
          <t>14,660</t>
        </is>
      </c>
      <c r="V730" t="n">
        <v>18.9</v>
      </c>
      <c r="W730" t="inlineStr">
        <is>
          <t>40%</t>
        </is>
      </c>
      <c r="X730" t="inlineStr">
        <is>
          <t>59 : 41</t>
        </is>
      </c>
      <c r="Y730" t="inlineStr"/>
      <c r="Z730" t="n">
        <v>801</v>
      </c>
      <c r="AA730" t="n">
        <v>34.8</v>
      </c>
      <c r="AB730" t="inlineStr">
        <is>
          <t>U0729</t>
        </is>
      </c>
      <c r="AC730" t="inlineStr">
        <is>
          <t>UN</t>
        </is>
      </c>
      <c r="AD730" t="n">
        <v>34.8</v>
      </c>
      <c r="AE730" t="n">
        <v>53.2</v>
      </c>
      <c r="AF730" t="n">
        <v>18.9</v>
      </c>
      <c r="AG730" t="inlineStr">
        <is>
          <t>1:18.9</t>
        </is>
      </c>
      <c r="AH730" t="inlineStr">
        <is>
          <t>40%</t>
        </is>
      </c>
      <c r="AI730" t="inlineStr"/>
      <c r="AJ730" t="n">
        <v>39.61</v>
      </c>
    </row>
    <row r="731">
      <c r="A731" t="inlineStr">
        <is>
          <t>Kingston University, London</t>
        </is>
      </c>
      <c r="B731" t="inlineStr">
        <is>
          <t>United Kingdom</t>
        </is>
      </c>
      <c r="C731" t="inlineStr">
        <is>
          <t>601-610</t>
        </is>
      </c>
      <c r="D731" t="inlineStr"/>
      <c r="E731" t="n">
        <v>17.9</v>
      </c>
      <c r="F731" t="n">
        <v>15.3</v>
      </c>
      <c r="G731" t="n">
        <v>5.8</v>
      </c>
      <c r="H731" t="n">
        <v>7.6</v>
      </c>
      <c r="I731" t="n">
        <v>70.8</v>
      </c>
      <c r="J731" t="n">
        <v>99.2</v>
      </c>
      <c r="K731" t="n">
        <v>48.2</v>
      </c>
      <c r="L731" t="n">
        <v>12.6</v>
      </c>
      <c r="M731" t="n">
        <v>6.9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n">
        <v>601</v>
      </c>
      <c r="Z731" t="inlineStr"/>
      <c r="AA731" t="inlineStr"/>
      <c r="AB731" t="inlineStr">
        <is>
          <t>U0730</t>
        </is>
      </c>
      <c r="AC731" t="inlineStr">
        <is>
          <t>UN</t>
        </is>
      </c>
      <c r="AD731" t="inlineStr"/>
      <c r="AE731" t="n">
        <v>7.6</v>
      </c>
      <c r="AF731" t="inlineStr"/>
      <c r="AG731" t="inlineStr"/>
      <c r="AH731" t="inlineStr"/>
      <c r="AI731" t="n">
        <v>17.9</v>
      </c>
      <c r="AJ731" t="n">
        <v>15.69</v>
      </c>
    </row>
    <row r="732">
      <c r="A732" t="inlineStr">
        <is>
          <t>Kirikkale University</t>
        </is>
      </c>
      <c r="B732" t="inlineStr">
        <is>
          <t>Turkey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>
        <is>
          <t>1501+</t>
        </is>
      </c>
      <c r="O732" t="inlineStr">
        <is>
          <t>9.7–22.7</t>
        </is>
      </c>
      <c r="P732" t="n">
        <v>14.3</v>
      </c>
      <c r="Q732" t="n">
        <v>18.8</v>
      </c>
      <c r="R732" t="n">
        <v>17.2</v>
      </c>
      <c r="S732" t="n">
        <v>20.3</v>
      </c>
      <c r="T732" t="n">
        <v>18.8</v>
      </c>
      <c r="U732" t="inlineStr">
        <is>
          <t>27,869</t>
        </is>
      </c>
      <c r="V732" t="n">
        <v>47.7</v>
      </c>
      <c r="W732" t="inlineStr">
        <is>
          <t>1%</t>
        </is>
      </c>
      <c r="X732" t="inlineStr">
        <is>
          <t>49 : 51</t>
        </is>
      </c>
      <c r="Y732" t="inlineStr"/>
      <c r="Z732" t="n">
        <v>1501</v>
      </c>
      <c r="AA732" t="n">
        <v>16.2</v>
      </c>
      <c r="AB732" t="inlineStr">
        <is>
          <t>U0731</t>
        </is>
      </c>
      <c r="AC732" t="inlineStr">
        <is>
          <t>TU</t>
        </is>
      </c>
      <c r="AD732" t="n">
        <v>16.2</v>
      </c>
      <c r="AE732" t="n">
        <v>17.2</v>
      </c>
      <c r="AF732" t="n">
        <v>47.7</v>
      </c>
      <c r="AG732" t="inlineStr">
        <is>
          <t>1:47.7</t>
        </is>
      </c>
      <c r="AH732" t="inlineStr">
        <is>
          <t>1%</t>
        </is>
      </c>
      <c r="AI732" t="inlineStr"/>
      <c r="AJ732" t="n">
        <v>13</v>
      </c>
    </row>
    <row r="733">
      <c r="A733" t="inlineStr">
        <is>
          <t>KIT, Karlsruhe Institute of Technology</t>
        </is>
      </c>
      <c r="B733" t="inlineStr">
        <is>
          <t>Germany</t>
        </is>
      </c>
      <c r="C733" t="inlineStr">
        <is>
          <t>102</t>
        </is>
      </c>
      <c r="D733" t="n">
        <v>59.4</v>
      </c>
      <c r="E733" t="n">
        <v>44.9</v>
      </c>
      <c r="F733" t="n">
        <v>80.90000000000001</v>
      </c>
      <c r="G733" t="n">
        <v>39.4</v>
      </c>
      <c r="H733" t="n">
        <v>68.40000000000001</v>
      </c>
      <c r="I733" t="n">
        <v>70.5</v>
      </c>
      <c r="J733" t="n">
        <v>42.9</v>
      </c>
      <c r="K733" t="n">
        <v>86.40000000000001</v>
      </c>
      <c r="L733" t="n">
        <v>50.8</v>
      </c>
      <c r="M733" t="n">
        <v>75.3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n">
        <v>102</v>
      </c>
      <c r="Z733" t="inlineStr"/>
      <c r="AA733" t="inlineStr"/>
      <c r="AB733" t="inlineStr">
        <is>
          <t>U0732</t>
        </is>
      </c>
      <c r="AC733" t="inlineStr">
        <is>
          <t>GE</t>
        </is>
      </c>
      <c r="AD733" t="n">
        <v>59.4</v>
      </c>
      <c r="AE733" t="n">
        <v>68.40000000000001</v>
      </c>
      <c r="AF733" t="inlineStr"/>
      <c r="AG733" t="inlineStr"/>
      <c r="AH733" t="inlineStr"/>
      <c r="AI733" t="n">
        <v>44.9</v>
      </c>
      <c r="AJ733" t="n">
        <v>34.12</v>
      </c>
    </row>
    <row r="734">
      <c r="A734" t="inlineStr">
        <is>
          <t>Kitasato University</t>
        </is>
      </c>
      <c r="B734" t="inlineStr">
        <is>
          <t>Japan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>
        <is>
          <t>1201–1500</t>
        </is>
      </c>
      <c r="O734" t="inlineStr">
        <is>
          <t>22.8–28.2</t>
        </is>
      </c>
      <c r="P734" t="n">
        <v>27</v>
      </c>
      <c r="Q734" t="n">
        <v>11.5</v>
      </c>
      <c r="R734" t="n">
        <v>28.8</v>
      </c>
      <c r="S734" t="n">
        <v>56.5</v>
      </c>
      <c r="T734" t="n">
        <v>20</v>
      </c>
      <c r="U734" t="inlineStr">
        <is>
          <t>8,628</t>
        </is>
      </c>
      <c r="V734" t="n">
        <v>5.2</v>
      </c>
      <c r="W734" t="inlineStr">
        <is>
          <t>0%</t>
        </is>
      </c>
      <c r="X734" t="inlineStr">
        <is>
          <t>55 : 45</t>
        </is>
      </c>
      <c r="Y734" t="inlineStr"/>
      <c r="Z734" t="n">
        <v>1201</v>
      </c>
      <c r="AA734" t="n">
        <v>25.5</v>
      </c>
      <c r="AB734" t="inlineStr">
        <is>
          <t>U0733</t>
        </is>
      </c>
      <c r="AC734" t="inlineStr">
        <is>
          <t>JA</t>
        </is>
      </c>
      <c r="AD734" t="n">
        <v>25.5</v>
      </c>
      <c r="AE734" t="n">
        <v>28.8</v>
      </c>
      <c r="AF734" t="n">
        <v>5.2</v>
      </c>
      <c r="AG734" t="inlineStr">
        <is>
          <t>1:5.2</t>
        </is>
      </c>
      <c r="AH734" t="inlineStr">
        <is>
          <t>0%</t>
        </is>
      </c>
      <c r="AI734" t="inlineStr"/>
      <c r="AJ734" t="n">
        <v>12.98</v>
      </c>
    </row>
    <row r="735">
      <c r="A735" t="inlineStr">
        <is>
          <t>KL University</t>
        </is>
      </c>
      <c r="B735" t="inlineStr">
        <is>
          <t>India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>
        <is>
          <t>1201–1500</t>
        </is>
      </c>
      <c r="O735" t="inlineStr">
        <is>
          <t>22.8–28.2</t>
        </is>
      </c>
      <c r="P735" t="n">
        <v>22.4</v>
      </c>
      <c r="Q735" t="n">
        <v>11.1</v>
      </c>
      <c r="R735" t="n">
        <v>52</v>
      </c>
      <c r="S735" t="n">
        <v>16.6</v>
      </c>
      <c r="T735" t="n">
        <v>21.5</v>
      </c>
      <c r="U735" t="inlineStr">
        <is>
          <t>17,602</t>
        </is>
      </c>
      <c r="V735" t="n">
        <v>14.6</v>
      </c>
      <c r="W735" t="inlineStr">
        <is>
          <t>2%</t>
        </is>
      </c>
      <c r="X735" t="inlineStr">
        <is>
          <t>36 : 64</t>
        </is>
      </c>
      <c r="Y735" t="inlineStr"/>
      <c r="Z735" t="n">
        <v>1201</v>
      </c>
      <c r="AA735" t="n">
        <v>25.5</v>
      </c>
      <c r="AB735" t="inlineStr">
        <is>
          <t>U0734</t>
        </is>
      </c>
      <c r="AC735" t="inlineStr">
        <is>
          <t>IN</t>
        </is>
      </c>
      <c r="AD735" t="n">
        <v>25.5</v>
      </c>
      <c r="AE735" t="n">
        <v>52</v>
      </c>
      <c r="AF735" t="n">
        <v>14.6</v>
      </c>
      <c r="AG735" t="inlineStr">
        <is>
          <t>1:14.6</t>
        </is>
      </c>
      <c r="AH735" t="inlineStr">
        <is>
          <t>2%</t>
        </is>
      </c>
      <c r="AI735" t="inlineStr"/>
      <c r="AJ735" t="n">
        <v>20.17</v>
      </c>
    </row>
    <row r="736">
      <c r="A736" t="inlineStr">
        <is>
          <t>Koç University</t>
        </is>
      </c>
      <c r="B736" t="inlineStr">
        <is>
          <t>Turkey</t>
        </is>
      </c>
      <c r="C736" t="inlineStr">
        <is>
          <t>401</t>
        </is>
      </c>
      <c r="D736" t="n">
        <v>29.6</v>
      </c>
      <c r="E736" t="n">
        <v>24.3</v>
      </c>
      <c r="F736" t="n">
        <v>54.6</v>
      </c>
      <c r="G736" t="n">
        <v>19.1</v>
      </c>
      <c r="H736" t="n">
        <v>32.4</v>
      </c>
      <c r="I736" t="n">
        <v>24.7</v>
      </c>
      <c r="J736" t="n">
        <v>13</v>
      </c>
      <c r="K736" t="n">
        <v>51.6</v>
      </c>
      <c r="L736" t="n">
        <v>6.8</v>
      </c>
      <c r="M736" t="n">
        <v>34.8</v>
      </c>
      <c r="N736" t="inlineStr">
        <is>
          <t>351–400</t>
        </is>
      </c>
      <c r="O736" t="inlineStr">
        <is>
          <t>49.1–51.0</t>
        </is>
      </c>
      <c r="P736" t="n">
        <v>31.8</v>
      </c>
      <c r="Q736" t="n">
        <v>40.5</v>
      </c>
      <c r="R736" t="n">
        <v>68.90000000000001</v>
      </c>
      <c r="S736" t="n">
        <v>91.90000000000001</v>
      </c>
      <c r="T736" t="n">
        <v>57.4</v>
      </c>
      <c r="U736" t="inlineStr">
        <is>
          <t>6,427</t>
        </is>
      </c>
      <c r="V736" t="n">
        <v>19.5</v>
      </c>
      <c r="W736" t="inlineStr">
        <is>
          <t>9%</t>
        </is>
      </c>
      <c r="X736" t="inlineStr">
        <is>
          <t>49 : 51</t>
        </is>
      </c>
      <c r="Y736" t="n">
        <v>401</v>
      </c>
      <c r="Z736" t="n">
        <v>351</v>
      </c>
      <c r="AA736" t="n">
        <v>50.05</v>
      </c>
      <c r="AB736" t="inlineStr">
        <is>
          <t>U0735</t>
        </is>
      </c>
      <c r="AC736" t="inlineStr">
        <is>
          <t>TU</t>
        </is>
      </c>
      <c r="AD736" t="n">
        <v>29.6</v>
      </c>
      <c r="AE736" t="n">
        <v>32.4</v>
      </c>
      <c r="AF736" t="n">
        <v>19.5</v>
      </c>
      <c r="AG736" t="inlineStr">
        <is>
          <t>1:19.5</t>
        </is>
      </c>
      <c r="AH736" t="inlineStr">
        <is>
          <t>9%</t>
        </is>
      </c>
      <c r="AI736" t="n">
        <v>24.3</v>
      </c>
      <c r="AJ736" t="n">
        <v>38.32</v>
      </c>
    </row>
    <row r="737">
      <c r="A737" t="inlineStr">
        <is>
          <t>Kobe University</t>
        </is>
      </c>
      <c r="B737" t="inlineStr">
        <is>
          <t>Japan</t>
        </is>
      </c>
      <c r="C737" t="inlineStr">
        <is>
          <t>465</t>
        </is>
      </c>
      <c r="D737" t="n">
        <v>25.8</v>
      </c>
      <c r="E737" t="n">
        <v>28.4</v>
      </c>
      <c r="F737" t="n">
        <v>33.2</v>
      </c>
      <c r="G737" t="n">
        <v>43.9</v>
      </c>
      <c r="H737" t="n">
        <v>11.4</v>
      </c>
      <c r="I737" t="n">
        <v>7</v>
      </c>
      <c r="J737" t="n">
        <v>5.6</v>
      </c>
      <c r="K737" t="n">
        <v>55</v>
      </c>
      <c r="L737" t="n">
        <v>15</v>
      </c>
      <c r="M737" t="n">
        <v>49.8</v>
      </c>
      <c r="N737" t="inlineStr">
        <is>
          <t>601–800</t>
        </is>
      </c>
      <c r="O737" t="inlineStr">
        <is>
          <t>37.0–41.8</t>
        </is>
      </c>
      <c r="P737" t="n">
        <v>39.5</v>
      </c>
      <c r="Q737" t="n">
        <v>27.2</v>
      </c>
      <c r="R737" t="n">
        <v>48.1</v>
      </c>
      <c r="S737" t="n">
        <v>75.40000000000001</v>
      </c>
      <c r="T737" t="n">
        <v>39</v>
      </c>
      <c r="U737" t="inlineStr">
        <is>
          <t>15,333</t>
        </is>
      </c>
      <c r="V737" t="n">
        <v>10.2</v>
      </c>
      <c r="W737" t="inlineStr">
        <is>
          <t>7%</t>
        </is>
      </c>
      <c r="X737" t="inlineStr">
        <is>
          <t>35 : 65</t>
        </is>
      </c>
      <c r="Y737" t="n">
        <v>465</v>
      </c>
      <c r="Z737" t="n">
        <v>601</v>
      </c>
      <c r="AA737" t="n">
        <v>39.4</v>
      </c>
      <c r="AB737" t="inlineStr">
        <is>
          <t>U0736</t>
        </is>
      </c>
      <c r="AC737" t="inlineStr">
        <is>
          <t>JA</t>
        </is>
      </c>
      <c r="AD737" t="n">
        <v>25.8</v>
      </c>
      <c r="AE737" t="n">
        <v>11.4</v>
      </c>
      <c r="AF737" t="n">
        <v>10.2</v>
      </c>
      <c r="AG737" t="inlineStr">
        <is>
          <t>1:10.2</t>
        </is>
      </c>
      <c r="AH737" t="inlineStr">
        <is>
          <t>7%</t>
        </is>
      </c>
      <c r="AI737" t="n">
        <v>28.4</v>
      </c>
      <c r="AJ737" t="n">
        <v>20.53</v>
      </c>
    </row>
    <row r="738">
      <c r="A738" t="inlineStr">
        <is>
          <t>Kocaeli University</t>
        </is>
      </c>
      <c r="B738" t="inlineStr">
        <is>
          <t>Turkey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>
        <is>
          <t>1501+</t>
        </is>
      </c>
      <c r="O738" t="inlineStr">
        <is>
          <t>9.7–22.7</t>
        </is>
      </c>
      <c r="P738" t="n">
        <v>14.3</v>
      </c>
      <c r="Q738" t="n">
        <v>9.699999999999999</v>
      </c>
      <c r="R738" t="n">
        <v>22.1</v>
      </c>
      <c r="S738" t="n">
        <v>23.7</v>
      </c>
      <c r="T738" t="n">
        <v>25.8</v>
      </c>
      <c r="U738" t="inlineStr">
        <is>
          <t>66,547</t>
        </is>
      </c>
      <c r="V738" t="n">
        <v>47.2</v>
      </c>
      <c r="W738" t="inlineStr">
        <is>
          <t>2%</t>
        </is>
      </c>
      <c r="X738" t="inlineStr">
        <is>
          <t>41 : 59</t>
        </is>
      </c>
      <c r="Y738" t="inlineStr"/>
      <c r="Z738" t="n">
        <v>1501</v>
      </c>
      <c r="AA738" t="n">
        <v>16.2</v>
      </c>
      <c r="AB738" t="inlineStr">
        <is>
          <t>U0737</t>
        </is>
      </c>
      <c r="AC738" t="inlineStr">
        <is>
          <t>TU</t>
        </is>
      </c>
      <c r="AD738" t="n">
        <v>16.2</v>
      </c>
      <c r="AE738" t="n">
        <v>22.1</v>
      </c>
      <c r="AF738" t="n">
        <v>47.2</v>
      </c>
      <c r="AG738" t="inlineStr">
        <is>
          <t>1:47.2</t>
        </is>
      </c>
      <c r="AH738" t="inlineStr">
        <is>
          <t>2%</t>
        </is>
      </c>
      <c r="AI738" t="inlineStr"/>
      <c r="AJ738" t="n">
        <v>11.41</v>
      </c>
    </row>
    <row r="739">
      <c r="A739" t="inlineStr">
        <is>
          <t>Kochi University</t>
        </is>
      </c>
      <c r="B739" t="inlineStr">
        <is>
          <t>Japan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>
        <is>
          <t>1501+</t>
        </is>
      </c>
      <c r="O739" t="inlineStr">
        <is>
          <t>9.7–22.7</t>
        </is>
      </c>
      <c r="P739" t="n">
        <v>24.7</v>
      </c>
      <c r="Q739" t="n">
        <v>12.3</v>
      </c>
      <c r="R739" t="n">
        <v>21.8</v>
      </c>
      <c r="S739" t="n">
        <v>41.5</v>
      </c>
      <c r="T739" t="n">
        <v>26.8</v>
      </c>
      <c r="U739" t="inlineStr">
        <is>
          <t>5,459</t>
        </is>
      </c>
      <c r="V739" t="n">
        <v>8.300000000000001</v>
      </c>
      <c r="W739" t="inlineStr">
        <is>
          <t>1%</t>
        </is>
      </c>
      <c r="X739" t="inlineStr">
        <is>
          <t>44 : 56</t>
        </is>
      </c>
      <c r="Y739" t="inlineStr"/>
      <c r="Z739" t="n">
        <v>1501</v>
      </c>
      <c r="AA739" t="n">
        <v>16.2</v>
      </c>
      <c r="AB739" t="inlineStr">
        <is>
          <t>U0738</t>
        </is>
      </c>
      <c r="AC739" t="inlineStr">
        <is>
          <t>JA</t>
        </is>
      </c>
      <c r="AD739" t="n">
        <v>16.2</v>
      </c>
      <c r="AE739" t="n">
        <v>21.8</v>
      </c>
      <c r="AF739" t="n">
        <v>8.300000000000001</v>
      </c>
      <c r="AG739" t="inlineStr">
        <is>
          <t>1:8.3</t>
        </is>
      </c>
      <c r="AH739" t="inlineStr">
        <is>
          <t>1%</t>
        </is>
      </c>
      <c r="AI739" t="inlineStr"/>
      <c r="AJ739" t="n">
        <v>12.93</v>
      </c>
    </row>
    <row r="740">
      <c r="A740" t="inlineStr">
        <is>
          <t>Kochi University of Technology</t>
        </is>
      </c>
      <c r="B740" t="inlineStr">
        <is>
          <t>Japan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>
        <is>
          <t>1501+</t>
        </is>
      </c>
      <c r="O740" t="inlineStr">
        <is>
          <t>9.7–22.7</t>
        </is>
      </c>
      <c r="P740" t="n">
        <v>17.6</v>
      </c>
      <c r="Q740" t="n">
        <v>15.6</v>
      </c>
      <c r="R740" t="n">
        <v>15.9</v>
      </c>
      <c r="S740" t="n">
        <v>68.40000000000001</v>
      </c>
      <c r="T740" t="n">
        <v>39.1</v>
      </c>
      <c r="U740" t="inlineStr">
        <is>
          <t>2,579</t>
        </is>
      </c>
      <c r="V740" t="n">
        <v>20.3</v>
      </c>
      <c r="W740" t="inlineStr">
        <is>
          <t>2%</t>
        </is>
      </c>
      <c r="X740" t="inlineStr">
        <is>
          <t>25 : 75</t>
        </is>
      </c>
      <c r="Y740" t="inlineStr"/>
      <c r="Z740" t="n">
        <v>1501</v>
      </c>
      <c r="AA740" t="n">
        <v>16.2</v>
      </c>
      <c r="AB740" t="inlineStr">
        <is>
          <t>U0739</t>
        </is>
      </c>
      <c r="AC740" t="inlineStr">
        <is>
          <t>JA</t>
        </is>
      </c>
      <c r="AD740" t="n">
        <v>16.2</v>
      </c>
      <c r="AE740" t="n">
        <v>15.9</v>
      </c>
      <c r="AF740" t="n">
        <v>20.3</v>
      </c>
      <c r="AG740" t="inlineStr">
        <is>
          <t>1:20.3</t>
        </is>
      </c>
      <c r="AH740" t="inlineStr">
        <is>
          <t>2%</t>
        </is>
      </c>
      <c r="AI740" t="inlineStr"/>
      <c r="AJ740" t="n">
        <v>15.84</v>
      </c>
    </row>
    <row r="741">
      <c r="A741" t="inlineStr">
        <is>
          <t>Kogakuin University</t>
        </is>
      </c>
      <c r="B741" t="inlineStr">
        <is>
          <t>Japan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>
        <is>
          <t>1501+</t>
        </is>
      </c>
      <c r="O741" t="inlineStr">
        <is>
          <t>9.7–22.7</t>
        </is>
      </c>
      <c r="P741" t="n">
        <v>16.8</v>
      </c>
      <c r="Q741" t="n">
        <v>11.3</v>
      </c>
      <c r="R741" t="n">
        <v>26.3</v>
      </c>
      <c r="S741" t="n">
        <v>32.7</v>
      </c>
      <c r="T741" t="n">
        <v>25</v>
      </c>
      <c r="U741" t="inlineStr">
        <is>
          <t>6,553</t>
        </is>
      </c>
      <c r="V741" t="n">
        <v>18.3</v>
      </c>
      <c r="W741" t="inlineStr">
        <is>
          <t>2%</t>
        </is>
      </c>
      <c r="X741" t="inlineStr">
        <is>
          <t>18 : 82</t>
        </is>
      </c>
      <c r="Y741" t="inlineStr"/>
      <c r="Z741" t="n">
        <v>1501</v>
      </c>
      <c r="AA741" t="n">
        <v>16.2</v>
      </c>
      <c r="AB741" t="inlineStr">
        <is>
          <t>U0740</t>
        </is>
      </c>
      <c r="AC741" t="inlineStr">
        <is>
          <t>JA</t>
        </is>
      </c>
      <c r="AD741" t="n">
        <v>16.2</v>
      </c>
      <c r="AE741" t="n">
        <v>26.3</v>
      </c>
      <c r="AF741" t="n">
        <v>18.3</v>
      </c>
      <c r="AG741" t="inlineStr">
        <is>
          <t>1:18.3</t>
        </is>
      </c>
      <c r="AH741" t="inlineStr">
        <is>
          <t>2%</t>
        </is>
      </c>
      <c r="AI741" t="inlineStr"/>
      <c r="AJ741" t="n">
        <v>13.33</v>
      </c>
    </row>
    <row r="742">
      <c r="A742" t="inlineStr">
        <is>
          <t>Kohat University of Science and Technology</t>
        </is>
      </c>
      <c r="B742" t="inlineStr">
        <is>
          <t>Pakistan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>
        <is>
          <t>1001–1200</t>
        </is>
      </c>
      <c r="O742" t="inlineStr">
        <is>
          <t>28.3–32.6</t>
        </is>
      </c>
      <c r="P742" t="n">
        <v>21.9</v>
      </c>
      <c r="Q742" t="n">
        <v>14.2</v>
      </c>
      <c r="R742" t="n">
        <v>49</v>
      </c>
      <c r="S742" t="n">
        <v>20.8</v>
      </c>
      <c r="T742" t="n">
        <v>59.5</v>
      </c>
      <c r="U742" t="inlineStr">
        <is>
          <t>7,055</t>
        </is>
      </c>
      <c r="V742" t="n">
        <v>43</v>
      </c>
      <c r="W742" t="inlineStr">
        <is>
          <t>0%</t>
        </is>
      </c>
      <c r="X742" t="inlineStr">
        <is>
          <t>26 : 74</t>
        </is>
      </c>
      <c r="Y742" t="inlineStr"/>
      <c r="Z742" t="n">
        <v>1001</v>
      </c>
      <c r="AA742" t="n">
        <v>30.45</v>
      </c>
      <c r="AB742" t="inlineStr">
        <is>
          <t>U0741</t>
        </is>
      </c>
      <c r="AC742" t="inlineStr">
        <is>
          <t>PA</t>
        </is>
      </c>
      <c r="AD742" t="n">
        <v>30.45</v>
      </c>
      <c r="AE742" t="n">
        <v>49</v>
      </c>
      <c r="AF742" t="n">
        <v>43</v>
      </c>
      <c r="AG742" t="inlineStr">
        <is>
          <t>1:43.0</t>
        </is>
      </c>
      <c r="AH742" t="inlineStr">
        <is>
          <t>0%</t>
        </is>
      </c>
      <c r="AI742" t="inlineStr"/>
      <c r="AJ742" t="n">
        <v>30.07</v>
      </c>
    </row>
    <row r="743">
      <c r="A743" t="inlineStr">
        <is>
          <t xml:space="preserve">Konkuk University </t>
        </is>
      </c>
      <c r="B743" t="inlineStr">
        <is>
          <t>South Korea</t>
        </is>
      </c>
      <c r="C743" t="inlineStr">
        <is>
          <t>721-730</t>
        </is>
      </c>
      <c r="D743" t="inlineStr"/>
      <c r="E743" t="n">
        <v>7</v>
      </c>
      <c r="F743" t="n">
        <v>8.1</v>
      </c>
      <c r="G743" t="n">
        <v>61.8</v>
      </c>
      <c r="H743" t="n">
        <v>17.1</v>
      </c>
      <c r="I743" t="n">
        <v>9.5</v>
      </c>
      <c r="J743" t="n">
        <v>17.7</v>
      </c>
      <c r="K743" t="n">
        <v>46.8</v>
      </c>
      <c r="L743" t="n">
        <v>9</v>
      </c>
      <c r="M743" t="n">
        <v>28.4</v>
      </c>
      <c r="N743" t="inlineStr">
        <is>
          <t>601–800</t>
        </is>
      </c>
      <c r="O743" t="inlineStr">
        <is>
          <t>37.0–41.8</t>
        </is>
      </c>
      <c r="P743" t="n">
        <v>32.2</v>
      </c>
      <c r="Q743" t="n">
        <v>37.6</v>
      </c>
      <c r="R743" t="n">
        <v>49.1</v>
      </c>
      <c r="S743" t="n">
        <v>73.7</v>
      </c>
      <c r="T743" t="n">
        <v>45</v>
      </c>
      <c r="U743" t="inlineStr">
        <is>
          <t>12,805</t>
        </is>
      </c>
      <c r="V743" t="n">
        <v>25.2</v>
      </c>
      <c r="W743" t="inlineStr">
        <is>
          <t>15%</t>
        </is>
      </c>
      <c r="X743" t="inlineStr">
        <is>
          <t>48 : 52</t>
        </is>
      </c>
      <c r="Y743" t="n">
        <v>721</v>
      </c>
      <c r="Z743" t="n">
        <v>601</v>
      </c>
      <c r="AA743" t="n">
        <v>39.4</v>
      </c>
      <c r="AB743" t="inlineStr">
        <is>
          <t>U0742</t>
        </is>
      </c>
      <c r="AC743" t="inlineStr">
        <is>
          <t>SO</t>
        </is>
      </c>
      <c r="AD743" t="n">
        <v>39.4</v>
      </c>
      <c r="AE743" t="n">
        <v>17.1</v>
      </c>
      <c r="AF743" t="n">
        <v>25.2</v>
      </c>
      <c r="AG743" t="inlineStr">
        <is>
          <t>1:25.2</t>
        </is>
      </c>
      <c r="AH743" t="inlineStr">
        <is>
          <t>15%</t>
        </is>
      </c>
      <c r="AI743" t="n">
        <v>7</v>
      </c>
      <c r="AJ743" t="n">
        <v>29.16</v>
      </c>
    </row>
    <row r="744">
      <c r="A744" t="inlineStr">
        <is>
          <t xml:space="preserve">Kookmin University </t>
        </is>
      </c>
      <c r="B744" t="inlineStr">
        <is>
          <t>South Korea</t>
        </is>
      </c>
      <c r="C744" t="inlineStr">
        <is>
          <t>1201-1400</t>
        </is>
      </c>
      <c r="D744" t="inlineStr"/>
      <c r="E744" t="n">
        <v>3.6</v>
      </c>
      <c r="F744" t="n">
        <v>4</v>
      </c>
      <c r="G744" t="n">
        <v>35.3</v>
      </c>
      <c r="H744" t="n">
        <v>2.9</v>
      </c>
      <c r="I744" t="n">
        <v>4.9</v>
      </c>
      <c r="J744" t="n">
        <v>31.1</v>
      </c>
      <c r="K744" t="n">
        <v>7.9</v>
      </c>
      <c r="L744" t="n">
        <v>2.9</v>
      </c>
      <c r="M744" t="n">
        <v>2.9</v>
      </c>
      <c r="N744" t="inlineStr">
        <is>
          <t>1501+</t>
        </is>
      </c>
      <c r="O744" t="inlineStr">
        <is>
          <t>9.7–22.7</t>
        </is>
      </c>
      <c r="P744" t="n">
        <v>24.5</v>
      </c>
      <c r="Q744" t="n">
        <v>14.3</v>
      </c>
      <c r="R744" t="n">
        <v>20.1</v>
      </c>
      <c r="S744" t="n">
        <v>37</v>
      </c>
      <c r="T744" t="n">
        <v>36.1</v>
      </c>
      <c r="U744" t="inlineStr">
        <is>
          <t>17,514</t>
        </is>
      </c>
      <c r="V744" t="n">
        <v>11.6</v>
      </c>
      <c r="W744" t="inlineStr">
        <is>
          <t>11%</t>
        </is>
      </c>
      <c r="X744" t="inlineStr">
        <is>
          <t>50 : 50</t>
        </is>
      </c>
      <c r="Y744" t="n">
        <v>1201</v>
      </c>
      <c r="Z744" t="n">
        <v>1501</v>
      </c>
      <c r="AA744" t="n">
        <v>16.2</v>
      </c>
      <c r="AB744" t="inlineStr">
        <is>
          <t>U0743</t>
        </is>
      </c>
      <c r="AC744" t="inlineStr">
        <is>
          <t>SO</t>
        </is>
      </c>
      <c r="AD744" t="n">
        <v>16.2</v>
      </c>
      <c r="AE744" t="n">
        <v>2.9</v>
      </c>
      <c r="AF744" t="n">
        <v>11.6</v>
      </c>
      <c r="AG744" t="inlineStr">
        <is>
          <t>1:11.6</t>
        </is>
      </c>
      <c r="AH744" t="inlineStr">
        <is>
          <t>11%</t>
        </is>
      </c>
      <c r="AI744" t="n">
        <v>3.6</v>
      </c>
      <c r="AJ744" t="n">
        <v>10.5</v>
      </c>
    </row>
    <row r="745">
      <c r="A745" t="inlineStr">
        <is>
          <t>Kore University of Enna</t>
        </is>
      </c>
      <c r="B745" t="inlineStr">
        <is>
          <t>Italy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>
        <is>
          <t>801–1000</t>
        </is>
      </c>
      <c r="O745" t="inlineStr">
        <is>
          <t>32.7–36.9</t>
        </is>
      </c>
      <c r="P745" t="n">
        <v>18</v>
      </c>
      <c r="Q745" t="n">
        <v>12.3</v>
      </c>
      <c r="R745" t="n">
        <v>71.3</v>
      </c>
      <c r="S745" t="n">
        <v>40.9</v>
      </c>
      <c r="T745" t="n">
        <v>37.3</v>
      </c>
      <c r="U745" t="inlineStr">
        <is>
          <t>5,052</t>
        </is>
      </c>
      <c r="V745" t="n">
        <v>16</v>
      </c>
      <c r="W745" t="inlineStr">
        <is>
          <t>1%</t>
        </is>
      </c>
      <c r="X745" t="inlineStr">
        <is>
          <t>68 : 32</t>
        </is>
      </c>
      <c r="Y745" t="inlineStr"/>
      <c r="Z745" t="n">
        <v>801</v>
      </c>
      <c r="AA745" t="n">
        <v>34.8</v>
      </c>
      <c r="AB745" t="inlineStr">
        <is>
          <t>U0744</t>
        </is>
      </c>
      <c r="AC745" t="inlineStr">
        <is>
          <t>IT</t>
        </is>
      </c>
      <c r="AD745" t="n">
        <v>34.8</v>
      </c>
      <c r="AE745" t="n">
        <v>71.3</v>
      </c>
      <c r="AF745" t="n">
        <v>16</v>
      </c>
      <c r="AG745" t="inlineStr">
        <is>
          <t>1:16.0</t>
        </is>
      </c>
      <c r="AH745" t="inlineStr">
        <is>
          <t>1%</t>
        </is>
      </c>
      <c r="AI745" t="inlineStr"/>
      <c r="AJ745" t="n">
        <v>30.47</v>
      </c>
    </row>
    <row r="746">
      <c r="A746" t="inlineStr">
        <is>
          <t>Korea Advanced Institute of Science and Technology (KAIST)</t>
        </is>
      </c>
      <c r="B746" t="inlineStr">
        <is>
          <t>South Korea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>
        <is>
          <t>83</t>
        </is>
      </c>
      <c r="O746" t="inlineStr">
        <is>
          <t>69.2</t>
        </is>
      </c>
      <c r="P746" t="n">
        <v>67.09999999999999</v>
      </c>
      <c r="Q746" t="n">
        <v>65.8</v>
      </c>
      <c r="R746" t="n">
        <v>77.40000000000001</v>
      </c>
      <c r="S746" t="n">
        <v>100</v>
      </c>
      <c r="T746" t="n">
        <v>41.6</v>
      </c>
      <c r="U746" t="inlineStr">
        <is>
          <t>10,130</t>
        </is>
      </c>
      <c r="V746" t="n">
        <v>10.7</v>
      </c>
      <c r="W746" t="inlineStr">
        <is>
          <t>8%</t>
        </is>
      </c>
      <c r="X746" t="inlineStr">
        <is>
          <t>21 : 79</t>
        </is>
      </c>
      <c r="Y746" t="inlineStr"/>
      <c r="Z746" t="n">
        <v>83</v>
      </c>
      <c r="AA746" t="n">
        <v>69.2</v>
      </c>
      <c r="AB746" t="inlineStr">
        <is>
          <t>U0745</t>
        </is>
      </c>
      <c r="AC746" t="inlineStr">
        <is>
          <t>SO</t>
        </is>
      </c>
      <c r="AD746" t="n">
        <v>69.2</v>
      </c>
      <c r="AE746" t="n">
        <v>77.40000000000001</v>
      </c>
      <c r="AF746" t="n">
        <v>10.7</v>
      </c>
      <c r="AG746" t="inlineStr">
        <is>
          <t>1:10.7</t>
        </is>
      </c>
      <c r="AH746" t="inlineStr">
        <is>
          <t>8%</t>
        </is>
      </c>
      <c r="AI746" t="inlineStr"/>
      <c r="AJ746" t="n">
        <v>61.39</v>
      </c>
    </row>
    <row r="747">
      <c r="A747" t="inlineStr">
        <is>
          <t>Korea University</t>
        </is>
      </c>
      <c r="B747" t="inlineStr">
        <is>
          <t>South Korea</t>
        </is>
      </c>
      <c r="C747" t="inlineStr">
        <is>
          <t>67</t>
        </is>
      </c>
      <c r="D747" t="n">
        <v>69</v>
      </c>
      <c r="E747" t="n">
        <v>78.2</v>
      </c>
      <c r="F747" t="n">
        <v>93.8</v>
      </c>
      <c r="G747" t="n">
        <v>73</v>
      </c>
      <c r="H747" t="n">
        <v>45</v>
      </c>
      <c r="I747" t="n">
        <v>15.2</v>
      </c>
      <c r="J747" t="n">
        <v>45.7</v>
      </c>
      <c r="K747" t="n">
        <v>65.7</v>
      </c>
      <c r="L747" t="n">
        <v>89</v>
      </c>
      <c r="M747" t="n">
        <v>85.2</v>
      </c>
      <c r="N747" t="inlineStr">
        <is>
          <t>201–250</t>
        </is>
      </c>
      <c r="O747" t="inlineStr">
        <is>
          <t>55.9–58.6</t>
        </is>
      </c>
      <c r="P747" t="n">
        <v>48.6</v>
      </c>
      <c r="Q747" t="n">
        <v>46.6</v>
      </c>
      <c r="R747" t="n">
        <v>72</v>
      </c>
      <c r="S747" t="n">
        <v>99.7</v>
      </c>
      <c r="T747" t="n">
        <v>62.5</v>
      </c>
      <c r="U747" t="inlineStr">
        <is>
          <t>22,324</t>
        </is>
      </c>
      <c r="V747" t="n">
        <v>16.3</v>
      </c>
      <c r="W747" t="inlineStr">
        <is>
          <t>31%</t>
        </is>
      </c>
      <c r="X747" t="inlineStr"/>
      <c r="Y747" t="n">
        <v>67</v>
      </c>
      <c r="Z747" t="n">
        <v>201</v>
      </c>
      <c r="AA747" t="n">
        <v>57.25</v>
      </c>
      <c r="AB747" t="inlineStr">
        <is>
          <t>U0746</t>
        </is>
      </c>
      <c r="AC747" t="inlineStr">
        <is>
          <t>SO</t>
        </is>
      </c>
      <c r="AD747" t="n">
        <v>69</v>
      </c>
      <c r="AE747" t="n">
        <v>45</v>
      </c>
      <c r="AF747" t="n">
        <v>16.3</v>
      </c>
      <c r="AG747" t="inlineStr">
        <is>
          <t>1:16.3</t>
        </is>
      </c>
      <c r="AH747" t="inlineStr">
        <is>
          <t>31%</t>
        </is>
      </c>
      <c r="AI747" t="n">
        <v>78.2</v>
      </c>
      <c r="AJ747" t="n">
        <v>46.57</v>
      </c>
    </row>
    <row r="748">
      <c r="A748" t="inlineStr">
        <is>
          <t>Korkyt Ata Kyzylorda University</t>
        </is>
      </c>
      <c r="B748" t="inlineStr">
        <is>
          <t>Kazakhstan</t>
        </is>
      </c>
      <c r="C748" t="inlineStr">
        <is>
          <t>1401+</t>
        </is>
      </c>
      <c r="D748" t="inlineStr"/>
      <c r="E748" t="n">
        <v>7</v>
      </c>
      <c r="F748" t="n">
        <v>7.9</v>
      </c>
      <c r="G748" t="n">
        <v>5.7</v>
      </c>
      <c r="H748" t="n">
        <v>1</v>
      </c>
      <c r="I748" t="n">
        <v>3.4</v>
      </c>
      <c r="J748" t="n">
        <v>1.2</v>
      </c>
      <c r="K748" t="n">
        <v>1</v>
      </c>
      <c r="L748" t="n">
        <v>3.3</v>
      </c>
      <c r="M748" t="n">
        <v>1.1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n">
        <v>1401</v>
      </c>
      <c r="Z748" t="inlineStr"/>
      <c r="AA748" t="inlineStr"/>
      <c r="AB748" t="inlineStr">
        <is>
          <t>U0747</t>
        </is>
      </c>
      <c r="AC748" t="inlineStr">
        <is>
          <t>KA</t>
        </is>
      </c>
      <c r="AD748" t="inlineStr"/>
      <c r="AE748" t="n">
        <v>1</v>
      </c>
      <c r="AF748" t="inlineStr"/>
      <c r="AG748" t="inlineStr"/>
      <c r="AH748" t="inlineStr"/>
      <c r="AI748" t="n">
        <v>7</v>
      </c>
      <c r="AJ748" t="n">
        <v>13.69</v>
      </c>
    </row>
    <row r="749">
      <c r="A749" t="inlineStr">
        <is>
          <t xml:space="preserve">KTH Royal Institute of Technology </t>
        </is>
      </c>
      <c r="B749" t="inlineStr">
        <is>
          <t>Sweden</t>
        </is>
      </c>
      <c r="C749" t="inlineStr">
        <is>
          <t>74</t>
        </is>
      </c>
      <c r="D749" t="n">
        <v>65.7</v>
      </c>
      <c r="E749" t="n">
        <v>45.2</v>
      </c>
      <c r="F749" t="n">
        <v>55.6</v>
      </c>
      <c r="G749" t="n">
        <v>62.3</v>
      </c>
      <c r="H749" t="n">
        <v>86.09999999999999</v>
      </c>
      <c r="I749" t="n">
        <v>92</v>
      </c>
      <c r="J749" t="n">
        <v>65.90000000000001</v>
      </c>
      <c r="K749" t="n">
        <v>91.09999999999999</v>
      </c>
      <c r="L749" t="n">
        <v>62.4</v>
      </c>
      <c r="M749" t="n">
        <v>94.8</v>
      </c>
      <c r="N749">
        <f>97</f>
        <v/>
      </c>
      <c r="O749" t="inlineStr">
        <is>
          <t>66.9</t>
        </is>
      </c>
      <c r="P749" t="n">
        <v>53.5</v>
      </c>
      <c r="Q749" t="n">
        <v>57.8</v>
      </c>
      <c r="R749" t="n">
        <v>81</v>
      </c>
      <c r="S749" t="n">
        <v>97.7</v>
      </c>
      <c r="T749" t="n">
        <v>82.5</v>
      </c>
      <c r="U749" t="inlineStr">
        <is>
          <t>13,269</t>
        </is>
      </c>
      <c r="V749" t="n">
        <v>15.9</v>
      </c>
      <c r="W749" t="inlineStr">
        <is>
          <t>26%</t>
        </is>
      </c>
      <c r="X749" t="inlineStr">
        <is>
          <t>34 : 66</t>
        </is>
      </c>
      <c r="Y749" t="n">
        <v>74</v>
      </c>
      <c r="Z749" t="n">
        <v>97</v>
      </c>
      <c r="AA749" t="n">
        <v>66.90000000000001</v>
      </c>
      <c r="AB749" t="inlineStr">
        <is>
          <t>U0748</t>
        </is>
      </c>
      <c r="AC749" t="inlineStr">
        <is>
          <t>SW</t>
        </is>
      </c>
      <c r="AD749" t="n">
        <v>65.7</v>
      </c>
      <c r="AE749" t="n">
        <v>86.09999999999999</v>
      </c>
      <c r="AF749" t="n">
        <v>15.9</v>
      </c>
      <c r="AG749" t="inlineStr">
        <is>
          <t>1:15.9</t>
        </is>
      </c>
      <c r="AH749" t="inlineStr">
        <is>
          <t>26%</t>
        </is>
      </c>
      <c r="AI749" t="n">
        <v>45.2</v>
      </c>
      <c r="AJ749" t="n">
        <v>69.73</v>
      </c>
    </row>
    <row r="750">
      <c r="A750" t="inlineStr">
        <is>
          <t>KU Leuven</t>
        </is>
      </c>
      <c r="B750" t="inlineStr">
        <is>
          <t>Belgium</t>
        </is>
      </c>
      <c r="C750" t="inlineStr">
        <is>
          <t>63</t>
        </is>
      </c>
      <c r="D750" t="n">
        <v>70.3</v>
      </c>
      <c r="E750" t="n">
        <v>84.59999999999999</v>
      </c>
      <c r="F750" t="n">
        <v>49.6</v>
      </c>
      <c r="G750" t="n">
        <v>7.1</v>
      </c>
      <c r="H750" t="n">
        <v>91</v>
      </c>
      <c r="I750" t="n">
        <v>93.8</v>
      </c>
      <c r="J750" t="n">
        <v>47.7</v>
      </c>
      <c r="K750" t="n">
        <v>99.5</v>
      </c>
      <c r="L750" t="n">
        <v>75.3</v>
      </c>
      <c r="M750" t="n">
        <v>51.2</v>
      </c>
      <c r="N750" t="inlineStr">
        <is>
          <t>45</t>
        </is>
      </c>
      <c r="O750" t="inlineStr">
        <is>
          <t>77.0</t>
        </is>
      </c>
      <c r="P750" t="n">
        <v>60.1</v>
      </c>
      <c r="Q750" t="n">
        <v>74.90000000000001</v>
      </c>
      <c r="R750" t="n">
        <v>91.90000000000001</v>
      </c>
      <c r="S750" t="n">
        <v>100</v>
      </c>
      <c r="T750" t="n">
        <v>79.59999999999999</v>
      </c>
      <c r="U750" t="inlineStr">
        <is>
          <t>49,435</t>
        </is>
      </c>
      <c r="V750" t="n">
        <v>37.3</v>
      </c>
      <c r="W750" t="inlineStr">
        <is>
          <t>19%</t>
        </is>
      </c>
      <c r="X750" t="inlineStr">
        <is>
          <t>52 : 48</t>
        </is>
      </c>
      <c r="Y750" t="n">
        <v>63</v>
      </c>
      <c r="Z750" t="n">
        <v>45</v>
      </c>
      <c r="AA750" t="n">
        <v>77</v>
      </c>
      <c r="AB750" t="inlineStr">
        <is>
          <t>U0749</t>
        </is>
      </c>
      <c r="AC750" t="inlineStr">
        <is>
          <t>BE</t>
        </is>
      </c>
      <c r="AD750" t="n">
        <v>70.3</v>
      </c>
      <c r="AE750" t="n">
        <v>91</v>
      </c>
      <c r="AF750" t="n">
        <v>37.3</v>
      </c>
      <c r="AG750" t="inlineStr">
        <is>
          <t>1:37.3</t>
        </is>
      </c>
      <c r="AH750" t="inlineStr">
        <is>
          <t>19%</t>
        </is>
      </c>
      <c r="AI750" t="n">
        <v>84.59999999999999</v>
      </c>
      <c r="AJ750" t="n">
        <v>79.47</v>
      </c>
    </row>
    <row r="751">
      <c r="A751" t="inlineStr">
        <is>
          <t>Kumamoto University</t>
        </is>
      </c>
      <c r="B751" t="inlineStr">
        <is>
          <t>Japan</t>
        </is>
      </c>
      <c r="C751" t="inlineStr">
        <is>
          <t>951-1000</t>
        </is>
      </c>
      <c r="D751" t="inlineStr"/>
      <c r="E751" t="n">
        <v>7.1</v>
      </c>
      <c r="F751" t="n">
        <v>2.8</v>
      </c>
      <c r="G751" t="n">
        <v>55.2</v>
      </c>
      <c r="H751" t="n">
        <v>12.6</v>
      </c>
      <c r="I751" t="n">
        <v>7.2</v>
      </c>
      <c r="J751" t="n">
        <v>3.5</v>
      </c>
      <c r="K751" t="n">
        <v>35.1</v>
      </c>
      <c r="L751" t="n">
        <v>2.9</v>
      </c>
      <c r="M751" t="n">
        <v>8</v>
      </c>
      <c r="N751" t="inlineStr">
        <is>
          <t>801–1000</t>
        </is>
      </c>
      <c r="O751" t="inlineStr">
        <is>
          <t>32.7–36.9</t>
        </is>
      </c>
      <c r="P751" t="n">
        <v>33.6</v>
      </c>
      <c r="Q751" t="n">
        <v>19.6</v>
      </c>
      <c r="R751" t="n">
        <v>40.9</v>
      </c>
      <c r="S751" t="n">
        <v>77.5</v>
      </c>
      <c r="T751" t="n">
        <v>36.5</v>
      </c>
      <c r="U751" t="inlineStr">
        <is>
          <t>9,384</t>
        </is>
      </c>
      <c r="V751" t="n">
        <v>9.800000000000001</v>
      </c>
      <c r="W751" t="inlineStr">
        <is>
          <t>6%</t>
        </is>
      </c>
      <c r="X751" t="inlineStr">
        <is>
          <t>39 : 61</t>
        </is>
      </c>
      <c r="Y751" t="n">
        <v>951</v>
      </c>
      <c r="Z751" t="n">
        <v>801</v>
      </c>
      <c r="AA751" t="n">
        <v>34.8</v>
      </c>
      <c r="AB751" t="inlineStr">
        <is>
          <t>U0750</t>
        </is>
      </c>
      <c r="AC751" t="inlineStr">
        <is>
          <t>JA</t>
        </is>
      </c>
      <c r="AD751" t="n">
        <v>34.8</v>
      </c>
      <c r="AE751" t="n">
        <v>12.6</v>
      </c>
      <c r="AF751" t="n">
        <v>9.800000000000001</v>
      </c>
      <c r="AG751" t="inlineStr">
        <is>
          <t>1:9.8</t>
        </is>
      </c>
      <c r="AH751" t="inlineStr">
        <is>
          <t>6%</t>
        </is>
      </c>
      <c r="AI751" t="n">
        <v>7.1</v>
      </c>
      <c r="AJ751" t="n">
        <v>16.31</v>
      </c>
    </row>
    <row r="752">
      <c r="A752" t="inlineStr">
        <is>
          <t>Kurdistan University of Medical Sciences</t>
        </is>
      </c>
      <c r="B752" t="inlineStr">
        <is>
          <t>Iran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>
        <is>
          <t>601–800</t>
        </is>
      </c>
      <c r="O752" t="inlineStr">
        <is>
          <t>37.0–41.8</t>
        </is>
      </c>
      <c r="P752" t="n">
        <v>40.8</v>
      </c>
      <c r="Q752" t="n">
        <v>11.2</v>
      </c>
      <c r="R752" t="n">
        <v>67.59999999999999</v>
      </c>
      <c r="S752" t="n">
        <v>18.8</v>
      </c>
      <c r="T752" t="n">
        <v>27.9</v>
      </c>
      <c r="U752" t="inlineStr">
        <is>
          <t>3,229</t>
        </is>
      </c>
      <c r="V752" t="n">
        <v>10.7</v>
      </c>
      <c r="W752" t="inlineStr">
        <is>
          <t>2%</t>
        </is>
      </c>
      <c r="X752" t="inlineStr">
        <is>
          <t>48 : 52</t>
        </is>
      </c>
      <c r="Y752" t="inlineStr"/>
      <c r="Z752" t="n">
        <v>601</v>
      </c>
      <c r="AA752" t="n">
        <v>39.4</v>
      </c>
      <c r="AB752" t="inlineStr">
        <is>
          <t>U0751</t>
        </is>
      </c>
      <c r="AC752" t="inlineStr">
        <is>
          <t>IR</t>
        </is>
      </c>
      <c r="AD752" t="n">
        <v>39.4</v>
      </c>
      <c r="AE752" t="n">
        <v>67.59999999999999</v>
      </c>
      <c r="AF752" t="n">
        <v>10.7</v>
      </c>
      <c r="AG752" t="inlineStr">
        <is>
          <t>1:10.7</t>
        </is>
      </c>
      <c r="AH752" t="inlineStr">
        <is>
          <t>2%</t>
        </is>
      </c>
      <c r="AI752" t="inlineStr"/>
      <c r="AJ752" t="n">
        <v>26.49</v>
      </c>
    </row>
    <row r="753">
      <c r="A753" t="inlineStr">
        <is>
          <t>Kurume University</t>
        </is>
      </c>
      <c r="B753" t="inlineStr">
        <is>
          <t>Japan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>
        <is>
          <t>1001–1200</t>
        </is>
      </c>
      <c r="O753" t="inlineStr">
        <is>
          <t>28.3–32.6</t>
        </is>
      </c>
      <c r="P753" t="n">
        <v>27.5</v>
      </c>
      <c r="Q753" t="n">
        <v>13.6</v>
      </c>
      <c r="R753" t="n">
        <v>48.4</v>
      </c>
      <c r="S753" t="n">
        <v>44.7</v>
      </c>
      <c r="T753" t="n">
        <v>26.3</v>
      </c>
      <c r="U753" t="inlineStr">
        <is>
          <t>5,007</t>
        </is>
      </c>
      <c r="V753" t="n">
        <v>9</v>
      </c>
      <c r="W753" t="inlineStr">
        <is>
          <t>1%</t>
        </is>
      </c>
      <c r="X753" t="inlineStr"/>
      <c r="Y753" t="inlineStr"/>
      <c r="Z753" t="n">
        <v>1001</v>
      </c>
      <c r="AA753" t="n">
        <v>30.45</v>
      </c>
      <c r="AB753" t="inlineStr">
        <is>
          <t>U0752</t>
        </is>
      </c>
      <c r="AC753" t="inlineStr">
        <is>
          <t>JA</t>
        </is>
      </c>
      <c r="AD753" t="n">
        <v>30.45</v>
      </c>
      <c r="AE753" t="n">
        <v>48.4</v>
      </c>
      <c r="AF753" t="n">
        <v>9</v>
      </c>
      <c r="AG753" t="inlineStr">
        <is>
          <t>1:9.0</t>
        </is>
      </c>
      <c r="AH753" t="inlineStr">
        <is>
          <t>1%</t>
        </is>
      </c>
      <c r="AI753" t="inlineStr"/>
      <c r="AJ753" t="n">
        <v>21.55</v>
      </c>
    </row>
    <row r="754">
      <c r="A754" t="inlineStr">
        <is>
          <t>Kuwait University</t>
        </is>
      </c>
      <c r="B754" t="inlineStr">
        <is>
          <t>Kuwait</t>
        </is>
      </c>
      <c r="C754" t="inlineStr">
        <is>
          <t>801-850</t>
        </is>
      </c>
      <c r="D754" t="inlineStr"/>
      <c r="E754" t="n">
        <v>14.7</v>
      </c>
      <c r="F754" t="n">
        <v>7.9</v>
      </c>
      <c r="G754" t="n">
        <v>6.8</v>
      </c>
      <c r="H754" t="n">
        <v>2.9</v>
      </c>
      <c r="I754" t="n">
        <v>20.4</v>
      </c>
      <c r="J754" t="n">
        <v>19.4</v>
      </c>
      <c r="K754" t="n">
        <v>39.3</v>
      </c>
      <c r="L754" t="n">
        <v>93.8</v>
      </c>
      <c r="M754" t="n">
        <v>17.1</v>
      </c>
      <c r="N754" t="inlineStr">
        <is>
          <t>1001–1200</t>
        </is>
      </c>
      <c r="O754" t="inlineStr">
        <is>
          <t>28.3–32.6</t>
        </is>
      </c>
      <c r="P754" t="n">
        <v>19.5</v>
      </c>
      <c r="Q754" t="n">
        <v>9.9</v>
      </c>
      <c r="R754" t="n">
        <v>55.5</v>
      </c>
      <c r="S754" t="n">
        <v>28.9</v>
      </c>
      <c r="T754" t="n">
        <v>66.40000000000001</v>
      </c>
      <c r="U754" t="inlineStr">
        <is>
          <t>34,147</t>
        </is>
      </c>
      <c r="V754" t="n">
        <v>14.7</v>
      </c>
      <c r="W754" t="inlineStr">
        <is>
          <t>13%</t>
        </is>
      </c>
      <c r="X754" t="inlineStr">
        <is>
          <t>73 : 27</t>
        </is>
      </c>
      <c r="Y754" t="n">
        <v>801</v>
      </c>
      <c r="Z754" t="n">
        <v>1001</v>
      </c>
      <c r="AA754" t="n">
        <v>30.45</v>
      </c>
      <c r="AB754" t="inlineStr">
        <is>
          <t>U0753</t>
        </is>
      </c>
      <c r="AC754" t="inlineStr">
        <is>
          <t>KU</t>
        </is>
      </c>
      <c r="AD754" t="n">
        <v>30.45</v>
      </c>
      <c r="AE754" t="n">
        <v>2.9</v>
      </c>
      <c r="AF754" t="n">
        <v>14.7</v>
      </c>
      <c r="AG754" t="inlineStr">
        <is>
          <t>1:14.7</t>
        </is>
      </c>
      <c r="AH754" t="inlineStr">
        <is>
          <t>13%</t>
        </is>
      </c>
      <c r="AI754" t="n">
        <v>14.7</v>
      </c>
      <c r="AJ754" t="n">
        <v>15.52</v>
      </c>
    </row>
    <row r="755">
      <c r="A755" t="inlineStr">
        <is>
          <t>Kwame Nkrumah University of Science and Technology</t>
        </is>
      </c>
      <c r="B755" t="inlineStr">
        <is>
          <t>Ghana</t>
        </is>
      </c>
      <c r="C755" t="inlineStr">
        <is>
          <t>1201-1400</t>
        </is>
      </c>
      <c r="D755" t="inlineStr"/>
      <c r="E755" t="n">
        <v>6.9</v>
      </c>
      <c r="F755" t="n">
        <v>6</v>
      </c>
      <c r="G755" t="n">
        <v>4.8</v>
      </c>
      <c r="H755" t="n">
        <v>2</v>
      </c>
      <c r="I755" t="inlineStr"/>
      <c r="J755" t="inlineStr"/>
      <c r="K755" t="n">
        <v>55.3</v>
      </c>
      <c r="L755" t="n">
        <v>34.5</v>
      </c>
      <c r="M755" t="n">
        <v>2.3</v>
      </c>
      <c r="N755" t="inlineStr">
        <is>
          <t>1001–1200</t>
        </is>
      </c>
      <c r="O755" t="inlineStr">
        <is>
          <t>28.3–32.6</t>
        </is>
      </c>
      <c r="P755" t="n">
        <v>16.2</v>
      </c>
      <c r="Q755" t="n">
        <v>20.7</v>
      </c>
      <c r="R755" t="n">
        <v>50.8</v>
      </c>
      <c r="S755" t="n">
        <v>52</v>
      </c>
      <c r="T755" t="n">
        <v>47.2</v>
      </c>
      <c r="U755" t="inlineStr">
        <is>
          <t>71,529</t>
        </is>
      </c>
      <c r="V755" t="n">
        <v>60.8</v>
      </c>
      <c r="W755" t="inlineStr">
        <is>
          <t>1%</t>
        </is>
      </c>
      <c r="X755" t="inlineStr">
        <is>
          <t>38 : 62</t>
        </is>
      </c>
      <c r="Y755" t="n">
        <v>1201</v>
      </c>
      <c r="Z755" t="n">
        <v>1001</v>
      </c>
      <c r="AA755" t="n">
        <v>30.45</v>
      </c>
      <c r="AB755" t="inlineStr">
        <is>
          <t>U0754</t>
        </is>
      </c>
      <c r="AC755" t="inlineStr">
        <is>
          <t>GH</t>
        </is>
      </c>
      <c r="AD755" t="n">
        <v>30.45</v>
      </c>
      <c r="AE755" t="n">
        <v>2</v>
      </c>
      <c r="AF755" t="n">
        <v>60.8</v>
      </c>
      <c r="AG755" t="inlineStr">
        <is>
          <t>1:60.8</t>
        </is>
      </c>
      <c r="AH755" t="inlineStr">
        <is>
          <t>1%</t>
        </is>
      </c>
      <c r="AI755" t="n">
        <v>6.9</v>
      </c>
      <c r="AJ755" t="n">
        <v>16.26</v>
      </c>
    </row>
    <row r="756">
      <c r="A756" t="inlineStr">
        <is>
          <t>Kwansei Gakuin University</t>
        </is>
      </c>
      <c r="B756" t="inlineStr">
        <is>
          <t>Japan</t>
        </is>
      </c>
      <c r="C756" t="inlineStr">
        <is>
          <t>1401+</t>
        </is>
      </c>
      <c r="D756" t="inlineStr"/>
      <c r="E756" t="n">
        <v>4.1</v>
      </c>
      <c r="F756" t="n">
        <v>5.1</v>
      </c>
      <c r="G756" t="n">
        <v>5</v>
      </c>
      <c r="H756" t="n">
        <v>2.4</v>
      </c>
      <c r="I756" t="n">
        <v>21.9</v>
      </c>
      <c r="J756" t="n">
        <v>3.4</v>
      </c>
      <c r="K756" t="n">
        <v>13</v>
      </c>
      <c r="L756" t="n">
        <v>7.7</v>
      </c>
      <c r="M756" t="n">
        <v>1</v>
      </c>
      <c r="N756" t="inlineStr">
        <is>
          <t>1501+</t>
        </is>
      </c>
      <c r="O756" t="inlineStr">
        <is>
          <t>9.7–22.7</t>
        </is>
      </c>
      <c r="P756" t="n">
        <v>15.7</v>
      </c>
      <c r="Q756" t="n">
        <v>9.5</v>
      </c>
      <c r="R756" t="n">
        <v>15.4</v>
      </c>
      <c r="S756" t="n">
        <v>20.7</v>
      </c>
      <c r="T756" t="n">
        <v>40.9</v>
      </c>
      <c r="U756" t="inlineStr">
        <is>
          <t>25,232</t>
        </is>
      </c>
      <c r="V756" t="n">
        <v>24.7</v>
      </c>
      <c r="W756" t="inlineStr">
        <is>
          <t>4%</t>
        </is>
      </c>
      <c r="X756" t="inlineStr">
        <is>
          <t>49 : 51</t>
        </is>
      </c>
      <c r="Y756" t="n">
        <v>1401</v>
      </c>
      <c r="Z756" t="n">
        <v>1501</v>
      </c>
      <c r="AA756" t="n">
        <v>16.2</v>
      </c>
      <c r="AB756" t="inlineStr">
        <is>
          <t>U0755</t>
        </is>
      </c>
      <c r="AC756" t="inlineStr">
        <is>
          <t>JA</t>
        </is>
      </c>
      <c r="AD756" t="n">
        <v>16.2</v>
      </c>
      <c r="AE756" t="n">
        <v>2.4</v>
      </c>
      <c r="AF756" t="n">
        <v>24.7</v>
      </c>
      <c r="AG756" t="inlineStr">
        <is>
          <t>1:24.7</t>
        </is>
      </c>
      <c r="AH756" t="inlineStr">
        <is>
          <t>4%</t>
        </is>
      </c>
      <c r="AI756" t="n">
        <v>4.1</v>
      </c>
      <c r="AJ756" t="n">
        <v>8.99</v>
      </c>
    </row>
    <row r="757">
      <c r="A757" t="inlineStr">
        <is>
          <t>Kyoto Institute of Technology</t>
        </is>
      </c>
      <c r="B757" t="inlineStr">
        <is>
          <t>Japan</t>
        </is>
      </c>
      <c r="C757" t="inlineStr">
        <is>
          <t>1201-1400</t>
        </is>
      </c>
      <c r="D757" t="inlineStr"/>
      <c r="E757" t="n">
        <v>6.1</v>
      </c>
      <c r="F757" t="n">
        <v>3.9</v>
      </c>
      <c r="G757" t="n">
        <v>14.4</v>
      </c>
      <c r="H757" t="n">
        <v>11.7</v>
      </c>
      <c r="I757" t="n">
        <v>11.1</v>
      </c>
      <c r="J757" t="n">
        <v>9</v>
      </c>
      <c r="K757" t="n">
        <v>9.300000000000001</v>
      </c>
      <c r="L757" t="n">
        <v>1.9</v>
      </c>
      <c r="M757" t="n">
        <v>1.1</v>
      </c>
      <c r="N757" t="inlineStr">
        <is>
          <t>1201–1500</t>
        </is>
      </c>
      <c r="O757" t="inlineStr">
        <is>
          <t>22.8–28.2</t>
        </is>
      </c>
      <c r="P757" t="n">
        <v>27.2</v>
      </c>
      <c r="Q757" t="n">
        <v>17.1</v>
      </c>
      <c r="R757" t="n">
        <v>15.2</v>
      </c>
      <c r="S757" t="n">
        <v>73.3</v>
      </c>
      <c r="T757" t="n">
        <v>33.7</v>
      </c>
      <c r="U757" t="inlineStr">
        <is>
          <t>3,943</t>
        </is>
      </c>
      <c r="V757" t="n">
        <v>13.8</v>
      </c>
      <c r="W757" t="inlineStr">
        <is>
          <t>6%</t>
        </is>
      </c>
      <c r="X757" t="inlineStr">
        <is>
          <t>29 : 71</t>
        </is>
      </c>
      <c r="Y757" t="n">
        <v>1201</v>
      </c>
      <c r="Z757" t="n">
        <v>1201</v>
      </c>
      <c r="AA757" t="n">
        <v>25.5</v>
      </c>
      <c r="AB757" t="inlineStr">
        <is>
          <t>U0756</t>
        </is>
      </c>
      <c r="AC757" t="inlineStr">
        <is>
          <t>JA</t>
        </is>
      </c>
      <c r="AD757" t="n">
        <v>25.5</v>
      </c>
      <c r="AE757" t="n">
        <v>11.7</v>
      </c>
      <c r="AF757" t="n">
        <v>13.8</v>
      </c>
      <c r="AG757" t="inlineStr">
        <is>
          <t>1:13.8</t>
        </is>
      </c>
      <c r="AH757" t="inlineStr">
        <is>
          <t>6%</t>
        </is>
      </c>
      <c r="AI757" t="n">
        <v>6.1</v>
      </c>
      <c r="AJ757" t="n">
        <v>14.05</v>
      </c>
    </row>
    <row r="758">
      <c r="A758" t="inlineStr">
        <is>
          <t>Kyoto Prefectural University of Medicine</t>
        </is>
      </c>
      <c r="B758" t="inlineStr">
        <is>
          <t>Japan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801–1000</t>
        </is>
      </c>
      <c r="O758" t="inlineStr">
        <is>
          <t>32.7–36.9</t>
        </is>
      </c>
      <c r="P758" t="n">
        <v>33.6</v>
      </c>
      <c r="Q758" t="n">
        <v>16</v>
      </c>
      <c r="R758" t="n">
        <v>47.8</v>
      </c>
      <c r="S758" t="n">
        <v>68.2</v>
      </c>
      <c r="T758" t="n">
        <v>20.1</v>
      </c>
      <c r="U758" t="inlineStr">
        <is>
          <t>1,376</t>
        </is>
      </c>
      <c r="V758" t="n">
        <v>3.2</v>
      </c>
      <c r="W758" t="inlineStr">
        <is>
          <t>1%</t>
        </is>
      </c>
      <c r="X758" t="inlineStr">
        <is>
          <t>47 : 53</t>
        </is>
      </c>
      <c r="Y758" t="inlineStr"/>
      <c r="Z758" t="n">
        <v>801</v>
      </c>
      <c r="AA758" t="n">
        <v>34.8</v>
      </c>
      <c r="AB758" t="inlineStr">
        <is>
          <t>U0757</t>
        </is>
      </c>
      <c r="AC758" t="inlineStr">
        <is>
          <t>JA</t>
        </is>
      </c>
      <c r="AD758" t="n">
        <v>34.8</v>
      </c>
      <c r="AE758" t="n">
        <v>47.8</v>
      </c>
      <c r="AF758" t="n">
        <v>3.2</v>
      </c>
      <c r="AG758" t="inlineStr">
        <is>
          <t>1:3.2</t>
        </is>
      </c>
      <c r="AH758" t="inlineStr">
        <is>
          <t>1%</t>
        </is>
      </c>
      <c r="AI758" t="inlineStr"/>
      <c r="AJ758" t="n">
        <v>21.12</v>
      </c>
    </row>
    <row r="759">
      <c r="A759" t="inlineStr">
        <is>
          <t>Kyoto Sangyo University</t>
        </is>
      </c>
      <c r="B759" t="inlineStr">
        <is>
          <t>Japan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>
        <is>
          <t>1501+</t>
        </is>
      </c>
      <c r="O759" t="inlineStr">
        <is>
          <t>9.7–22.7</t>
        </is>
      </c>
      <c r="P759" t="n">
        <v>14.3</v>
      </c>
      <c r="Q759" t="n">
        <v>9.1</v>
      </c>
      <c r="R759" t="n">
        <v>14.9</v>
      </c>
      <c r="S759" t="n">
        <v>22.4</v>
      </c>
      <c r="T759" t="n">
        <v>44.8</v>
      </c>
      <c r="U759" t="inlineStr">
        <is>
          <t>12,551</t>
        </is>
      </c>
      <c r="V759" t="n">
        <v>21.9</v>
      </c>
      <c r="W759" t="inlineStr">
        <is>
          <t>2%</t>
        </is>
      </c>
      <c r="X759" t="inlineStr">
        <is>
          <t>34 : 66</t>
        </is>
      </c>
      <c r="Y759" t="inlineStr"/>
      <c r="Z759" t="n">
        <v>1501</v>
      </c>
      <c r="AA759" t="n">
        <v>16.2</v>
      </c>
      <c r="AB759" t="inlineStr">
        <is>
          <t>U0758</t>
        </is>
      </c>
      <c r="AC759" t="inlineStr">
        <is>
          <t>JA</t>
        </is>
      </c>
      <c r="AD759" t="n">
        <v>16.2</v>
      </c>
      <c r="AE759" t="n">
        <v>14.9</v>
      </c>
      <c r="AF759" t="n">
        <v>21.9</v>
      </c>
      <c r="AG759" t="inlineStr">
        <is>
          <t>1:21.9</t>
        </is>
      </c>
      <c r="AH759" t="inlineStr">
        <is>
          <t>2%</t>
        </is>
      </c>
      <c r="AI759" t="inlineStr"/>
      <c r="AJ759" t="n">
        <v>13.51</v>
      </c>
    </row>
    <row r="760">
      <c r="A760" t="inlineStr">
        <is>
          <t>Kyoto University</t>
        </is>
      </c>
      <c r="B760" t="inlineStr">
        <is>
          <t>Japan</t>
        </is>
      </c>
      <c r="C760" t="inlineStr">
        <is>
          <t>50</t>
        </is>
      </c>
      <c r="D760" t="n">
        <v>76</v>
      </c>
      <c r="E760" t="n">
        <v>98.8</v>
      </c>
      <c r="F760" t="n">
        <v>99</v>
      </c>
      <c r="G760" t="n">
        <v>94.2</v>
      </c>
      <c r="H760" t="n">
        <v>39.3</v>
      </c>
      <c r="I760" t="n">
        <v>15.9</v>
      </c>
      <c r="J760" t="n">
        <v>19</v>
      </c>
      <c r="K760" t="n">
        <v>85.7</v>
      </c>
      <c r="L760" t="n">
        <v>72.8</v>
      </c>
      <c r="M760" t="n">
        <v>85.2</v>
      </c>
      <c r="N760">
        <f>55</f>
        <v/>
      </c>
      <c r="O760" t="inlineStr">
        <is>
          <t>75.0</t>
        </is>
      </c>
      <c r="P760" t="n">
        <v>85.40000000000001</v>
      </c>
      <c r="Q760" t="n">
        <v>84.3</v>
      </c>
      <c r="R760" t="n">
        <v>60</v>
      </c>
      <c r="S760" t="n">
        <v>100</v>
      </c>
      <c r="T760" t="n">
        <v>45.7</v>
      </c>
      <c r="U760" t="inlineStr">
        <is>
          <t>21,817</t>
        </is>
      </c>
      <c r="V760" t="n">
        <v>9</v>
      </c>
      <c r="W760" t="inlineStr">
        <is>
          <t>11%</t>
        </is>
      </c>
      <c r="X760" t="inlineStr">
        <is>
          <t>25 : 75</t>
        </is>
      </c>
      <c r="Y760" t="n">
        <v>50</v>
      </c>
      <c r="Z760" t="n">
        <v>55</v>
      </c>
      <c r="AA760" t="n">
        <v>75</v>
      </c>
      <c r="AB760" t="inlineStr">
        <is>
          <t>U0759</t>
        </is>
      </c>
      <c r="AC760" t="inlineStr">
        <is>
          <t>JA</t>
        </is>
      </c>
      <c r="AD760" t="n">
        <v>76</v>
      </c>
      <c r="AE760" t="n">
        <v>39.3</v>
      </c>
      <c r="AF760" t="n">
        <v>9</v>
      </c>
      <c r="AG760" t="inlineStr">
        <is>
          <t>1:9.0</t>
        </is>
      </c>
      <c r="AH760" t="inlineStr">
        <is>
          <t>11%</t>
        </is>
      </c>
      <c r="AI760" t="n">
        <v>98.8</v>
      </c>
      <c r="AJ760" t="n">
        <v>60.54</v>
      </c>
    </row>
    <row r="761">
      <c r="A761" t="inlineStr">
        <is>
          <t>Kyrgyz Russian Slavic University</t>
        </is>
      </c>
      <c r="B761" t="inlineStr">
        <is>
          <t>Kyrgyzstan</t>
        </is>
      </c>
      <c r="C761" t="inlineStr">
        <is>
          <t>851-900</t>
        </is>
      </c>
      <c r="D761" t="inlineStr"/>
      <c r="E761" t="n">
        <v>9.300000000000001</v>
      </c>
      <c r="F761" t="n">
        <v>7</v>
      </c>
      <c r="G761" t="n">
        <v>99.8</v>
      </c>
      <c r="H761" t="n">
        <v>1</v>
      </c>
      <c r="I761" t="inlineStr"/>
      <c r="J761" t="inlineStr"/>
      <c r="K761" t="n">
        <v>3.1</v>
      </c>
      <c r="L761" t="n">
        <v>24.1</v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n">
        <v>851</v>
      </c>
      <c r="Z761" t="inlineStr"/>
      <c r="AA761" t="inlineStr"/>
      <c r="AB761" t="inlineStr">
        <is>
          <t>U0760</t>
        </is>
      </c>
      <c r="AC761" t="inlineStr">
        <is>
          <t>KY</t>
        </is>
      </c>
      <c r="AD761" t="inlineStr"/>
      <c r="AE761" t="n">
        <v>1</v>
      </c>
      <c r="AF761" t="inlineStr"/>
      <c r="AG761" t="inlineStr"/>
      <c r="AH761" t="inlineStr"/>
      <c r="AI761" t="n">
        <v>9.300000000000001</v>
      </c>
      <c r="AJ761" t="n">
        <v>13.69</v>
      </c>
    </row>
    <row r="762">
      <c r="A762" t="inlineStr">
        <is>
          <t>Kyrgyz State Technical University</t>
        </is>
      </c>
      <c r="B762" t="inlineStr">
        <is>
          <t>Kyrgyzstan</t>
        </is>
      </c>
      <c r="C762" t="inlineStr">
        <is>
          <t>1201-1400</t>
        </is>
      </c>
      <c r="D762" t="inlineStr"/>
      <c r="E762" t="n">
        <v>14.6</v>
      </c>
      <c r="F762" t="n">
        <v>7</v>
      </c>
      <c r="G762" t="n">
        <v>12</v>
      </c>
      <c r="H762" t="n">
        <v>1</v>
      </c>
      <c r="I762" t="n">
        <v>2.6</v>
      </c>
      <c r="J762" t="n">
        <v>5.8</v>
      </c>
      <c r="K762" t="n">
        <v>1.2</v>
      </c>
      <c r="L762" t="n">
        <v>22.6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n">
        <v>1201</v>
      </c>
      <c r="Z762" t="inlineStr"/>
      <c r="AA762" t="inlineStr"/>
      <c r="AB762" t="inlineStr">
        <is>
          <t>U0761</t>
        </is>
      </c>
      <c r="AC762" t="inlineStr">
        <is>
          <t>KY</t>
        </is>
      </c>
      <c r="AD762" t="inlineStr"/>
      <c r="AE762" t="n">
        <v>1</v>
      </c>
      <c r="AF762" t="inlineStr"/>
      <c r="AG762" t="inlineStr"/>
      <c r="AH762" t="inlineStr"/>
      <c r="AI762" t="n">
        <v>14.6</v>
      </c>
      <c r="AJ762" t="n">
        <v>13.69</v>
      </c>
    </row>
    <row r="763">
      <c r="A763" t="inlineStr">
        <is>
          <t>Kyrgyz-Turkish Manas University</t>
        </is>
      </c>
      <c r="B763" t="inlineStr">
        <is>
          <t>Kyrgyzstan</t>
        </is>
      </c>
      <c r="C763" t="inlineStr">
        <is>
          <t>901-950</t>
        </is>
      </c>
      <c r="D763" t="inlineStr"/>
      <c r="E763" t="n">
        <v>15.1</v>
      </c>
      <c r="F763" t="n">
        <v>10.9</v>
      </c>
      <c r="G763" t="n">
        <v>10.7</v>
      </c>
      <c r="H763" t="n">
        <v>1.7</v>
      </c>
      <c r="I763" t="n">
        <v>90.5</v>
      </c>
      <c r="J763" t="n">
        <v>19.7</v>
      </c>
      <c r="K763" t="n">
        <v>7.1</v>
      </c>
      <c r="L763" t="n">
        <v>5.7</v>
      </c>
      <c r="M763" t="n">
        <v>1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n">
        <v>901</v>
      </c>
      <c r="Z763" t="inlineStr"/>
      <c r="AA763" t="inlineStr"/>
      <c r="AB763" t="inlineStr">
        <is>
          <t>U0762</t>
        </is>
      </c>
      <c r="AC763" t="inlineStr">
        <is>
          <t>KY</t>
        </is>
      </c>
      <c r="AD763" t="inlineStr"/>
      <c r="AE763" t="n">
        <v>1.7</v>
      </c>
      <c r="AF763" t="inlineStr"/>
      <c r="AG763" t="inlineStr"/>
      <c r="AH763" t="inlineStr"/>
      <c r="AI763" t="n">
        <v>15.1</v>
      </c>
      <c r="AJ763" t="n">
        <v>13.9</v>
      </c>
    </row>
    <row r="764">
      <c r="A764" t="inlineStr">
        <is>
          <t>Kyung Hee University</t>
        </is>
      </c>
      <c r="B764" t="inlineStr">
        <is>
          <t>South Korea</t>
        </is>
      </c>
      <c r="C764" t="inlineStr">
        <is>
          <t>328</t>
        </is>
      </c>
      <c r="D764" t="n">
        <v>33.8</v>
      </c>
      <c r="E764" t="n">
        <v>23.2</v>
      </c>
      <c r="F764" t="n">
        <v>37.1</v>
      </c>
      <c r="G764" t="n">
        <v>82.09999999999999</v>
      </c>
      <c r="H764" t="n">
        <v>15.1</v>
      </c>
      <c r="I764" t="n">
        <v>14.3</v>
      </c>
      <c r="J764" t="n">
        <v>53.4</v>
      </c>
      <c r="K764" t="n">
        <v>54.5</v>
      </c>
      <c r="L764" t="n">
        <v>13.8</v>
      </c>
      <c r="M764" t="n">
        <v>80.5</v>
      </c>
      <c r="N764" t="inlineStr">
        <is>
          <t>251–300</t>
        </is>
      </c>
      <c r="O764" t="inlineStr">
        <is>
          <t>53.1–55.8</t>
        </is>
      </c>
      <c r="P764" t="n">
        <v>40.3</v>
      </c>
      <c r="Q764" t="n">
        <v>40</v>
      </c>
      <c r="R764" t="n">
        <v>71</v>
      </c>
      <c r="S764" t="n">
        <v>95.90000000000001</v>
      </c>
      <c r="T764" t="n">
        <v>71.5</v>
      </c>
      <c r="U764" t="inlineStr">
        <is>
          <t>20,427</t>
        </is>
      </c>
      <c r="V764" t="n">
        <v>17.6</v>
      </c>
      <c r="W764" t="inlineStr">
        <is>
          <t>30%</t>
        </is>
      </c>
      <c r="X764" t="inlineStr">
        <is>
          <t>56 : 44</t>
        </is>
      </c>
      <c r="Y764" t="n">
        <v>328</v>
      </c>
      <c r="Z764" t="n">
        <v>251</v>
      </c>
      <c r="AA764" t="n">
        <v>54.45</v>
      </c>
      <c r="AB764" t="inlineStr">
        <is>
          <t>U0763</t>
        </is>
      </c>
      <c r="AC764" t="inlineStr">
        <is>
          <t>SO</t>
        </is>
      </c>
      <c r="AD764" t="n">
        <v>33.8</v>
      </c>
      <c r="AE764" t="n">
        <v>15.1</v>
      </c>
      <c r="AF764" t="n">
        <v>17.6</v>
      </c>
      <c r="AG764" t="inlineStr">
        <is>
          <t>1:17.6</t>
        </is>
      </c>
      <c r="AH764" t="inlineStr">
        <is>
          <t>30%</t>
        </is>
      </c>
      <c r="AI764" t="n">
        <v>23.2</v>
      </c>
      <c r="AJ764" t="n">
        <v>36.22</v>
      </c>
    </row>
    <row r="765">
      <c r="A765" t="inlineStr">
        <is>
          <t>Kyungpook National University</t>
        </is>
      </c>
      <c r="B765" t="inlineStr">
        <is>
          <t>South Korea</t>
        </is>
      </c>
      <c r="C765" t="inlineStr">
        <is>
          <t>516</t>
        </is>
      </c>
      <c r="D765" t="n">
        <v>23.6</v>
      </c>
      <c r="E765" t="n">
        <v>11.1</v>
      </c>
      <c r="F765" t="n">
        <v>16.7</v>
      </c>
      <c r="G765" t="n">
        <v>66.90000000000001</v>
      </c>
      <c r="H765" t="n">
        <v>20.5</v>
      </c>
      <c r="I765" t="n">
        <v>11.1</v>
      </c>
      <c r="J765" t="n">
        <v>25.7</v>
      </c>
      <c r="K765" t="n">
        <v>52</v>
      </c>
      <c r="L765" t="n">
        <v>10.6</v>
      </c>
      <c r="M765" t="n">
        <v>60.6</v>
      </c>
      <c r="N765" t="inlineStr">
        <is>
          <t>501–600</t>
        </is>
      </c>
      <c r="O765" t="inlineStr">
        <is>
          <t>41.9–45.3</t>
        </is>
      </c>
      <c r="P765" t="n">
        <v>33.2</v>
      </c>
      <c r="Q765" t="n">
        <v>38.1</v>
      </c>
      <c r="R765" t="n">
        <v>51.5</v>
      </c>
      <c r="S765" t="n">
        <v>96.2</v>
      </c>
      <c r="T765" t="n">
        <v>50.2</v>
      </c>
      <c r="U765" t="inlineStr">
        <is>
          <t>18,432</t>
        </is>
      </c>
      <c r="V765" t="n">
        <v>20.1</v>
      </c>
      <c r="W765" t="inlineStr">
        <is>
          <t>14%</t>
        </is>
      </c>
      <c r="X765" t="inlineStr">
        <is>
          <t>45 : 55</t>
        </is>
      </c>
      <c r="Y765" t="n">
        <v>516</v>
      </c>
      <c r="Z765" t="n">
        <v>501</v>
      </c>
      <c r="AA765" t="n">
        <v>43.59999999999999</v>
      </c>
      <c r="AB765" t="inlineStr">
        <is>
          <t>U0764</t>
        </is>
      </c>
      <c r="AC765" t="inlineStr">
        <is>
          <t>SO</t>
        </is>
      </c>
      <c r="AD765" t="n">
        <v>23.6</v>
      </c>
      <c r="AE765" t="n">
        <v>20.5</v>
      </c>
      <c r="AF765" t="n">
        <v>20.1</v>
      </c>
      <c r="AG765" t="inlineStr">
        <is>
          <t>1:20.1</t>
        </is>
      </c>
      <c r="AH765" t="inlineStr">
        <is>
          <t>14%</t>
        </is>
      </c>
      <c r="AI765" t="n">
        <v>11.1</v>
      </c>
      <c r="AJ765" t="n">
        <v>31.71</v>
      </c>
    </row>
    <row r="766">
      <c r="A766" t="inlineStr">
        <is>
          <t xml:space="preserve">Kyushu Institute of Technology </t>
        </is>
      </c>
      <c r="B766" t="inlineStr">
        <is>
          <t>Japan</t>
        </is>
      </c>
      <c r="C766" t="inlineStr">
        <is>
          <t>1001-1200</t>
        </is>
      </c>
      <c r="D766" t="inlineStr"/>
      <c r="E766" t="n">
        <v>4.6</v>
      </c>
      <c r="F766" t="n">
        <v>5.4</v>
      </c>
      <c r="G766" t="n">
        <v>9.6</v>
      </c>
      <c r="H766" t="n">
        <v>25.6</v>
      </c>
      <c r="I766" t="n">
        <v>7.1</v>
      </c>
      <c r="J766" t="n">
        <v>3.5</v>
      </c>
      <c r="K766" t="n">
        <v>20.6</v>
      </c>
      <c r="L766" t="n">
        <v>1.9</v>
      </c>
      <c r="M766" t="n">
        <v>1.1</v>
      </c>
      <c r="N766" t="inlineStr">
        <is>
          <t>1201–1500</t>
        </is>
      </c>
      <c r="O766" t="inlineStr">
        <is>
          <t>22.8–28.2</t>
        </is>
      </c>
      <c r="P766" t="n">
        <v>26.3</v>
      </c>
      <c r="Q766" t="n">
        <v>15.6</v>
      </c>
      <c r="R766" t="n">
        <v>31.4</v>
      </c>
      <c r="S766" t="n">
        <v>60.3</v>
      </c>
      <c r="T766" t="n">
        <v>40.8</v>
      </c>
      <c r="U766" t="inlineStr">
        <is>
          <t>5,628</t>
        </is>
      </c>
      <c r="V766" t="n">
        <v>16</v>
      </c>
      <c r="W766" t="inlineStr">
        <is>
          <t>5%</t>
        </is>
      </c>
      <c r="X766" t="inlineStr">
        <is>
          <t>14 : 86</t>
        </is>
      </c>
      <c r="Y766" t="n">
        <v>1001</v>
      </c>
      <c r="Z766" t="n">
        <v>1201</v>
      </c>
      <c r="AA766" t="n">
        <v>25.5</v>
      </c>
      <c r="AB766" t="inlineStr">
        <is>
          <t>U0765</t>
        </is>
      </c>
      <c r="AC766" t="inlineStr">
        <is>
          <t>JA</t>
        </is>
      </c>
      <c r="AD766" t="n">
        <v>25.5</v>
      </c>
      <c r="AE766" t="n">
        <v>25.6</v>
      </c>
      <c r="AF766" t="n">
        <v>16</v>
      </c>
      <c r="AG766" t="inlineStr">
        <is>
          <t>1:16.0</t>
        </is>
      </c>
      <c r="AH766" t="inlineStr">
        <is>
          <t>5%</t>
        </is>
      </c>
      <c r="AI766" t="n">
        <v>4.6</v>
      </c>
      <c r="AJ766" t="n">
        <v>19.19</v>
      </c>
    </row>
    <row r="767">
      <c r="A767" t="inlineStr">
        <is>
          <t>Kyushu University</t>
        </is>
      </c>
      <c r="B767" t="inlineStr">
        <is>
          <t>Japan</t>
        </is>
      </c>
      <c r="C767" t="inlineStr">
        <is>
          <t>167</t>
        </is>
      </c>
      <c r="D767" t="n">
        <v>50.3</v>
      </c>
      <c r="E767" t="n">
        <v>58.3</v>
      </c>
      <c r="F767" t="n">
        <v>66.5</v>
      </c>
      <c r="G767" t="n">
        <v>78.40000000000001</v>
      </c>
      <c r="H767" t="n">
        <v>27.9</v>
      </c>
      <c r="I767" t="n">
        <v>18.7</v>
      </c>
      <c r="J767" t="n">
        <v>14.1</v>
      </c>
      <c r="K767" t="n">
        <v>69.90000000000001</v>
      </c>
      <c r="L767" t="n">
        <v>15.1</v>
      </c>
      <c r="M767" t="n">
        <v>77.59999999999999</v>
      </c>
      <c r="N767" t="inlineStr">
        <is>
          <t>301–350</t>
        </is>
      </c>
      <c r="O767" t="inlineStr">
        <is>
          <t>51.1–53.0</t>
        </is>
      </c>
      <c r="P767" t="n">
        <v>55</v>
      </c>
      <c r="Q767" t="n">
        <v>47.5</v>
      </c>
      <c r="R767" t="n">
        <v>51.2</v>
      </c>
      <c r="S767" t="n">
        <v>98.40000000000001</v>
      </c>
      <c r="T767" t="n">
        <v>48.8</v>
      </c>
      <c r="U767" t="inlineStr">
        <is>
          <t>18,220</t>
        </is>
      </c>
      <c r="V767" t="n">
        <v>7.7</v>
      </c>
      <c r="W767" t="inlineStr">
        <is>
          <t>13%</t>
        </is>
      </c>
      <c r="X767" t="inlineStr">
        <is>
          <t>28 : 72</t>
        </is>
      </c>
      <c r="Y767" t="n">
        <v>167</v>
      </c>
      <c r="Z767" t="n">
        <v>301</v>
      </c>
      <c r="AA767" t="n">
        <v>52.05</v>
      </c>
      <c r="AB767" t="inlineStr">
        <is>
          <t>U0766</t>
        </is>
      </c>
      <c r="AC767" t="inlineStr">
        <is>
          <t>JA</t>
        </is>
      </c>
      <c r="AD767" t="n">
        <v>50.3</v>
      </c>
      <c r="AE767" t="n">
        <v>27.9</v>
      </c>
      <c r="AF767" t="n">
        <v>7.7</v>
      </c>
      <c r="AG767" t="inlineStr">
        <is>
          <t>1:7.7</t>
        </is>
      </c>
      <c r="AH767" t="inlineStr">
        <is>
          <t>13%</t>
        </is>
      </c>
      <c r="AI767" t="n">
        <v>58.3</v>
      </c>
      <c r="AJ767" t="n">
        <v>38.54</v>
      </c>
    </row>
    <row r="768">
      <c r="A768" t="inlineStr">
        <is>
          <t>L.N. Gumilyov Eurasian National University (ENU)</t>
        </is>
      </c>
      <c r="B768" t="inlineStr">
        <is>
          <t>Kazakhstan</t>
        </is>
      </c>
      <c r="C768" t="inlineStr">
        <is>
          <t>321</t>
        </is>
      </c>
      <c r="D768" t="n">
        <v>34.2</v>
      </c>
      <c r="E768" t="n">
        <v>34.4</v>
      </c>
      <c r="F768" t="n">
        <v>62</v>
      </c>
      <c r="G768" t="n">
        <v>92.59999999999999</v>
      </c>
      <c r="H768" t="n">
        <v>1.4</v>
      </c>
      <c r="I768" t="n">
        <v>68.7</v>
      </c>
      <c r="J768" t="n">
        <v>8.199999999999999</v>
      </c>
      <c r="K768" t="n">
        <v>22.8</v>
      </c>
      <c r="L768" t="n">
        <v>5.5</v>
      </c>
      <c r="M768" t="n">
        <v>10.5</v>
      </c>
      <c r="N768" t="inlineStr">
        <is>
          <t>1501+</t>
        </is>
      </c>
      <c r="O768" t="inlineStr">
        <is>
          <t>9.7–22.7</t>
        </is>
      </c>
      <c r="P768" t="n">
        <v>21.9</v>
      </c>
      <c r="Q768" t="n">
        <v>11.6</v>
      </c>
      <c r="R768" t="n">
        <v>21.1</v>
      </c>
      <c r="S768" t="n">
        <v>15.7</v>
      </c>
      <c r="T768" t="n">
        <v>54.2</v>
      </c>
      <c r="U768" t="inlineStr">
        <is>
          <t>19,632</t>
        </is>
      </c>
      <c r="V768" t="n">
        <v>13.5</v>
      </c>
      <c r="W768" t="inlineStr">
        <is>
          <t>4%</t>
        </is>
      </c>
      <c r="X768" t="inlineStr">
        <is>
          <t>60 : 40</t>
        </is>
      </c>
      <c r="Y768" t="n">
        <v>321</v>
      </c>
      <c r="Z768" t="n">
        <v>1501</v>
      </c>
      <c r="AA768" t="n">
        <v>16.2</v>
      </c>
      <c r="AB768" t="inlineStr">
        <is>
          <t>U0767</t>
        </is>
      </c>
      <c r="AC768" t="inlineStr">
        <is>
          <t>KA</t>
        </is>
      </c>
      <c r="AD768" t="n">
        <v>34.2</v>
      </c>
      <c r="AE768" t="n">
        <v>1.4</v>
      </c>
      <c r="AF768" t="n">
        <v>13.5</v>
      </c>
      <c r="AG768" t="inlineStr">
        <is>
          <t>1:13.5</t>
        </is>
      </c>
      <c r="AH768" t="inlineStr">
        <is>
          <t>4%</t>
        </is>
      </c>
      <c r="AI768" t="n">
        <v>34.4</v>
      </c>
      <c r="AJ768" t="n">
        <v>13</v>
      </c>
    </row>
    <row r="769">
      <c r="A769" t="inlineStr">
        <is>
          <t>La Trobe University</t>
        </is>
      </c>
      <c r="B769" t="inlineStr">
        <is>
          <t>Australia</t>
        </is>
      </c>
      <c r="C769" t="inlineStr">
        <is>
          <t>217</t>
        </is>
      </c>
      <c r="D769" t="n">
        <v>44.1</v>
      </c>
      <c r="E769" t="n">
        <v>23.6</v>
      </c>
      <c r="F769" t="n">
        <v>19.8</v>
      </c>
      <c r="G769" t="n">
        <v>8</v>
      </c>
      <c r="H769" t="n">
        <v>77.7</v>
      </c>
      <c r="I769" t="n">
        <v>92.59999999999999</v>
      </c>
      <c r="J769" t="n">
        <v>95</v>
      </c>
      <c r="K769" t="n">
        <v>78.59999999999999</v>
      </c>
      <c r="L769" t="n">
        <v>19.6</v>
      </c>
      <c r="M769" t="n">
        <v>78.40000000000001</v>
      </c>
      <c r="N769" t="inlineStr">
        <is>
          <t>251–300</t>
        </is>
      </c>
      <c r="O769" t="inlineStr">
        <is>
          <t>53.1–55.8</t>
        </is>
      </c>
      <c r="P769" t="n">
        <v>28.9</v>
      </c>
      <c r="Q769" t="n">
        <v>35.4</v>
      </c>
      <c r="R769" t="n">
        <v>88.09999999999999</v>
      </c>
      <c r="S769" t="n">
        <v>73.8</v>
      </c>
      <c r="T769" t="n">
        <v>88.2</v>
      </c>
      <c r="U769" t="inlineStr">
        <is>
          <t>19,172</t>
        </is>
      </c>
      <c r="V769" t="n">
        <v>28.2</v>
      </c>
      <c r="W769" t="inlineStr">
        <is>
          <t>29%</t>
        </is>
      </c>
      <c r="X769" t="inlineStr">
        <is>
          <t>63 : 37</t>
        </is>
      </c>
      <c r="Y769" t="n">
        <v>217</v>
      </c>
      <c r="Z769" t="n">
        <v>251</v>
      </c>
      <c r="AA769" t="n">
        <v>54.45</v>
      </c>
      <c r="AB769" t="inlineStr">
        <is>
          <t>U0768</t>
        </is>
      </c>
      <c r="AC769" t="inlineStr">
        <is>
          <t>AU</t>
        </is>
      </c>
      <c r="AD769" t="n">
        <v>44.1</v>
      </c>
      <c r="AE769" t="n">
        <v>77.7</v>
      </c>
      <c r="AF769" t="n">
        <v>28.2</v>
      </c>
      <c r="AG769" t="inlineStr">
        <is>
          <t>1:28.2</t>
        </is>
      </c>
      <c r="AH769" t="inlineStr">
        <is>
          <t>29%</t>
        </is>
      </c>
      <c r="AI769" t="n">
        <v>23.6</v>
      </c>
      <c r="AJ769" t="n">
        <v>56.82</v>
      </c>
    </row>
    <row r="770">
      <c r="A770" t="inlineStr">
        <is>
          <t>Ladoke Akintola University of Technology</t>
        </is>
      </c>
      <c r="B770" t="inlineStr">
        <is>
          <t>Nigeria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>
        <is>
          <t>1501+</t>
        </is>
      </c>
      <c r="O770" t="inlineStr">
        <is>
          <t>9.7–22.7</t>
        </is>
      </c>
      <c r="P770" t="n">
        <v>16.2</v>
      </c>
      <c r="Q770" t="n">
        <v>11.1</v>
      </c>
      <c r="R770" t="n">
        <v>28</v>
      </c>
      <c r="S770" t="n">
        <v>32</v>
      </c>
      <c r="T770" t="n">
        <v>32.5</v>
      </c>
      <c r="U770" t="inlineStr">
        <is>
          <t>28,289</t>
        </is>
      </c>
      <c r="V770" t="n">
        <v>53.1</v>
      </c>
      <c r="W770" t="inlineStr">
        <is>
          <t>0%</t>
        </is>
      </c>
      <c r="X770" t="inlineStr">
        <is>
          <t>49 : 51</t>
        </is>
      </c>
      <c r="Y770" t="inlineStr"/>
      <c r="Z770" t="n">
        <v>1501</v>
      </c>
      <c r="AA770" t="n">
        <v>16.2</v>
      </c>
      <c r="AB770" t="inlineStr">
        <is>
          <t>U0769</t>
        </is>
      </c>
      <c r="AC770" t="inlineStr">
        <is>
          <t>NI</t>
        </is>
      </c>
      <c r="AD770" t="n">
        <v>16.2</v>
      </c>
      <c r="AE770" t="n">
        <v>28</v>
      </c>
      <c r="AF770" t="n">
        <v>53.1</v>
      </c>
      <c r="AG770" t="inlineStr">
        <is>
          <t>1:53.1</t>
        </is>
      </c>
      <c r="AH770" t="inlineStr">
        <is>
          <t>0%</t>
        </is>
      </c>
      <c r="AI770" t="inlineStr"/>
      <c r="AJ770" t="n">
        <v>15.55</v>
      </c>
    </row>
    <row r="771">
      <c r="A771" t="inlineStr">
        <is>
          <t>Lagos State University</t>
        </is>
      </c>
      <c r="B771" t="inlineStr">
        <is>
          <t>Nigeria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>
        <is>
          <t>1501+</t>
        </is>
      </c>
      <c r="O771" t="inlineStr">
        <is>
          <t>9.7–22.7</t>
        </is>
      </c>
      <c r="P771" t="n">
        <v>12.9</v>
      </c>
      <c r="Q771" t="n">
        <v>9.300000000000001</v>
      </c>
      <c r="R771" t="n">
        <v>25.3</v>
      </c>
      <c r="S771" t="n">
        <v>16</v>
      </c>
      <c r="T771" t="n">
        <v>41.9</v>
      </c>
      <c r="U771" t="inlineStr">
        <is>
          <t>28,722</t>
        </is>
      </c>
      <c r="V771" t="n">
        <v>35.6</v>
      </c>
      <c r="W771" t="inlineStr">
        <is>
          <t>0%</t>
        </is>
      </c>
      <c r="X771" t="inlineStr">
        <is>
          <t>45 : 55</t>
        </is>
      </c>
      <c r="Y771" t="inlineStr"/>
      <c r="Z771" t="n">
        <v>1501</v>
      </c>
      <c r="AA771" t="n">
        <v>16.2</v>
      </c>
      <c r="AB771" t="inlineStr">
        <is>
          <t>U0770</t>
        </is>
      </c>
      <c r="AC771" t="inlineStr">
        <is>
          <t>NI</t>
        </is>
      </c>
      <c r="AD771" t="n">
        <v>16.2</v>
      </c>
      <c r="AE771" t="n">
        <v>25.3</v>
      </c>
      <c r="AF771" t="n">
        <v>35.6</v>
      </c>
      <c r="AG771" t="inlineStr">
        <is>
          <t>1:35.6</t>
        </is>
      </c>
      <c r="AH771" t="inlineStr">
        <is>
          <t>0%</t>
        </is>
      </c>
      <c r="AI771" t="inlineStr"/>
      <c r="AJ771" t="n">
        <v>16.07</v>
      </c>
    </row>
    <row r="772">
      <c r="A772" t="inlineStr">
        <is>
          <t>Lahore College for Women University (LCWU)</t>
        </is>
      </c>
      <c r="B772" t="inlineStr">
        <is>
          <t>Pakistan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>
        <is>
          <t>1501+</t>
        </is>
      </c>
      <c r="O772" t="inlineStr">
        <is>
          <t>9.7–22.7</t>
        </is>
      </c>
      <c r="P772" t="n">
        <v>16.5</v>
      </c>
      <c r="Q772" t="n">
        <v>9.6</v>
      </c>
      <c r="R772" t="n">
        <v>37.6</v>
      </c>
      <c r="S772" t="n">
        <v>16.1</v>
      </c>
      <c r="T772" t="n">
        <v>40.6</v>
      </c>
      <c r="U772" t="inlineStr">
        <is>
          <t>11,857</t>
        </is>
      </c>
      <c r="V772" t="n">
        <v>21.3</v>
      </c>
      <c r="W772" t="inlineStr">
        <is>
          <t>0%</t>
        </is>
      </c>
      <c r="X772" t="inlineStr">
        <is>
          <t>100 : 0</t>
        </is>
      </c>
      <c r="Y772" t="inlineStr"/>
      <c r="Z772" t="n">
        <v>1501</v>
      </c>
      <c r="AA772" t="n">
        <v>16.2</v>
      </c>
      <c r="AB772" t="inlineStr">
        <is>
          <t>U0771</t>
        </is>
      </c>
      <c r="AC772" t="inlineStr">
        <is>
          <t>PA</t>
        </is>
      </c>
      <c r="AD772" t="n">
        <v>16.2</v>
      </c>
      <c r="AE772" t="n">
        <v>37.6</v>
      </c>
      <c r="AF772" t="n">
        <v>21.3</v>
      </c>
      <c r="AG772" t="inlineStr">
        <is>
          <t>1:21.3</t>
        </is>
      </c>
      <c r="AH772" t="inlineStr">
        <is>
          <t>0%</t>
        </is>
      </c>
      <c r="AI772" t="inlineStr"/>
      <c r="AJ772" t="n">
        <v>19.64</v>
      </c>
    </row>
    <row r="773">
      <c r="A773" t="inlineStr">
        <is>
          <t>Lahore University of Management Sciences (LUMS)</t>
        </is>
      </c>
      <c r="B773" t="inlineStr">
        <is>
          <t>Pakistan</t>
        </is>
      </c>
      <c r="C773" t="inlineStr">
        <is>
          <t>535</t>
        </is>
      </c>
      <c r="D773" t="n">
        <v>22.9</v>
      </c>
      <c r="E773" t="n">
        <v>17.2</v>
      </c>
      <c r="F773" t="n">
        <v>73.2</v>
      </c>
      <c r="G773" t="n">
        <v>27.1</v>
      </c>
      <c r="H773" t="n">
        <v>7.4</v>
      </c>
      <c r="I773" t="n">
        <v>12.2</v>
      </c>
      <c r="J773" t="n">
        <v>1.8</v>
      </c>
      <c r="K773" t="n">
        <v>19.5</v>
      </c>
      <c r="L773" t="n">
        <v>37</v>
      </c>
      <c r="M773" t="n">
        <v>1.1</v>
      </c>
      <c r="N773" t="inlineStr">
        <is>
          <t>801–1000</t>
        </is>
      </c>
      <c r="O773" t="inlineStr">
        <is>
          <t>32.7–36.9</t>
        </is>
      </c>
      <c r="P773" t="n">
        <v>23.3</v>
      </c>
      <c r="Q773" t="n">
        <v>16.7</v>
      </c>
      <c r="R773" t="n">
        <v>60.2</v>
      </c>
      <c r="S773" t="n">
        <v>43.1</v>
      </c>
      <c r="T773" t="n">
        <v>53</v>
      </c>
      <c r="U773" t="inlineStr">
        <is>
          <t>4,735</t>
        </is>
      </c>
      <c r="V773" t="n">
        <v>14.2</v>
      </c>
      <c r="W773" t="inlineStr">
        <is>
          <t>2%</t>
        </is>
      </c>
      <c r="X773" t="inlineStr">
        <is>
          <t>43 : 57</t>
        </is>
      </c>
      <c r="Y773" t="n">
        <v>535</v>
      </c>
      <c r="Z773" t="n">
        <v>801</v>
      </c>
      <c r="AA773" t="n">
        <v>34.8</v>
      </c>
      <c r="AB773" t="inlineStr">
        <is>
          <t>U0772</t>
        </is>
      </c>
      <c r="AC773" t="inlineStr">
        <is>
          <t>PA</t>
        </is>
      </c>
      <c r="AD773" t="n">
        <v>22.9</v>
      </c>
      <c r="AE773" t="n">
        <v>7.4</v>
      </c>
      <c r="AF773" t="n">
        <v>14.2</v>
      </c>
      <c r="AG773" t="inlineStr">
        <is>
          <t>1:14.2</t>
        </is>
      </c>
      <c r="AH773" t="inlineStr">
        <is>
          <t>2%</t>
        </is>
      </c>
      <c r="AI773" t="n">
        <v>17.2</v>
      </c>
      <c r="AJ773" t="n">
        <v>17.2</v>
      </c>
    </row>
    <row r="774">
      <c r="A774" t="inlineStr">
        <is>
          <t>Lakehead University</t>
        </is>
      </c>
      <c r="B774" t="inlineStr">
        <is>
          <t>Canada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>
        <is>
          <t>801–1000</t>
        </is>
      </c>
      <c r="O774" t="inlineStr">
        <is>
          <t>32.7–36.9</t>
        </is>
      </c>
      <c r="P774" t="n">
        <v>17.6</v>
      </c>
      <c r="Q774" t="n">
        <v>24</v>
      </c>
      <c r="R774" t="n">
        <v>51.4</v>
      </c>
      <c r="S774" t="n">
        <v>48.7</v>
      </c>
      <c r="T774" t="n">
        <v>59.2</v>
      </c>
      <c r="U774" t="inlineStr">
        <is>
          <t>8,434</t>
        </is>
      </c>
      <c r="V774" t="n">
        <v>25</v>
      </c>
      <c r="W774" t="inlineStr">
        <is>
          <t>19%</t>
        </is>
      </c>
      <c r="X774" t="inlineStr">
        <is>
          <t>56 : 44</t>
        </is>
      </c>
      <c r="Y774" t="inlineStr"/>
      <c r="Z774" t="n">
        <v>801</v>
      </c>
      <c r="AA774" t="n">
        <v>34.8</v>
      </c>
      <c r="AB774" t="inlineStr">
        <is>
          <t>U0773</t>
        </is>
      </c>
      <c r="AC774" t="inlineStr">
        <is>
          <t>CA</t>
        </is>
      </c>
      <c r="AD774" t="n">
        <v>34.8</v>
      </c>
      <c r="AE774" t="n">
        <v>51.4</v>
      </c>
      <c r="AF774" t="n">
        <v>25</v>
      </c>
      <c r="AG774" t="inlineStr">
        <is>
          <t>1:25.0</t>
        </is>
      </c>
      <c r="AH774" t="inlineStr">
        <is>
          <t>19%</t>
        </is>
      </c>
      <c r="AI774" t="inlineStr"/>
      <c r="AJ774" t="n">
        <v>35.86</v>
      </c>
    </row>
    <row r="775">
      <c r="A775" t="inlineStr">
        <is>
          <t>Lancaster University</t>
        </is>
      </c>
      <c r="B775" t="inlineStr">
        <is>
          <t>United Kingdom</t>
        </is>
      </c>
      <c r="C775" t="inlineStr">
        <is>
          <t>141</t>
        </is>
      </c>
      <c r="D775" t="n">
        <v>53.6</v>
      </c>
      <c r="E775" t="n">
        <v>38.9</v>
      </c>
      <c r="F775" t="n">
        <v>36.7</v>
      </c>
      <c r="G775" t="n">
        <v>27.7</v>
      </c>
      <c r="H775" t="n">
        <v>69.59999999999999</v>
      </c>
      <c r="I775" t="n">
        <v>93.3</v>
      </c>
      <c r="J775" t="n">
        <v>92.3</v>
      </c>
      <c r="K775" t="n">
        <v>89.7</v>
      </c>
      <c r="L775" t="n">
        <v>28.8</v>
      </c>
      <c r="M775" t="n">
        <v>96.2</v>
      </c>
      <c r="N775">
        <f>155</f>
        <v/>
      </c>
      <c r="O775" t="inlineStr">
        <is>
          <t>61.8</t>
        </is>
      </c>
      <c r="P775" t="n">
        <v>40.2</v>
      </c>
      <c r="Q775" t="n">
        <v>40.7</v>
      </c>
      <c r="R775" t="n">
        <v>93.90000000000001</v>
      </c>
      <c r="S775" t="n">
        <v>66.59999999999999</v>
      </c>
      <c r="T775" t="n">
        <v>96.8</v>
      </c>
      <c r="U775" t="inlineStr">
        <is>
          <t>15,385</t>
        </is>
      </c>
      <c r="V775" t="n">
        <v>13.9</v>
      </c>
      <c r="W775" t="inlineStr">
        <is>
          <t>38%</t>
        </is>
      </c>
      <c r="X775" t="inlineStr">
        <is>
          <t>51 : 49</t>
        </is>
      </c>
      <c r="Y775" t="n">
        <v>141</v>
      </c>
      <c r="Z775" t="n">
        <v>155</v>
      </c>
      <c r="AA775" t="n">
        <v>61.8</v>
      </c>
      <c r="AB775" t="inlineStr">
        <is>
          <t>U0774</t>
        </is>
      </c>
      <c r="AC775" t="inlineStr">
        <is>
          <t>UN</t>
        </is>
      </c>
      <c r="AD775" t="n">
        <v>53.6</v>
      </c>
      <c r="AE775" t="n">
        <v>69.59999999999999</v>
      </c>
      <c r="AF775" t="n">
        <v>13.9</v>
      </c>
      <c r="AG775" t="inlineStr">
        <is>
          <t>1:13.9</t>
        </is>
      </c>
      <c r="AH775" t="inlineStr">
        <is>
          <t>38%</t>
        </is>
      </c>
      <c r="AI775" t="n">
        <v>38.9</v>
      </c>
      <c r="AJ775" t="n">
        <v>59.22</v>
      </c>
    </row>
    <row r="776">
      <c r="A776" t="inlineStr">
        <is>
          <t>Lanzhou University</t>
        </is>
      </c>
      <c r="B776" t="inlineStr">
        <is>
          <t>China</t>
        </is>
      </c>
      <c r="C776" t="inlineStr">
        <is>
          <t>721-730</t>
        </is>
      </c>
      <c r="D776" t="inlineStr"/>
      <c r="E776" t="n">
        <v>8.1</v>
      </c>
      <c r="F776" t="n">
        <v>2.5</v>
      </c>
      <c r="G776" t="n">
        <v>25.2</v>
      </c>
      <c r="H776" t="n">
        <v>45.2</v>
      </c>
      <c r="I776" t="n">
        <v>2.3</v>
      </c>
      <c r="J776" t="n">
        <v>1.5</v>
      </c>
      <c r="K776" t="n">
        <v>64</v>
      </c>
      <c r="L776" t="n">
        <v>4.4</v>
      </c>
      <c r="M776" t="n">
        <v>7.6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n">
        <v>721</v>
      </c>
      <c r="Z776" t="inlineStr"/>
      <c r="AA776" t="inlineStr"/>
      <c r="AB776" t="inlineStr">
        <is>
          <t>U0775</t>
        </is>
      </c>
      <c r="AC776" t="inlineStr">
        <is>
          <t>CH</t>
        </is>
      </c>
      <c r="AD776" t="inlineStr"/>
      <c r="AE776" t="n">
        <v>45.2</v>
      </c>
      <c r="AF776" t="inlineStr"/>
      <c r="AG776" t="inlineStr"/>
      <c r="AH776" t="inlineStr"/>
      <c r="AI776" t="n">
        <v>8.1</v>
      </c>
      <c r="AJ776" t="n">
        <v>27.09</v>
      </c>
    </row>
    <row r="777">
      <c r="A777" t="inlineStr">
        <is>
          <t>Lappeenranta-Lahti University of Technology LUT</t>
        </is>
      </c>
      <c r="B777" t="inlineStr">
        <is>
          <t>Finland</t>
        </is>
      </c>
      <c r="C777" t="inlineStr">
        <is>
          <t>336</t>
        </is>
      </c>
      <c r="D777" t="n">
        <v>33.3</v>
      </c>
      <c r="E777" t="n">
        <v>6.4</v>
      </c>
      <c r="F777" t="n">
        <v>9.4</v>
      </c>
      <c r="G777" t="n">
        <v>9.5</v>
      </c>
      <c r="H777" t="n">
        <v>97.59999999999999</v>
      </c>
      <c r="I777" t="n">
        <v>56.8</v>
      </c>
      <c r="J777" t="n">
        <v>28.5</v>
      </c>
      <c r="K777" t="n">
        <v>55.6</v>
      </c>
      <c r="L777" t="n">
        <v>7.9</v>
      </c>
      <c r="M777" t="n">
        <v>55.8</v>
      </c>
      <c r="N777" t="inlineStr">
        <is>
          <t>251–300</t>
        </is>
      </c>
      <c r="O777" t="inlineStr">
        <is>
          <t>53.1–55.8</t>
        </is>
      </c>
      <c r="P777" t="n">
        <v>33.4</v>
      </c>
      <c r="Q777" t="n">
        <v>36.7</v>
      </c>
      <c r="R777" t="n">
        <v>91.7</v>
      </c>
      <c r="S777" t="n">
        <v>65.09999999999999</v>
      </c>
      <c r="T777" t="n">
        <v>64.2</v>
      </c>
      <c r="U777" t="inlineStr">
        <is>
          <t>5,028</t>
        </is>
      </c>
      <c r="V777" t="n">
        <v>31.6</v>
      </c>
      <c r="W777" t="inlineStr">
        <is>
          <t>14%</t>
        </is>
      </c>
      <c r="X777" t="inlineStr">
        <is>
          <t>34 : 66</t>
        </is>
      </c>
      <c r="Y777" t="n">
        <v>336</v>
      </c>
      <c r="Z777" t="n">
        <v>251</v>
      </c>
      <c r="AA777" t="n">
        <v>54.45</v>
      </c>
      <c r="AB777" t="inlineStr">
        <is>
          <t>U0776</t>
        </is>
      </c>
      <c r="AC777" t="inlineStr">
        <is>
          <t>FI</t>
        </is>
      </c>
      <c r="AD777" t="n">
        <v>33.3</v>
      </c>
      <c r="AE777" t="n">
        <v>97.59999999999999</v>
      </c>
      <c r="AF777" t="n">
        <v>31.6</v>
      </c>
      <c r="AG777" t="inlineStr">
        <is>
          <t>1:31.6</t>
        </is>
      </c>
      <c r="AH777" t="inlineStr">
        <is>
          <t>14%</t>
        </is>
      </c>
      <c r="AI777" t="n">
        <v>6.4</v>
      </c>
      <c r="AJ777" t="n">
        <v>57.73</v>
      </c>
    </row>
    <row r="778">
      <c r="A778" t="inlineStr">
        <is>
          <t>Latvia University of Life Sciences and Technologies</t>
        </is>
      </c>
      <c r="B778" t="inlineStr">
        <is>
          <t>Latvia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>
        <is>
          <t>1501+</t>
        </is>
      </c>
      <c r="O778" t="inlineStr">
        <is>
          <t>9.7–22.7</t>
        </is>
      </c>
      <c r="P778" t="n">
        <v>16.3</v>
      </c>
      <c r="Q778" t="n">
        <v>17.3</v>
      </c>
      <c r="R778" t="n">
        <v>15.8</v>
      </c>
      <c r="S778" t="n">
        <v>30.5</v>
      </c>
      <c r="T778" t="n">
        <v>24.1</v>
      </c>
      <c r="U778" t="inlineStr">
        <is>
          <t>3,991</t>
        </is>
      </c>
      <c r="V778" t="n">
        <v>21.3</v>
      </c>
      <c r="W778" t="inlineStr">
        <is>
          <t>4%</t>
        </is>
      </c>
      <c r="X778" t="inlineStr">
        <is>
          <t>50 : 50</t>
        </is>
      </c>
      <c r="Y778" t="inlineStr"/>
      <c r="Z778" t="n">
        <v>1501</v>
      </c>
      <c r="AA778" t="n">
        <v>16.2</v>
      </c>
      <c r="AB778" t="inlineStr">
        <is>
          <t>U0777</t>
        </is>
      </c>
      <c r="AC778" t="inlineStr">
        <is>
          <t>LA</t>
        </is>
      </c>
      <c r="AD778" t="n">
        <v>16.2</v>
      </c>
      <c r="AE778" t="n">
        <v>15.8</v>
      </c>
      <c r="AF778" t="n">
        <v>21.3</v>
      </c>
      <c r="AG778" t="inlineStr">
        <is>
          <t>1:21.3</t>
        </is>
      </c>
      <c r="AH778" t="inlineStr">
        <is>
          <t>4%</t>
        </is>
      </c>
      <c r="AI778" t="inlineStr"/>
      <c r="AJ778" t="n">
        <v>13.08</v>
      </c>
    </row>
    <row r="779">
      <c r="A779" t="inlineStr">
        <is>
          <t>Lebanese American University</t>
        </is>
      </c>
      <c r="B779" t="inlineStr">
        <is>
          <t>Lebanon</t>
        </is>
      </c>
      <c r="C779" t="inlineStr">
        <is>
          <t>701-710</t>
        </is>
      </c>
      <c r="D779" t="inlineStr"/>
      <c r="E779" t="n">
        <v>13.5</v>
      </c>
      <c r="F779" t="n">
        <v>20.3</v>
      </c>
      <c r="G779" t="n">
        <v>29.1</v>
      </c>
      <c r="H779" t="n">
        <v>3.7</v>
      </c>
      <c r="I779" t="n">
        <v>73.3</v>
      </c>
      <c r="J779" t="n">
        <v>19.6</v>
      </c>
      <c r="K779" t="n">
        <v>36.5</v>
      </c>
      <c r="L779" t="n">
        <v>19.9</v>
      </c>
      <c r="M779" t="n">
        <v>19.5</v>
      </c>
      <c r="N779" t="inlineStr">
        <is>
          <t>501–600</t>
        </is>
      </c>
      <c r="O779" t="inlineStr">
        <is>
          <t>41.9–45.3</t>
        </is>
      </c>
      <c r="P779" t="n">
        <v>26.7</v>
      </c>
      <c r="Q779" t="n">
        <v>13.2</v>
      </c>
      <c r="R779" t="n">
        <v>76.40000000000001</v>
      </c>
      <c r="S779" t="n">
        <v>32.8</v>
      </c>
      <c r="T779" t="n">
        <v>84.2</v>
      </c>
      <c r="U779" t="inlineStr">
        <is>
          <t>7,100</t>
        </is>
      </c>
      <c r="V779" t="n">
        <v>10.1</v>
      </c>
      <c r="W779" t="inlineStr">
        <is>
          <t>17%</t>
        </is>
      </c>
      <c r="X779" t="inlineStr">
        <is>
          <t>52 : 48</t>
        </is>
      </c>
      <c r="Y779" t="n">
        <v>701</v>
      </c>
      <c r="Z779" t="n">
        <v>501</v>
      </c>
      <c r="AA779" t="n">
        <v>43.59999999999999</v>
      </c>
      <c r="AB779" t="inlineStr">
        <is>
          <t>U0778</t>
        </is>
      </c>
      <c r="AC779" t="inlineStr">
        <is>
          <t>LE</t>
        </is>
      </c>
      <c r="AD779" t="n">
        <v>43.59999999999999</v>
      </c>
      <c r="AE779" t="n">
        <v>3.7</v>
      </c>
      <c r="AF779" t="n">
        <v>10.1</v>
      </c>
      <c r="AG779" t="inlineStr">
        <is>
          <t>1:10.1</t>
        </is>
      </c>
      <c r="AH779" t="inlineStr">
        <is>
          <t>17%</t>
        </is>
      </c>
      <c r="AI779" t="n">
        <v>13.5</v>
      </c>
      <c r="AJ779" t="n">
        <v>21.79</v>
      </c>
    </row>
    <row r="780">
      <c r="A780" t="inlineStr">
        <is>
          <t>Lebanese University</t>
        </is>
      </c>
      <c r="B780" t="inlineStr">
        <is>
          <t>Lebanon</t>
        </is>
      </c>
      <c r="C780" t="inlineStr">
        <is>
          <t>567</t>
        </is>
      </c>
      <c r="D780" t="n">
        <v>21.9</v>
      </c>
      <c r="E780" t="n">
        <v>29</v>
      </c>
      <c r="F780" t="n">
        <v>34.4</v>
      </c>
      <c r="G780" t="n">
        <v>10.1</v>
      </c>
      <c r="H780" t="n">
        <v>2.2</v>
      </c>
      <c r="I780" t="n">
        <v>43.8</v>
      </c>
      <c r="J780" t="n">
        <v>29.5</v>
      </c>
      <c r="K780" t="n">
        <v>43.7</v>
      </c>
      <c r="L780" t="n">
        <v>29.9</v>
      </c>
      <c r="M780" t="n">
        <v>5.8</v>
      </c>
      <c r="N780" t="inlineStr">
        <is>
          <t>801–1000</t>
        </is>
      </c>
      <c r="O780" t="inlineStr">
        <is>
          <t>32.7–36.9</t>
        </is>
      </c>
      <c r="P780" t="n">
        <v>42.8</v>
      </c>
      <c r="Q780" t="n">
        <v>22.3</v>
      </c>
      <c r="R780" t="n">
        <v>23.6</v>
      </c>
      <c r="S780" t="n">
        <v>17.7</v>
      </c>
      <c r="T780" t="n">
        <v>78.8</v>
      </c>
      <c r="U780" t="inlineStr">
        <is>
          <t>46,704</t>
        </is>
      </c>
      <c r="V780" t="n">
        <v>14.6</v>
      </c>
      <c r="W780" t="inlineStr">
        <is>
          <t>16%</t>
        </is>
      </c>
      <c r="X780" t="inlineStr">
        <is>
          <t>70 : 30</t>
        </is>
      </c>
      <c r="Y780" t="n">
        <v>567</v>
      </c>
      <c r="Z780" t="n">
        <v>801</v>
      </c>
      <c r="AA780" t="n">
        <v>34.8</v>
      </c>
      <c r="AB780" t="inlineStr">
        <is>
          <t>U0779</t>
        </is>
      </c>
      <c r="AC780" t="inlineStr">
        <is>
          <t>LE</t>
        </is>
      </c>
      <c r="AD780" t="n">
        <v>21.9</v>
      </c>
      <c r="AE780" t="n">
        <v>2.2</v>
      </c>
      <c r="AF780" t="n">
        <v>14.6</v>
      </c>
      <c r="AG780" t="inlineStr">
        <is>
          <t>1:14.6</t>
        </is>
      </c>
      <c r="AH780" t="inlineStr">
        <is>
          <t>16%</t>
        </is>
      </c>
      <c r="AI780" t="n">
        <v>29</v>
      </c>
      <c r="AJ780" t="n">
        <v>24.8</v>
      </c>
    </row>
    <row r="781">
      <c r="A781" t="inlineStr">
        <is>
          <t>Leeds Beckett University</t>
        </is>
      </c>
      <c r="B781" t="inlineStr">
        <is>
          <t>United Kingdom</t>
        </is>
      </c>
      <c r="C781" t="inlineStr">
        <is>
          <t>1001-1200</t>
        </is>
      </c>
      <c r="D781" t="inlineStr"/>
      <c r="E781" t="n">
        <v>4.5</v>
      </c>
      <c r="F781" t="n">
        <v>5.9</v>
      </c>
      <c r="G781" t="n">
        <v>3.8</v>
      </c>
      <c r="H781" t="n">
        <v>7.5</v>
      </c>
      <c r="I781" t="n">
        <v>39.1</v>
      </c>
      <c r="J781" t="n">
        <v>27.4</v>
      </c>
      <c r="K781" t="n">
        <v>24.8</v>
      </c>
      <c r="L781" t="n">
        <v>8.5</v>
      </c>
      <c r="M781" t="n">
        <v>1.5</v>
      </c>
      <c r="N781" t="inlineStr">
        <is>
          <t>801–1000</t>
        </is>
      </c>
      <c r="O781" t="inlineStr">
        <is>
          <t>32.7–36.9</t>
        </is>
      </c>
      <c r="P781" t="n">
        <v>17.7</v>
      </c>
      <c r="Q781" t="n">
        <v>16.2</v>
      </c>
      <c r="R781" t="n">
        <v>65</v>
      </c>
      <c r="S781" t="n">
        <v>49.9</v>
      </c>
      <c r="T781" t="n">
        <v>67.3</v>
      </c>
      <c r="U781" t="inlineStr">
        <is>
          <t>20,360</t>
        </is>
      </c>
      <c r="V781" t="n">
        <v>21.9</v>
      </c>
      <c r="W781" t="inlineStr">
        <is>
          <t>15%</t>
        </is>
      </c>
      <c r="X781" t="inlineStr">
        <is>
          <t>54 : 46</t>
        </is>
      </c>
      <c r="Y781" t="n">
        <v>1001</v>
      </c>
      <c r="Z781" t="n">
        <v>801</v>
      </c>
      <c r="AA781" t="n">
        <v>34.8</v>
      </c>
      <c r="AB781" t="inlineStr">
        <is>
          <t>U0780</t>
        </is>
      </c>
      <c r="AC781" t="inlineStr">
        <is>
          <t>UN</t>
        </is>
      </c>
      <c r="AD781" t="n">
        <v>34.8</v>
      </c>
      <c r="AE781" t="n">
        <v>7.5</v>
      </c>
      <c r="AF781" t="n">
        <v>21.9</v>
      </c>
      <c r="AG781" t="inlineStr">
        <is>
          <t>1:21.9</t>
        </is>
      </c>
      <c r="AH781" t="inlineStr">
        <is>
          <t>15%</t>
        </is>
      </c>
      <c r="AI781" t="n">
        <v>4.5</v>
      </c>
      <c r="AJ781" t="n">
        <v>20.43</v>
      </c>
    </row>
    <row r="782">
      <c r="A782" t="inlineStr">
        <is>
          <t>Lehigh University</t>
        </is>
      </c>
      <c r="B782" t="inlineStr">
        <is>
          <t>United States</t>
        </is>
      </c>
      <c r="C782" t="inlineStr">
        <is>
          <t>641-650</t>
        </is>
      </c>
      <c r="D782" t="inlineStr"/>
      <c r="E782" t="n">
        <v>5.2</v>
      </c>
      <c r="F782" t="n">
        <v>4.8</v>
      </c>
      <c r="G782" t="n">
        <v>24.3</v>
      </c>
      <c r="H782" t="n">
        <v>32.5</v>
      </c>
      <c r="I782" t="n">
        <v>47.1</v>
      </c>
      <c r="J782" t="n">
        <v>27.8</v>
      </c>
      <c r="K782" t="n">
        <v>44.5</v>
      </c>
      <c r="L782" t="n">
        <v>29</v>
      </c>
      <c r="M782" t="n">
        <v>33.3</v>
      </c>
      <c r="N782" t="inlineStr">
        <is>
          <t>601–800</t>
        </is>
      </c>
      <c r="O782" t="inlineStr">
        <is>
          <t>37.0–41.8</t>
        </is>
      </c>
      <c r="P782" t="n">
        <v>33</v>
      </c>
      <c r="Q782" t="n">
        <v>22.5</v>
      </c>
      <c r="R782" t="n">
        <v>57.6</v>
      </c>
      <c r="S782" t="n">
        <v>63.6</v>
      </c>
      <c r="T782" t="n">
        <v>73.8</v>
      </c>
      <c r="U782" t="inlineStr">
        <is>
          <t>6,518</t>
        </is>
      </c>
      <c r="V782" t="n">
        <v>11.2</v>
      </c>
      <c r="W782" t="inlineStr">
        <is>
          <t>17%</t>
        </is>
      </c>
      <c r="X782" t="inlineStr">
        <is>
          <t>46 : 54</t>
        </is>
      </c>
      <c r="Y782" t="n">
        <v>641</v>
      </c>
      <c r="Z782" t="n">
        <v>601</v>
      </c>
      <c r="AA782" t="n">
        <v>39.4</v>
      </c>
      <c r="AB782" t="inlineStr">
        <is>
          <t>U0781</t>
        </is>
      </c>
      <c r="AC782" t="inlineStr">
        <is>
          <t>UN</t>
        </is>
      </c>
      <c r="AD782" t="n">
        <v>39.4</v>
      </c>
      <c r="AE782" t="n">
        <v>32.5</v>
      </c>
      <c r="AF782" t="n">
        <v>11.2</v>
      </c>
      <c r="AG782" t="inlineStr">
        <is>
          <t>1:11.2</t>
        </is>
      </c>
      <c r="AH782" t="inlineStr">
        <is>
          <t>17%</t>
        </is>
      </c>
      <c r="AI782" t="n">
        <v>5.2</v>
      </c>
      <c r="AJ782" t="n">
        <v>32.88</v>
      </c>
    </row>
    <row r="783">
      <c r="A783" t="inlineStr">
        <is>
          <t>Leibniz University Hannover</t>
        </is>
      </c>
      <c r="B783" t="inlineStr">
        <is>
          <t>Germany</t>
        </is>
      </c>
      <c r="C783" t="inlineStr">
        <is>
          <t>426</t>
        </is>
      </c>
      <c r="D783" t="n">
        <v>27.9</v>
      </c>
      <c r="E783" t="n">
        <v>21.2</v>
      </c>
      <c r="F783" t="n">
        <v>32</v>
      </c>
      <c r="G783" t="n">
        <v>17.9</v>
      </c>
      <c r="H783" t="n">
        <v>17.4</v>
      </c>
      <c r="I783" t="n">
        <v>46.3</v>
      </c>
      <c r="J783" t="n">
        <v>26.9</v>
      </c>
      <c r="K783" t="n">
        <v>78.5</v>
      </c>
      <c r="L783" t="n">
        <v>14.5</v>
      </c>
      <c r="M783" t="n">
        <v>82.09999999999999</v>
      </c>
      <c r="N783" t="inlineStr">
        <is>
          <t>351–400</t>
        </is>
      </c>
      <c r="O783" t="inlineStr">
        <is>
          <t>49.1–51.0</t>
        </is>
      </c>
      <c r="P783" t="n">
        <v>38.3</v>
      </c>
      <c r="Q783" t="n">
        <v>41.5</v>
      </c>
      <c r="R783" t="n">
        <v>62.1</v>
      </c>
      <c r="S783" t="n">
        <v>81.59999999999999</v>
      </c>
      <c r="T783" t="n">
        <v>58.2</v>
      </c>
      <c r="U783" t="inlineStr">
        <is>
          <t>19,807</t>
        </is>
      </c>
      <c r="V783" t="n">
        <v>39.5</v>
      </c>
      <c r="W783" t="inlineStr">
        <is>
          <t>15%</t>
        </is>
      </c>
      <c r="X783" t="inlineStr">
        <is>
          <t>44 : 56</t>
        </is>
      </c>
      <c r="Y783" t="n">
        <v>426</v>
      </c>
      <c r="Z783" t="n">
        <v>351</v>
      </c>
      <c r="AA783" t="n">
        <v>50.05</v>
      </c>
      <c r="AB783" t="inlineStr">
        <is>
          <t>U0782</t>
        </is>
      </c>
      <c r="AC783" t="inlineStr">
        <is>
          <t>GE</t>
        </is>
      </c>
      <c r="AD783" t="n">
        <v>27.9</v>
      </c>
      <c r="AE783" t="n">
        <v>17.4</v>
      </c>
      <c r="AF783" t="n">
        <v>39.5</v>
      </c>
      <c r="AG783" t="inlineStr">
        <is>
          <t>1:39.5</t>
        </is>
      </c>
      <c r="AH783" t="inlineStr">
        <is>
          <t>15%</t>
        </is>
      </c>
      <c r="AI783" t="n">
        <v>21.2</v>
      </c>
      <c r="AJ783" t="n">
        <v>34.49</v>
      </c>
    </row>
    <row r="784">
      <c r="A784" t="inlineStr">
        <is>
          <t>Leiden University</t>
        </is>
      </c>
      <c r="B784" t="inlineStr">
        <is>
          <t>Netherlands</t>
        </is>
      </c>
      <c r="C784" t="inlineStr">
        <is>
          <t>141</t>
        </is>
      </c>
      <c r="D784" t="n">
        <v>53.6</v>
      </c>
      <c r="E784" t="n">
        <v>68.40000000000001</v>
      </c>
      <c r="F784" t="n">
        <v>32.9</v>
      </c>
      <c r="G784" t="n">
        <v>21.3</v>
      </c>
      <c r="H784" t="n">
        <v>54.5</v>
      </c>
      <c r="I784" t="n">
        <v>85</v>
      </c>
      <c r="J784" t="n">
        <v>51.7</v>
      </c>
      <c r="K784" t="n">
        <v>95.2</v>
      </c>
      <c r="L784" t="n">
        <v>48.8</v>
      </c>
      <c r="M784" t="n">
        <v>25.5</v>
      </c>
      <c r="N784" t="inlineStr">
        <is>
          <t>77</t>
        </is>
      </c>
      <c r="O784" t="inlineStr">
        <is>
          <t>70.2</t>
        </is>
      </c>
      <c r="P784" t="n">
        <v>46</v>
      </c>
      <c r="Q784" t="n">
        <v>62.7</v>
      </c>
      <c r="R784" t="n">
        <v>93</v>
      </c>
      <c r="S784" t="n">
        <v>98.09999999999999</v>
      </c>
      <c r="T784" t="n">
        <v>87.8</v>
      </c>
      <c r="U784" t="inlineStr">
        <is>
          <t>35,072</t>
        </is>
      </c>
      <c r="V784" t="n">
        <v>19.3</v>
      </c>
      <c r="W784" t="inlineStr">
        <is>
          <t>21%</t>
        </is>
      </c>
      <c r="X784" t="inlineStr">
        <is>
          <t>60 : 40</t>
        </is>
      </c>
      <c r="Y784" t="n">
        <v>141</v>
      </c>
      <c r="Z784" t="n">
        <v>77</v>
      </c>
      <c r="AA784" t="n">
        <v>70.2</v>
      </c>
      <c r="AB784" t="inlineStr">
        <is>
          <t>U0783</t>
        </is>
      </c>
      <c r="AC784" t="inlineStr">
        <is>
          <t>NE</t>
        </is>
      </c>
      <c r="AD784" t="n">
        <v>53.6</v>
      </c>
      <c r="AE784" t="n">
        <v>54.5</v>
      </c>
      <c r="AF784" t="n">
        <v>19.3</v>
      </c>
      <c r="AG784" t="inlineStr">
        <is>
          <t>1:19.3</t>
        </is>
      </c>
      <c r="AH784" t="inlineStr">
        <is>
          <t>21%</t>
        </is>
      </c>
      <c r="AI784" t="n">
        <v>68.40000000000001</v>
      </c>
      <c r="AJ784" t="n">
        <v>64</v>
      </c>
    </row>
    <row r="785">
      <c r="A785" t="inlineStr">
        <is>
          <t>Leuphana University of Lüneburg</t>
        </is>
      </c>
      <c r="B785" t="inlineStr">
        <is>
          <t>Germany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>
        <is>
          <t>501–600</t>
        </is>
      </c>
      <c r="O785" t="inlineStr">
        <is>
          <t>41.9–45.3</t>
        </is>
      </c>
      <c r="P785" t="n">
        <v>25.5</v>
      </c>
      <c r="Q785" t="n">
        <v>22.9</v>
      </c>
      <c r="R785" t="n">
        <v>85.3</v>
      </c>
      <c r="S785" t="n">
        <v>25.8</v>
      </c>
      <c r="T785" t="n">
        <v>59.8</v>
      </c>
      <c r="U785" t="inlineStr">
        <is>
          <t>7,773</t>
        </is>
      </c>
      <c r="V785" t="n">
        <v>22.5</v>
      </c>
      <c r="W785" t="inlineStr">
        <is>
          <t>7%</t>
        </is>
      </c>
      <c r="X785" t="inlineStr">
        <is>
          <t>62 : 38</t>
        </is>
      </c>
      <c r="Y785" t="inlineStr"/>
      <c r="Z785" t="n">
        <v>501</v>
      </c>
      <c r="AA785" t="n">
        <v>43.59999999999999</v>
      </c>
      <c r="AB785" t="inlineStr">
        <is>
          <t>U0784</t>
        </is>
      </c>
      <c r="AC785" t="inlineStr">
        <is>
          <t>GE</t>
        </is>
      </c>
      <c r="AD785" t="n">
        <v>43.59999999999999</v>
      </c>
      <c r="AE785" t="n">
        <v>85.3</v>
      </c>
      <c r="AF785" t="n">
        <v>22.5</v>
      </c>
      <c r="AG785" t="inlineStr">
        <is>
          <t>1:22.5</t>
        </is>
      </c>
      <c r="AH785" t="inlineStr">
        <is>
          <t>7%</t>
        </is>
      </c>
      <c r="AI785" t="inlineStr"/>
      <c r="AJ785" t="n">
        <v>45.7</v>
      </c>
    </row>
    <row r="786">
      <c r="A786" t="inlineStr">
        <is>
          <t xml:space="preserve">Lincoln University </t>
        </is>
      </c>
      <c r="B786" t="inlineStr">
        <is>
          <t>New Zealand</t>
        </is>
      </c>
      <c r="C786" t="inlineStr">
        <is>
          <t>371</t>
        </is>
      </c>
      <c r="D786" t="n">
        <v>31.3</v>
      </c>
      <c r="E786" t="n">
        <v>8.199999999999999</v>
      </c>
      <c r="F786" t="n">
        <v>5</v>
      </c>
      <c r="G786" t="n">
        <v>31.8</v>
      </c>
      <c r="H786" t="n">
        <v>52.1</v>
      </c>
      <c r="I786" t="n">
        <v>100</v>
      </c>
      <c r="J786" t="n">
        <v>96.3</v>
      </c>
      <c r="K786" t="n">
        <v>20.2</v>
      </c>
      <c r="L786" t="n">
        <v>40</v>
      </c>
      <c r="M786" t="n">
        <v>48.9</v>
      </c>
      <c r="N786" t="inlineStr">
        <is>
          <t>401–500</t>
        </is>
      </c>
      <c r="O786" t="inlineStr">
        <is>
          <t>45.4–49.0</t>
        </is>
      </c>
      <c r="P786" t="n">
        <v>33.9</v>
      </c>
      <c r="Q786" t="n">
        <v>26.7</v>
      </c>
      <c r="R786" t="n">
        <v>68.40000000000001</v>
      </c>
      <c r="S786" t="n">
        <v>49.7</v>
      </c>
      <c r="T786" t="n">
        <v>92</v>
      </c>
      <c r="U786" t="inlineStr">
        <is>
          <t>2,562</t>
        </is>
      </c>
      <c r="V786" t="n">
        <v>14.5</v>
      </c>
      <c r="W786" t="inlineStr">
        <is>
          <t>33%</t>
        </is>
      </c>
      <c r="X786" t="inlineStr">
        <is>
          <t>52 : 48</t>
        </is>
      </c>
      <c r="Y786" t="n">
        <v>371</v>
      </c>
      <c r="Z786" t="n">
        <v>401</v>
      </c>
      <c r="AA786" t="n">
        <v>47.2</v>
      </c>
      <c r="AB786" t="inlineStr">
        <is>
          <t>U0785</t>
        </is>
      </c>
      <c r="AC786" t="inlineStr">
        <is>
          <t>NE</t>
        </is>
      </c>
      <c r="AD786" t="n">
        <v>31.3</v>
      </c>
      <c r="AE786" t="n">
        <v>52.1</v>
      </c>
      <c r="AF786" t="n">
        <v>14.5</v>
      </c>
      <c r="AG786" t="inlineStr">
        <is>
          <t>1:14.5</t>
        </is>
      </c>
      <c r="AH786" t="inlineStr">
        <is>
          <t>33%</t>
        </is>
      </c>
      <c r="AI786" t="n">
        <v>8.199999999999999</v>
      </c>
      <c r="AJ786" t="n">
        <v>45.42</v>
      </c>
    </row>
    <row r="787">
      <c r="A787" t="inlineStr">
        <is>
          <t>Lingnan University, Hong Kong</t>
        </is>
      </c>
      <c r="B787" t="inlineStr">
        <is>
          <t>Hong Kong</t>
        </is>
      </c>
      <c r="C787" t="inlineStr">
        <is>
          <t>711-720</t>
        </is>
      </c>
      <c r="D787" t="inlineStr"/>
      <c r="E787" t="n">
        <v>9.9</v>
      </c>
      <c r="F787" t="n">
        <v>6.5</v>
      </c>
      <c r="G787" t="n">
        <v>13.9</v>
      </c>
      <c r="H787" t="n">
        <v>11</v>
      </c>
      <c r="I787" t="n">
        <v>100</v>
      </c>
      <c r="J787" t="n">
        <v>98.90000000000001</v>
      </c>
      <c r="K787" t="n">
        <v>15.6</v>
      </c>
      <c r="L787" t="n">
        <v>3.7</v>
      </c>
      <c r="M787" t="n">
        <v>3.8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n">
        <v>711</v>
      </c>
      <c r="Z787" t="inlineStr"/>
      <c r="AA787" t="inlineStr"/>
      <c r="AB787" t="inlineStr">
        <is>
          <t>U0786</t>
        </is>
      </c>
      <c r="AC787" t="inlineStr">
        <is>
          <t>HO</t>
        </is>
      </c>
      <c r="AD787" t="inlineStr"/>
      <c r="AE787" t="n">
        <v>11</v>
      </c>
      <c r="AF787" t="inlineStr"/>
      <c r="AG787" t="inlineStr"/>
      <c r="AH787" t="inlineStr"/>
      <c r="AI787" t="n">
        <v>9.9</v>
      </c>
      <c r="AJ787" t="n">
        <v>16.72</v>
      </c>
    </row>
    <row r="788">
      <c r="A788" t="inlineStr">
        <is>
          <t>Linköping University</t>
        </is>
      </c>
      <c r="B788" t="inlineStr">
        <is>
          <t>Sweden</t>
        </is>
      </c>
      <c r="C788" t="inlineStr">
        <is>
          <t>304</t>
        </is>
      </c>
      <c r="D788" t="n">
        <v>35.8</v>
      </c>
      <c r="E788" t="n">
        <v>18.5</v>
      </c>
      <c r="F788" t="n">
        <v>26.6</v>
      </c>
      <c r="G788" t="n">
        <v>37.9</v>
      </c>
      <c r="H788" t="n">
        <v>45.4</v>
      </c>
      <c r="I788" t="n">
        <v>81.90000000000001</v>
      </c>
      <c r="J788" t="n">
        <v>32.6</v>
      </c>
      <c r="K788" t="n">
        <v>84.59999999999999</v>
      </c>
      <c r="L788" t="n">
        <v>42.4</v>
      </c>
      <c r="M788" t="n">
        <v>41</v>
      </c>
      <c r="N788" t="inlineStr">
        <is>
          <t>251–300</t>
        </is>
      </c>
      <c r="O788" t="inlineStr">
        <is>
          <t>53.1–55.8</t>
        </is>
      </c>
      <c r="P788" t="n">
        <v>28.3</v>
      </c>
      <c r="Q788" t="n">
        <v>41.3</v>
      </c>
      <c r="R788" t="n">
        <v>86.40000000000001</v>
      </c>
      <c r="S788" t="n">
        <v>92.8</v>
      </c>
      <c r="T788" t="n">
        <v>70.7</v>
      </c>
      <c r="U788" t="inlineStr">
        <is>
          <t>15,233</t>
        </is>
      </c>
      <c r="V788" t="n">
        <v>14.9</v>
      </c>
      <c r="W788" t="inlineStr">
        <is>
          <t>15%</t>
        </is>
      </c>
      <c r="X788" t="inlineStr">
        <is>
          <t>54 : 46</t>
        </is>
      </c>
      <c r="Y788" t="n">
        <v>304</v>
      </c>
      <c r="Z788" t="n">
        <v>251</v>
      </c>
      <c r="AA788" t="n">
        <v>54.45</v>
      </c>
      <c r="AB788" t="inlineStr">
        <is>
          <t>U0787</t>
        </is>
      </c>
      <c r="AC788" t="inlineStr">
        <is>
          <t>SW</t>
        </is>
      </c>
      <c r="AD788" t="n">
        <v>35.8</v>
      </c>
      <c r="AE788" t="n">
        <v>45.4</v>
      </c>
      <c r="AF788" t="n">
        <v>14.9</v>
      </c>
      <c r="AG788" t="inlineStr">
        <is>
          <t>1:14.9</t>
        </is>
      </c>
      <c r="AH788" t="inlineStr">
        <is>
          <t>15%</t>
        </is>
      </c>
      <c r="AI788" t="n">
        <v>18.5</v>
      </c>
      <c r="AJ788" t="n">
        <v>45.89</v>
      </c>
    </row>
    <row r="789">
      <c r="A789" t="inlineStr">
        <is>
          <t>Lithuanian University of Health Sciences</t>
        </is>
      </c>
      <c r="B789" t="inlineStr">
        <is>
          <t>Lithuania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>
        <is>
          <t>801–1000</t>
        </is>
      </c>
      <c r="O789" t="inlineStr">
        <is>
          <t>32.7–36.9</t>
        </is>
      </c>
      <c r="P789" t="n">
        <v>27.1</v>
      </c>
      <c r="Q789" t="n">
        <v>12.6</v>
      </c>
      <c r="R789" t="n">
        <v>55.5</v>
      </c>
      <c r="S789" t="n">
        <v>25.5</v>
      </c>
      <c r="T789" t="n">
        <v>52.9</v>
      </c>
      <c r="U789" t="inlineStr">
        <is>
          <t>6,376</t>
        </is>
      </c>
      <c r="V789" t="n">
        <v>9.199999999999999</v>
      </c>
      <c r="W789" t="inlineStr">
        <is>
          <t>23%</t>
        </is>
      </c>
      <c r="X789" t="inlineStr">
        <is>
          <t>74 : 26</t>
        </is>
      </c>
      <c r="Y789" t="inlineStr"/>
      <c r="Z789" t="n">
        <v>801</v>
      </c>
      <c r="AA789" t="n">
        <v>34.8</v>
      </c>
      <c r="AB789" t="inlineStr">
        <is>
          <t>U0788</t>
        </is>
      </c>
      <c r="AC789" t="inlineStr">
        <is>
          <t>LI</t>
        </is>
      </c>
      <c r="AD789" t="n">
        <v>34.8</v>
      </c>
      <c r="AE789" t="n">
        <v>55.5</v>
      </c>
      <c r="AF789" t="n">
        <v>9.199999999999999</v>
      </c>
      <c r="AG789" t="inlineStr">
        <is>
          <t>1:9.2</t>
        </is>
      </c>
      <c r="AH789" t="inlineStr">
        <is>
          <t>23%</t>
        </is>
      </c>
      <c r="AI789" t="inlineStr"/>
      <c r="AJ789" t="n">
        <v>29.61</v>
      </c>
    </row>
    <row r="790">
      <c r="A790" t="inlineStr">
        <is>
          <t>Liverpool John Moores University</t>
        </is>
      </c>
      <c r="B790" t="inlineStr">
        <is>
          <t>United Kingdom</t>
        </is>
      </c>
      <c r="C790" t="inlineStr">
        <is>
          <t>801-850</t>
        </is>
      </c>
      <c r="D790" t="inlineStr"/>
      <c r="E790" t="n">
        <v>10</v>
      </c>
      <c r="F790" t="n">
        <v>6.8</v>
      </c>
      <c r="G790" t="n">
        <v>8</v>
      </c>
      <c r="H790" t="n">
        <v>12.3</v>
      </c>
      <c r="I790" t="n">
        <v>46.7</v>
      </c>
      <c r="J790" t="n">
        <v>22.4</v>
      </c>
      <c r="K790" t="n">
        <v>87.7</v>
      </c>
      <c r="L790" t="n">
        <v>5.4</v>
      </c>
      <c r="M790" t="n">
        <v>13.6</v>
      </c>
      <c r="N790" t="inlineStr">
        <is>
          <t>501–600</t>
        </is>
      </c>
      <c r="O790" t="inlineStr">
        <is>
          <t>41.9–45.3</t>
        </is>
      </c>
      <c r="P790" t="n">
        <v>21.6</v>
      </c>
      <c r="Q790" t="n">
        <v>19.3</v>
      </c>
      <c r="R790" t="n">
        <v>77.7</v>
      </c>
      <c r="S790" t="n">
        <v>35.4</v>
      </c>
      <c r="T790" t="n">
        <v>83</v>
      </c>
      <c r="U790" t="inlineStr">
        <is>
          <t>23,200</t>
        </is>
      </c>
      <c r="V790" t="n">
        <v>18.1</v>
      </c>
      <c r="W790" t="inlineStr">
        <is>
          <t>16%</t>
        </is>
      </c>
      <c r="X790" t="inlineStr">
        <is>
          <t>54 : 46</t>
        </is>
      </c>
      <c r="Y790" t="n">
        <v>801</v>
      </c>
      <c r="Z790" t="n">
        <v>501</v>
      </c>
      <c r="AA790" t="n">
        <v>43.59999999999999</v>
      </c>
      <c r="AB790" t="inlineStr">
        <is>
          <t>U0789</t>
        </is>
      </c>
      <c r="AC790" t="inlineStr">
        <is>
          <t>UN</t>
        </is>
      </c>
      <c r="AD790" t="n">
        <v>43.59999999999999</v>
      </c>
      <c r="AE790" t="n">
        <v>12.3</v>
      </c>
      <c r="AF790" t="n">
        <v>18.1</v>
      </c>
      <c r="AG790" t="inlineStr">
        <is>
          <t>1:18.1</t>
        </is>
      </c>
      <c r="AH790" t="inlineStr">
        <is>
          <t>16%</t>
        </is>
      </c>
      <c r="AI790" t="n">
        <v>10</v>
      </c>
      <c r="AJ790" t="n">
        <v>27.31</v>
      </c>
    </row>
    <row r="791">
      <c r="A791" t="inlineStr">
        <is>
          <t>LMU Munich</t>
        </is>
      </c>
      <c r="B791" t="inlineStr">
        <is>
          <t>Germany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>
        <f>38</f>
        <v/>
      </c>
      <c r="O791" t="inlineStr">
        <is>
          <t>79.0</t>
        </is>
      </c>
      <c r="P791" t="n">
        <v>65.3</v>
      </c>
      <c r="Q791" t="n">
        <v>76.8</v>
      </c>
      <c r="R791" t="n">
        <v>92.2</v>
      </c>
      <c r="S791" t="n">
        <v>100</v>
      </c>
      <c r="T791" t="n">
        <v>76.90000000000001</v>
      </c>
      <c r="U791" t="inlineStr">
        <is>
          <t>34,622</t>
        </is>
      </c>
      <c r="V791" t="n">
        <v>33.5</v>
      </c>
      <c r="W791" t="inlineStr">
        <is>
          <t>18%</t>
        </is>
      </c>
      <c r="X791" t="inlineStr">
        <is>
          <t>62 : 38</t>
        </is>
      </c>
      <c r="Y791" t="inlineStr"/>
      <c r="Z791" t="n">
        <v>38</v>
      </c>
      <c r="AA791" t="n">
        <v>79</v>
      </c>
      <c r="AB791" t="inlineStr">
        <is>
          <t>U0790</t>
        </is>
      </c>
      <c r="AC791" t="inlineStr">
        <is>
          <t>GE</t>
        </is>
      </c>
      <c r="AD791" t="n">
        <v>79</v>
      </c>
      <c r="AE791" t="n">
        <v>92.2</v>
      </c>
      <c r="AF791" t="n">
        <v>33.5</v>
      </c>
      <c r="AG791" t="inlineStr">
        <is>
          <t>1:33.5</t>
        </is>
      </c>
      <c r="AH791" t="inlineStr">
        <is>
          <t>18%</t>
        </is>
      </c>
      <c r="AI791" t="inlineStr"/>
      <c r="AJ791" t="n">
        <v>80.18000000000001</v>
      </c>
    </row>
    <row r="792">
      <c r="A792" t="inlineStr">
        <is>
          <t>Lobachevsky State University of Nizhni Novgorod</t>
        </is>
      </c>
      <c r="B792" t="inlineStr">
        <is>
          <t>Russian Federation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>
        <is>
          <t>1501+</t>
        </is>
      </c>
      <c r="O792" t="inlineStr">
        <is>
          <t>9.7–22.7</t>
        </is>
      </c>
      <c r="P792" t="n">
        <v>31.8</v>
      </c>
      <c r="Q792" t="n">
        <v>13.4</v>
      </c>
      <c r="R792" t="n">
        <v>14.7</v>
      </c>
      <c r="S792" t="n">
        <v>32.7</v>
      </c>
      <c r="T792" t="n">
        <v>38.5</v>
      </c>
      <c r="U792" t="inlineStr">
        <is>
          <t>19,457</t>
        </is>
      </c>
      <c r="V792" t="n">
        <v>10.6</v>
      </c>
      <c r="W792" t="inlineStr">
        <is>
          <t>12%</t>
        </is>
      </c>
      <c r="X792" t="inlineStr">
        <is>
          <t>51 : 49</t>
        </is>
      </c>
      <c r="Y792" t="inlineStr"/>
      <c r="Z792" t="n">
        <v>1501</v>
      </c>
      <c r="AA792" t="n">
        <v>16.2</v>
      </c>
      <c r="AB792" t="inlineStr">
        <is>
          <t>U0791</t>
        </is>
      </c>
      <c r="AC792" t="inlineStr">
        <is>
          <t>RU</t>
        </is>
      </c>
      <c r="AD792" t="n">
        <v>16.2</v>
      </c>
      <c r="AE792" t="n">
        <v>14.7</v>
      </c>
      <c r="AF792" t="n">
        <v>10.6</v>
      </c>
      <c r="AG792" t="inlineStr">
        <is>
          <t>1:10.6</t>
        </is>
      </c>
      <c r="AH792" t="inlineStr">
        <is>
          <t>12%</t>
        </is>
      </c>
      <c r="AI792" t="inlineStr"/>
      <c r="AJ792" t="n">
        <v>14.18</v>
      </c>
    </row>
    <row r="793">
      <c r="A793" t="inlineStr">
        <is>
          <t>Lobachevsky University</t>
        </is>
      </c>
      <c r="B793" t="inlineStr">
        <is>
          <t>Russian Federation</t>
        </is>
      </c>
      <c r="C793" t="inlineStr">
        <is>
          <t>1001-1200</t>
        </is>
      </c>
      <c r="D793" t="inlineStr"/>
      <c r="E793" t="n">
        <v>7.9</v>
      </c>
      <c r="F793" t="n">
        <v>3.9</v>
      </c>
      <c r="G793" t="n">
        <v>41.1</v>
      </c>
      <c r="H793" t="n">
        <v>2</v>
      </c>
      <c r="I793" t="n">
        <v>2</v>
      </c>
      <c r="J793" t="n">
        <v>22.3</v>
      </c>
      <c r="K793" t="n">
        <v>18.1</v>
      </c>
      <c r="L793" t="n">
        <v>3.2</v>
      </c>
      <c r="M793" t="n">
        <v>1.3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n">
        <v>1001</v>
      </c>
      <c r="Z793" t="inlineStr"/>
      <c r="AA793" t="inlineStr"/>
      <c r="AB793" t="inlineStr">
        <is>
          <t>U0792</t>
        </is>
      </c>
      <c r="AC793" t="inlineStr">
        <is>
          <t>RU</t>
        </is>
      </c>
      <c r="AD793" t="inlineStr"/>
      <c r="AE793" t="n">
        <v>2</v>
      </c>
      <c r="AF793" t="inlineStr"/>
      <c r="AG793" t="inlineStr"/>
      <c r="AH793" t="inlineStr"/>
      <c r="AI793" t="n">
        <v>7.9</v>
      </c>
      <c r="AJ793" t="n">
        <v>13.99</v>
      </c>
    </row>
    <row r="794">
      <c r="A794" t="inlineStr">
        <is>
          <t>Lodz University of Technology</t>
        </is>
      </c>
      <c r="B794" t="inlineStr">
        <is>
          <t>Poland</t>
        </is>
      </c>
      <c r="C794" t="inlineStr">
        <is>
          <t>1001-1200</t>
        </is>
      </c>
      <c r="D794" t="inlineStr"/>
      <c r="E794" t="n">
        <v>5</v>
      </c>
      <c r="F794" t="n">
        <v>3.4</v>
      </c>
      <c r="G794" t="n">
        <v>46.2</v>
      </c>
      <c r="H794" t="n">
        <v>8.9</v>
      </c>
      <c r="I794" t="n">
        <v>3.3</v>
      </c>
      <c r="J794" t="n">
        <v>4</v>
      </c>
      <c r="K794" t="n">
        <v>50.7</v>
      </c>
      <c r="L794" t="n">
        <v>3.2</v>
      </c>
      <c r="M794" t="n">
        <v>4</v>
      </c>
      <c r="N794" t="inlineStr">
        <is>
          <t>1201–1500</t>
        </is>
      </c>
      <c r="O794" t="inlineStr">
        <is>
          <t>22.8–28.2</t>
        </is>
      </c>
      <c r="P794" t="n">
        <v>21.2</v>
      </c>
      <c r="Q794" t="n">
        <v>15.7</v>
      </c>
      <c r="R794" t="n">
        <v>34.4</v>
      </c>
      <c r="S794" t="n">
        <v>66.90000000000001</v>
      </c>
      <c r="T794" t="n">
        <v>29.8</v>
      </c>
      <c r="U794" t="inlineStr">
        <is>
          <t>11,706</t>
        </is>
      </c>
      <c r="V794" t="n">
        <v>13.1</v>
      </c>
      <c r="W794" t="inlineStr">
        <is>
          <t>5%</t>
        </is>
      </c>
      <c r="X794" t="inlineStr">
        <is>
          <t>39 : 61</t>
        </is>
      </c>
      <c r="Y794" t="n">
        <v>1001</v>
      </c>
      <c r="Z794" t="n">
        <v>1201</v>
      </c>
      <c r="AA794" t="n">
        <v>25.5</v>
      </c>
      <c r="AB794" t="inlineStr">
        <is>
          <t>U0793</t>
        </is>
      </c>
      <c r="AC794" t="inlineStr">
        <is>
          <t>PO</t>
        </is>
      </c>
      <c r="AD794" t="n">
        <v>25.5</v>
      </c>
      <c r="AE794" t="n">
        <v>8.9</v>
      </c>
      <c r="AF794" t="n">
        <v>13.1</v>
      </c>
      <c r="AG794" t="inlineStr">
        <is>
          <t>1:13.1</t>
        </is>
      </c>
      <c r="AH794" t="inlineStr">
        <is>
          <t>5%</t>
        </is>
      </c>
      <c r="AI794" t="n">
        <v>5</v>
      </c>
      <c r="AJ794" t="n">
        <v>11.52</v>
      </c>
    </row>
    <row r="795">
      <c r="A795" t="inlineStr">
        <is>
          <t>Lomonosov Moscow State University</t>
        </is>
      </c>
      <c r="B795" t="inlineStr">
        <is>
          <t>Russian Federation</t>
        </is>
      </c>
      <c r="C795" t="inlineStr">
        <is>
          <t>94</t>
        </is>
      </c>
      <c r="D795" t="n">
        <v>61.4</v>
      </c>
      <c r="E795" t="n">
        <v>78</v>
      </c>
      <c r="F795" t="n">
        <v>82.3</v>
      </c>
      <c r="G795" t="n">
        <v>99.7</v>
      </c>
      <c r="H795" t="n">
        <v>4.1</v>
      </c>
      <c r="I795" t="n">
        <v>19.7</v>
      </c>
      <c r="J795" t="n">
        <v>91.5</v>
      </c>
      <c r="K795" t="n">
        <v>88.09999999999999</v>
      </c>
      <c r="L795" t="n">
        <v>95.8</v>
      </c>
      <c r="M795" t="n">
        <v>3.5</v>
      </c>
      <c r="N795">
        <f>95</f>
        <v/>
      </c>
      <c r="O795" t="inlineStr">
        <is>
          <t>67.0</t>
        </is>
      </c>
      <c r="P795" t="n">
        <v>87.5</v>
      </c>
      <c r="Q795" t="n">
        <v>75.2</v>
      </c>
      <c r="R795" t="n">
        <v>33.9</v>
      </c>
      <c r="S795" t="n">
        <v>91.09999999999999</v>
      </c>
      <c r="T795" t="n">
        <v>73.8</v>
      </c>
      <c r="U795" t="inlineStr">
        <is>
          <t>32,680</t>
        </is>
      </c>
      <c r="V795" t="n">
        <v>9.6</v>
      </c>
      <c r="W795" t="inlineStr">
        <is>
          <t>37%</t>
        </is>
      </c>
      <c r="X795" t="inlineStr">
        <is>
          <t>50 : 50</t>
        </is>
      </c>
      <c r="Y795" t="n">
        <v>94</v>
      </c>
      <c r="Z795" t="n">
        <v>95</v>
      </c>
      <c r="AA795" t="n">
        <v>67</v>
      </c>
      <c r="AB795" t="inlineStr">
        <is>
          <t>U0794</t>
        </is>
      </c>
      <c r="AC795" t="inlineStr">
        <is>
          <t>RU</t>
        </is>
      </c>
      <c r="AD795" t="n">
        <v>61.4</v>
      </c>
      <c r="AE795" t="n">
        <v>4.1</v>
      </c>
      <c r="AF795" t="n">
        <v>9.6</v>
      </c>
      <c r="AG795" t="inlineStr">
        <is>
          <t>1:9.6</t>
        </is>
      </c>
      <c r="AH795" t="inlineStr">
        <is>
          <t>37%</t>
        </is>
      </c>
      <c r="AI795" t="n">
        <v>78</v>
      </c>
      <c r="AJ795" t="n">
        <v>51.9</v>
      </c>
    </row>
    <row r="796">
      <c r="A796" t="inlineStr">
        <is>
          <t>London Metropolitan University</t>
        </is>
      </c>
      <c r="B796" t="inlineStr">
        <is>
          <t>United Kingdom</t>
        </is>
      </c>
      <c r="C796" t="inlineStr">
        <is>
          <t>1001-1200</t>
        </is>
      </c>
      <c r="D796" t="inlineStr"/>
      <c r="E796" t="n">
        <v>5</v>
      </c>
      <c r="F796" t="n">
        <v>3</v>
      </c>
      <c r="G796" t="n">
        <v>3.8</v>
      </c>
      <c r="H796" t="n">
        <v>3.3</v>
      </c>
      <c r="I796" t="n">
        <v>59.5</v>
      </c>
      <c r="J796" t="n">
        <v>100</v>
      </c>
      <c r="K796" t="n">
        <v>16.1</v>
      </c>
      <c r="L796" t="n">
        <v>13.5</v>
      </c>
      <c r="M796" t="n">
        <v>1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n">
        <v>1001</v>
      </c>
      <c r="Z796" t="inlineStr"/>
      <c r="AA796" t="inlineStr"/>
      <c r="AB796" t="inlineStr">
        <is>
          <t>U0795</t>
        </is>
      </c>
      <c r="AC796" t="inlineStr">
        <is>
          <t>UN</t>
        </is>
      </c>
      <c r="AD796" t="inlineStr"/>
      <c r="AE796" t="n">
        <v>3.3</v>
      </c>
      <c r="AF796" t="inlineStr"/>
      <c r="AG796" t="inlineStr"/>
      <c r="AH796" t="inlineStr"/>
      <c r="AI796" t="n">
        <v>5</v>
      </c>
      <c r="AJ796" t="n">
        <v>14.39</v>
      </c>
    </row>
    <row r="797">
      <c r="A797" t="inlineStr">
        <is>
          <t>The London School of Economics and Political Science (LSE)</t>
        </is>
      </c>
      <c r="B797" t="inlineStr">
        <is>
          <t>United Kingdom</t>
        </is>
      </c>
      <c r="C797" t="inlineStr">
        <is>
          <t>50</t>
        </is>
      </c>
      <c r="D797" t="n">
        <v>76</v>
      </c>
      <c r="E797" t="n">
        <v>67.2</v>
      </c>
      <c r="F797" t="n">
        <v>97</v>
      </c>
      <c r="G797" t="n">
        <v>35.1</v>
      </c>
      <c r="H797" t="n">
        <v>69.40000000000001</v>
      </c>
      <c r="I797" t="n">
        <v>100</v>
      </c>
      <c r="J797" t="n">
        <v>100</v>
      </c>
      <c r="K797" t="n">
        <v>81.2</v>
      </c>
      <c r="L797" t="n">
        <v>99.59999999999999</v>
      </c>
      <c r="M797" t="n">
        <v>91.3</v>
      </c>
      <c r="N797" t="inlineStr">
        <is>
          <t>46</t>
        </is>
      </c>
      <c r="O797" t="inlineStr">
        <is>
          <t>76.8</t>
        </is>
      </c>
      <c r="P797" t="n">
        <v>59.5</v>
      </c>
      <c r="Q797" t="n">
        <v>73.5</v>
      </c>
      <c r="R797" t="n">
        <v>95.40000000000001</v>
      </c>
      <c r="S797" t="n">
        <v>55.9</v>
      </c>
      <c r="T797" t="n">
        <v>94.09999999999999</v>
      </c>
      <c r="U797" t="inlineStr">
        <is>
          <t>11,945</t>
        </is>
      </c>
      <c r="V797" t="n">
        <v>12.6</v>
      </c>
      <c r="W797" t="inlineStr">
        <is>
          <t>72%</t>
        </is>
      </c>
      <c r="X797" t="inlineStr">
        <is>
          <t>56 : 44</t>
        </is>
      </c>
      <c r="Y797" t="n">
        <v>50</v>
      </c>
      <c r="Z797" t="n">
        <v>46</v>
      </c>
      <c r="AA797" t="n">
        <v>76.8</v>
      </c>
      <c r="AB797" t="inlineStr">
        <is>
          <t>U0796</t>
        </is>
      </c>
      <c r="AC797" t="inlineStr">
        <is>
          <t>UN</t>
        </is>
      </c>
      <c r="AD797" t="n">
        <v>76</v>
      </c>
      <c r="AE797" t="n">
        <v>69.40000000000001</v>
      </c>
      <c r="AF797" t="n">
        <v>12.6</v>
      </c>
      <c r="AG797" t="inlineStr">
        <is>
          <t>1:12.6</t>
        </is>
      </c>
      <c r="AH797" t="inlineStr">
        <is>
          <t>72%</t>
        </is>
      </c>
      <c r="AI797" t="n">
        <v>67.2</v>
      </c>
      <c r="AJ797" t="n">
        <v>75.7</v>
      </c>
    </row>
    <row r="798">
      <c r="A798" t="inlineStr">
        <is>
          <t>London South Bank University</t>
        </is>
      </c>
      <c r="B798" t="inlineStr">
        <is>
          <t>United Kingdom</t>
        </is>
      </c>
      <c r="C798" t="inlineStr">
        <is>
          <t>801-850</t>
        </is>
      </c>
      <c r="D798" t="inlineStr"/>
      <c r="E798" t="n">
        <v>3.3</v>
      </c>
      <c r="F798" t="n">
        <v>2.9</v>
      </c>
      <c r="G798" t="n">
        <v>9.1</v>
      </c>
      <c r="H798" t="n">
        <v>4.4</v>
      </c>
      <c r="I798" t="n">
        <v>87.09999999999999</v>
      </c>
      <c r="J798" t="n">
        <v>96.8</v>
      </c>
      <c r="K798" t="n">
        <v>47.6</v>
      </c>
      <c r="L798" t="n">
        <v>8.5</v>
      </c>
      <c r="M798" t="n">
        <v>15.4</v>
      </c>
      <c r="N798" t="inlineStr">
        <is>
          <t>601–800</t>
        </is>
      </c>
      <c r="O798" t="inlineStr">
        <is>
          <t>37.0–41.8</t>
        </is>
      </c>
      <c r="P798" t="n">
        <v>18.6</v>
      </c>
      <c r="Q798" t="n">
        <v>12.4</v>
      </c>
      <c r="R798" t="n">
        <v>65.90000000000001</v>
      </c>
      <c r="S798" t="n">
        <v>52.4</v>
      </c>
      <c r="T798" t="n">
        <v>92.3</v>
      </c>
      <c r="U798" t="inlineStr">
        <is>
          <t>14,510</t>
        </is>
      </c>
      <c r="V798" t="n">
        <v>17.5</v>
      </c>
      <c r="W798" t="inlineStr">
        <is>
          <t>37%</t>
        </is>
      </c>
      <c r="X798" t="inlineStr">
        <is>
          <t>56 : 44</t>
        </is>
      </c>
      <c r="Y798" t="n">
        <v>801</v>
      </c>
      <c r="Z798" t="n">
        <v>601</v>
      </c>
      <c r="AA798" t="n">
        <v>39.4</v>
      </c>
      <c r="AB798" t="inlineStr">
        <is>
          <t>U0797</t>
        </is>
      </c>
      <c r="AC798" t="inlineStr">
        <is>
          <t>UN</t>
        </is>
      </c>
      <c r="AD798" t="n">
        <v>39.4</v>
      </c>
      <c r="AE798" t="n">
        <v>4.4</v>
      </c>
      <c r="AF798" t="n">
        <v>17.5</v>
      </c>
      <c r="AG798" t="inlineStr">
        <is>
          <t>1:17.5</t>
        </is>
      </c>
      <c r="AH798" t="inlineStr">
        <is>
          <t>37%</t>
        </is>
      </c>
      <c r="AI798" t="n">
        <v>3.3</v>
      </c>
      <c r="AJ798" t="n">
        <v>23.55</v>
      </c>
    </row>
    <row r="799">
      <c r="A799" t="inlineStr">
        <is>
          <t>Londrina State University</t>
        </is>
      </c>
      <c r="B799" t="inlineStr">
        <is>
          <t>Brazil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>
        <is>
          <t>1501+</t>
        </is>
      </c>
      <c r="O799" t="inlineStr">
        <is>
          <t>9.7–22.7</t>
        </is>
      </c>
      <c r="P799" t="n">
        <v>30.3</v>
      </c>
      <c r="Q799" t="n">
        <v>16.1</v>
      </c>
      <c r="R799" t="n">
        <v>19.6</v>
      </c>
      <c r="S799" t="n">
        <v>34.8</v>
      </c>
      <c r="T799" t="n">
        <v>23.9</v>
      </c>
      <c r="U799" t="inlineStr">
        <is>
          <t>21,220</t>
        </is>
      </c>
      <c r="V799" t="n">
        <v>10.9</v>
      </c>
      <c r="W799" t="inlineStr">
        <is>
          <t>1%</t>
        </is>
      </c>
      <c r="X799" t="inlineStr">
        <is>
          <t>59 : 41</t>
        </is>
      </c>
      <c r="Y799" t="inlineStr"/>
      <c r="Z799" t="n">
        <v>1501</v>
      </c>
      <c r="AA799" t="n">
        <v>16.2</v>
      </c>
      <c r="AB799" t="inlineStr">
        <is>
          <t>U0798</t>
        </is>
      </c>
      <c r="AC799" t="inlineStr">
        <is>
          <t>BR</t>
        </is>
      </c>
      <c r="AD799" t="n">
        <v>16.2</v>
      </c>
      <c r="AE799" t="n">
        <v>19.6</v>
      </c>
      <c r="AF799" t="n">
        <v>10.9</v>
      </c>
      <c r="AG799" t="inlineStr">
        <is>
          <t>1:10.9</t>
        </is>
      </c>
      <c r="AH799" t="inlineStr">
        <is>
          <t>1%</t>
        </is>
      </c>
      <c r="AI799" t="inlineStr"/>
      <c r="AJ799" t="n">
        <v>13.55</v>
      </c>
    </row>
    <row r="800">
      <c r="A800" t="inlineStr">
        <is>
          <t>Lorestan University</t>
        </is>
      </c>
      <c r="B800" t="inlineStr">
        <is>
          <t>Iran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>
        <is>
          <t>1001–1200</t>
        </is>
      </c>
      <c r="O800" t="inlineStr">
        <is>
          <t>28.3–32.6</t>
        </is>
      </c>
      <c r="P800" t="n">
        <v>27.2</v>
      </c>
      <c r="Q800" t="n">
        <v>11.1</v>
      </c>
      <c r="R800" t="n">
        <v>51.2</v>
      </c>
      <c r="S800" t="n">
        <v>18.3</v>
      </c>
      <c r="T800" t="n">
        <v>25.7</v>
      </c>
      <c r="U800" t="inlineStr">
        <is>
          <t>8,762</t>
        </is>
      </c>
      <c r="V800" t="n">
        <v>22.7</v>
      </c>
      <c r="W800" t="inlineStr">
        <is>
          <t>2%</t>
        </is>
      </c>
      <c r="X800" t="inlineStr">
        <is>
          <t>57 : 43</t>
        </is>
      </c>
      <c r="Y800" t="inlineStr"/>
      <c r="Z800" t="n">
        <v>1001</v>
      </c>
      <c r="AA800" t="n">
        <v>30.45</v>
      </c>
      <c r="AB800" t="inlineStr">
        <is>
          <t>U0799</t>
        </is>
      </c>
      <c r="AC800" t="inlineStr">
        <is>
          <t>IR</t>
        </is>
      </c>
      <c r="AD800" t="n">
        <v>30.45</v>
      </c>
      <c r="AE800" t="n">
        <v>51.2</v>
      </c>
      <c r="AF800" t="n">
        <v>22.7</v>
      </c>
      <c r="AG800" t="inlineStr">
        <is>
          <t>1:22.7</t>
        </is>
      </c>
      <c r="AH800" t="inlineStr">
        <is>
          <t>2%</t>
        </is>
      </c>
      <c r="AI800" t="inlineStr"/>
      <c r="AJ800" t="n">
        <v>20.94</v>
      </c>
    </row>
    <row r="801">
      <c r="A801" t="inlineStr">
        <is>
          <t>Loughborough University</t>
        </is>
      </c>
      <c r="B801" t="inlineStr">
        <is>
          <t>United Kingdom</t>
        </is>
      </c>
      <c r="C801" t="inlineStr">
        <is>
          <t>224</t>
        </is>
      </c>
      <c r="D801" t="n">
        <v>43.6</v>
      </c>
      <c r="E801" t="n">
        <v>29.7</v>
      </c>
      <c r="F801" t="n">
        <v>55.3</v>
      </c>
      <c r="G801" t="n">
        <v>23.8</v>
      </c>
      <c r="H801" t="n">
        <v>32.4</v>
      </c>
      <c r="I801" t="n">
        <v>87.09999999999999</v>
      </c>
      <c r="J801" t="n">
        <v>68.59999999999999</v>
      </c>
      <c r="K801" t="n">
        <v>87.09999999999999</v>
      </c>
      <c r="L801" t="n">
        <v>23.2</v>
      </c>
      <c r="M801" t="n">
        <v>93.8</v>
      </c>
      <c r="N801" t="inlineStr">
        <is>
          <t>251–300</t>
        </is>
      </c>
      <c r="O801" t="inlineStr">
        <is>
          <t>53.1–55.8</t>
        </is>
      </c>
      <c r="P801" t="n">
        <v>36.5</v>
      </c>
      <c r="Q801" t="n">
        <v>34.4</v>
      </c>
      <c r="R801" t="n">
        <v>77.40000000000001</v>
      </c>
      <c r="S801" t="n">
        <v>70.2</v>
      </c>
      <c r="T801" t="n">
        <v>91.5</v>
      </c>
      <c r="U801" t="inlineStr">
        <is>
          <t>16,110</t>
        </is>
      </c>
      <c r="V801" t="n">
        <v>13.9</v>
      </c>
      <c r="W801" t="inlineStr">
        <is>
          <t>25%</t>
        </is>
      </c>
      <c r="X801" t="inlineStr">
        <is>
          <t>40 : 60</t>
        </is>
      </c>
      <c r="Y801" t="n">
        <v>224</v>
      </c>
      <c r="Z801" t="n">
        <v>251</v>
      </c>
      <c r="AA801" t="n">
        <v>54.45</v>
      </c>
      <c r="AB801" t="inlineStr">
        <is>
          <t>U0800</t>
        </is>
      </c>
      <c r="AC801" t="inlineStr">
        <is>
          <t>UN</t>
        </is>
      </c>
      <c r="AD801" t="n">
        <v>43.6</v>
      </c>
      <c r="AE801" t="n">
        <v>32.4</v>
      </c>
      <c r="AF801" t="n">
        <v>13.9</v>
      </c>
      <c r="AG801" t="inlineStr">
        <is>
          <t>1:13.9</t>
        </is>
      </c>
      <c r="AH801" t="inlineStr">
        <is>
          <t>25%</t>
        </is>
      </c>
      <c r="AI801" t="n">
        <v>29.7</v>
      </c>
      <c r="AJ801" t="n">
        <v>43.37</v>
      </c>
    </row>
    <row r="802">
      <c r="A802" t="inlineStr">
        <is>
          <t>Louisiana State University</t>
        </is>
      </c>
      <c r="B802" t="inlineStr">
        <is>
          <t>United States</t>
        </is>
      </c>
      <c r="C802" t="inlineStr">
        <is>
          <t>901-950</t>
        </is>
      </c>
      <c r="D802" t="inlineStr"/>
      <c r="E802" t="n">
        <v>9.5</v>
      </c>
      <c r="F802" t="n">
        <v>6.7</v>
      </c>
      <c r="G802" t="n">
        <v>7.8</v>
      </c>
      <c r="H802" t="n">
        <v>12.9</v>
      </c>
      <c r="I802" t="n">
        <v>8.6</v>
      </c>
      <c r="J802" t="n">
        <v>3.8</v>
      </c>
      <c r="K802" t="n">
        <v>52.3</v>
      </c>
      <c r="L802" t="n">
        <v>18.8</v>
      </c>
      <c r="M802" t="n">
        <v>52.8</v>
      </c>
      <c r="N802" t="inlineStr">
        <is>
          <t>601–800</t>
        </is>
      </c>
      <c r="O802" t="inlineStr">
        <is>
          <t>37.0–41.8</t>
        </is>
      </c>
      <c r="P802" t="n">
        <v>32.7</v>
      </c>
      <c r="Q802" t="n">
        <v>21.4</v>
      </c>
      <c r="R802" t="n">
        <v>61.1</v>
      </c>
      <c r="S802" t="n">
        <v>63.1</v>
      </c>
      <c r="T802" t="n">
        <v>47.8</v>
      </c>
      <c r="U802" t="inlineStr">
        <is>
          <t>31,112</t>
        </is>
      </c>
      <c r="V802" t="n">
        <v>19.4</v>
      </c>
      <c r="W802" t="inlineStr">
        <is>
          <t>4%</t>
        </is>
      </c>
      <c r="X802" t="inlineStr">
        <is>
          <t>55 : 45</t>
        </is>
      </c>
      <c r="Y802" t="n">
        <v>901</v>
      </c>
      <c r="Z802" t="n">
        <v>601</v>
      </c>
      <c r="AA802" t="n">
        <v>39.4</v>
      </c>
      <c r="AB802" t="inlineStr">
        <is>
          <t>U0801</t>
        </is>
      </c>
      <c r="AC802" t="inlineStr">
        <is>
          <t>UN</t>
        </is>
      </c>
      <c r="AD802" t="n">
        <v>39.4</v>
      </c>
      <c r="AE802" t="n">
        <v>12.9</v>
      </c>
      <c r="AF802" t="n">
        <v>19.4</v>
      </c>
      <c r="AG802" t="inlineStr">
        <is>
          <t>1:19.4</t>
        </is>
      </c>
      <c r="AH802" t="inlineStr">
        <is>
          <t>4%</t>
        </is>
      </c>
      <c r="AI802" t="n">
        <v>9.5</v>
      </c>
      <c r="AJ802" t="n">
        <v>20.08</v>
      </c>
    </row>
    <row r="803">
      <c r="A803" t="inlineStr">
        <is>
          <t>Lovely Professional University</t>
        </is>
      </c>
      <c r="B803" t="inlineStr">
        <is>
          <t>India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>
        <is>
          <t>801–1000</t>
        </is>
      </c>
      <c r="O803" t="inlineStr">
        <is>
          <t>32.7–36.9</t>
        </is>
      </c>
      <c r="P803" t="n">
        <v>21.5</v>
      </c>
      <c r="Q803" t="n">
        <v>12.8</v>
      </c>
      <c r="R803" t="n">
        <v>73.7</v>
      </c>
      <c r="S803" t="n">
        <v>17.5</v>
      </c>
      <c r="T803" t="n">
        <v>43.4</v>
      </c>
      <c r="U803" t="inlineStr">
        <is>
          <t>34,961</t>
        </is>
      </c>
      <c r="V803" t="n">
        <v>14.7</v>
      </c>
      <c r="W803" t="inlineStr">
        <is>
          <t>7%</t>
        </is>
      </c>
      <c r="X803" t="inlineStr">
        <is>
          <t>25 : 75</t>
        </is>
      </c>
      <c r="Y803" t="inlineStr"/>
      <c r="Z803" t="n">
        <v>801</v>
      </c>
      <c r="AA803" t="n">
        <v>34.8</v>
      </c>
      <c r="AB803" t="inlineStr">
        <is>
          <t>U0802</t>
        </is>
      </c>
      <c r="AC803" t="inlineStr">
        <is>
          <t>IN</t>
        </is>
      </c>
      <c r="AD803" t="n">
        <v>34.8</v>
      </c>
      <c r="AE803" t="n">
        <v>73.7</v>
      </c>
      <c r="AF803" t="n">
        <v>14.7</v>
      </c>
      <c r="AG803" t="inlineStr">
        <is>
          <t>1:14.7</t>
        </is>
      </c>
      <c r="AH803" t="inlineStr">
        <is>
          <t>7%</t>
        </is>
      </c>
      <c r="AI803" t="inlineStr"/>
      <c r="AJ803" t="n">
        <v>32.93</v>
      </c>
    </row>
    <row r="804">
      <c r="A804" t="inlineStr">
        <is>
          <t>Loyola University Chicago</t>
        </is>
      </c>
      <c r="B804" t="inlineStr">
        <is>
          <t>United States</t>
        </is>
      </c>
      <c r="C804" t="inlineStr">
        <is>
          <t>1001-1200</t>
        </is>
      </c>
      <c r="D804" t="inlineStr"/>
      <c r="E804" t="n">
        <v>8.5</v>
      </c>
      <c r="F804" t="n">
        <v>17.3</v>
      </c>
      <c r="G804" t="n">
        <v>23.2</v>
      </c>
      <c r="H804" t="n">
        <v>7</v>
      </c>
      <c r="I804" t="n">
        <v>6.5</v>
      </c>
      <c r="J804" t="n">
        <v>3</v>
      </c>
      <c r="K804" t="n">
        <v>39.5</v>
      </c>
      <c r="L804" t="n">
        <v>13.2</v>
      </c>
      <c r="M804" t="n">
        <v>1.9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n">
        <v>1001</v>
      </c>
      <c r="Z804" t="inlineStr"/>
      <c r="AA804" t="inlineStr"/>
      <c r="AB804" t="inlineStr">
        <is>
          <t>U0803</t>
        </is>
      </c>
      <c r="AC804" t="inlineStr">
        <is>
          <t>UN</t>
        </is>
      </c>
      <c r="AD804" t="inlineStr"/>
      <c r="AE804" t="n">
        <v>7</v>
      </c>
      <c r="AF804" t="inlineStr"/>
      <c r="AG804" t="inlineStr"/>
      <c r="AH804" t="inlineStr"/>
      <c r="AI804" t="n">
        <v>8.5</v>
      </c>
      <c r="AJ804" t="n">
        <v>15.51</v>
      </c>
    </row>
    <row r="805">
      <c r="A805" t="inlineStr">
        <is>
          <t>Lucian Blaga University of Sibiu</t>
        </is>
      </c>
      <c r="B805" t="inlineStr">
        <is>
          <t>Romania</t>
        </is>
      </c>
      <c r="C805" t="inlineStr">
        <is>
          <t>1401+</t>
        </is>
      </c>
      <c r="D805" t="inlineStr"/>
      <c r="E805" t="n">
        <v>3.6</v>
      </c>
      <c r="F805" t="n">
        <v>3.2</v>
      </c>
      <c r="G805" t="n">
        <v>8.5</v>
      </c>
      <c r="H805" t="n">
        <v>1.9</v>
      </c>
      <c r="I805" t="n">
        <v>13.9</v>
      </c>
      <c r="J805" t="n">
        <v>2.9</v>
      </c>
      <c r="K805" t="n">
        <v>17</v>
      </c>
      <c r="L805" t="n">
        <v>4.1</v>
      </c>
      <c r="M805" t="n">
        <v>1.2</v>
      </c>
      <c r="N805" t="inlineStr">
        <is>
          <t>1501+</t>
        </is>
      </c>
      <c r="O805" t="inlineStr">
        <is>
          <t>9.7–22.7</t>
        </is>
      </c>
      <c r="P805" t="n">
        <v>18.5</v>
      </c>
      <c r="Q805" t="n">
        <v>14</v>
      </c>
      <c r="R805" t="n">
        <v>29.7</v>
      </c>
      <c r="S805" t="n">
        <v>16.8</v>
      </c>
      <c r="T805" t="n">
        <v>28.4</v>
      </c>
      <c r="U805" t="inlineStr">
        <is>
          <t>13,369</t>
        </is>
      </c>
      <c r="V805" t="n">
        <v>16.5</v>
      </c>
      <c r="W805" t="inlineStr">
        <is>
          <t>3%</t>
        </is>
      </c>
      <c r="X805" t="inlineStr">
        <is>
          <t>59 : 41</t>
        </is>
      </c>
      <c r="Y805" t="n">
        <v>1401</v>
      </c>
      <c r="Z805" t="n">
        <v>1501</v>
      </c>
      <c r="AA805" t="n">
        <v>16.2</v>
      </c>
      <c r="AB805" t="inlineStr">
        <is>
          <t>U0804</t>
        </is>
      </c>
      <c r="AC805" t="inlineStr">
        <is>
          <t>RO</t>
        </is>
      </c>
      <c r="AD805" t="n">
        <v>16.2</v>
      </c>
      <c r="AE805" t="n">
        <v>1.9</v>
      </c>
      <c r="AF805" t="n">
        <v>16.5</v>
      </c>
      <c r="AG805" t="inlineStr">
        <is>
          <t>1:16.5</t>
        </is>
      </c>
      <c r="AH805" t="inlineStr">
        <is>
          <t>3%</t>
        </is>
      </c>
      <c r="AI805" t="n">
        <v>3.6</v>
      </c>
      <c r="AJ805" t="n">
        <v>8.17</v>
      </c>
    </row>
    <row r="806">
      <c r="A806" t="inlineStr">
        <is>
          <t>Ludwig-Maximilians-Universität München</t>
        </is>
      </c>
      <c r="B806" t="inlineStr">
        <is>
          <t>Germany</t>
        </is>
      </c>
      <c r="C806" t="inlineStr">
        <is>
          <t>59</t>
        </is>
      </c>
      <c r="D806" t="n">
        <v>71.59999999999999</v>
      </c>
      <c r="E806" t="n">
        <v>92.2</v>
      </c>
      <c r="F806" t="n">
        <v>86.59999999999999</v>
      </c>
      <c r="G806" t="n">
        <v>38.5</v>
      </c>
      <c r="H806" t="n">
        <v>50</v>
      </c>
      <c r="I806" t="n">
        <v>75.09999999999999</v>
      </c>
      <c r="J806" t="n">
        <v>37.6</v>
      </c>
      <c r="K806" t="n">
        <v>95.5</v>
      </c>
      <c r="L806" t="n">
        <v>66.90000000000001</v>
      </c>
      <c r="M806" t="n">
        <v>62.2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n">
        <v>59</v>
      </c>
      <c r="Z806" t="inlineStr"/>
      <c r="AA806" t="inlineStr"/>
      <c r="AB806" t="inlineStr">
        <is>
          <t>U0805</t>
        </is>
      </c>
      <c r="AC806" t="inlineStr">
        <is>
          <t>GE</t>
        </is>
      </c>
      <c r="AD806" t="n">
        <v>71.59999999999999</v>
      </c>
      <c r="AE806" t="n">
        <v>50</v>
      </c>
      <c r="AF806" t="inlineStr"/>
      <c r="AG806" t="inlineStr"/>
      <c r="AH806" t="inlineStr"/>
      <c r="AI806" t="n">
        <v>92.2</v>
      </c>
      <c r="AJ806" t="n">
        <v>28.54</v>
      </c>
    </row>
    <row r="807">
      <c r="A807" t="inlineStr">
        <is>
          <t>Lumière University, Lyon 2</t>
        </is>
      </c>
      <c r="B807" t="inlineStr">
        <is>
          <t>France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>
        <is>
          <t>1201–1500</t>
        </is>
      </c>
      <c r="O807" t="inlineStr">
        <is>
          <t>22.8–28.2</t>
        </is>
      </c>
      <c r="P807" t="n">
        <v>24.6</v>
      </c>
      <c r="Q807" t="n">
        <v>18.6</v>
      </c>
      <c r="R807" t="n">
        <v>24.9</v>
      </c>
      <c r="S807" t="n">
        <v>32.8</v>
      </c>
      <c r="T807" t="n">
        <v>67.5</v>
      </c>
      <c r="U807" t="inlineStr">
        <is>
          <t>26,014</t>
        </is>
      </c>
      <c r="V807" t="n">
        <v>50.4</v>
      </c>
      <c r="W807" t="inlineStr">
        <is>
          <t>18%</t>
        </is>
      </c>
      <c r="X807" t="inlineStr">
        <is>
          <t>68 : 32</t>
        </is>
      </c>
      <c r="Y807" t="inlineStr"/>
      <c r="Z807" t="n">
        <v>1201</v>
      </c>
      <c r="AA807" t="n">
        <v>25.5</v>
      </c>
      <c r="AB807" t="inlineStr">
        <is>
          <t>U0806</t>
        </is>
      </c>
      <c r="AC807" t="inlineStr">
        <is>
          <t>FR</t>
        </is>
      </c>
      <c r="AD807" t="n">
        <v>25.5</v>
      </c>
      <c r="AE807" t="n">
        <v>24.9</v>
      </c>
      <c r="AF807" t="n">
        <v>50.4</v>
      </c>
      <c r="AG807" t="inlineStr">
        <is>
          <t>1:50.4</t>
        </is>
      </c>
      <c r="AH807" t="inlineStr">
        <is>
          <t>18%</t>
        </is>
      </c>
      <c r="AI807" t="inlineStr"/>
      <c r="AJ807" t="n">
        <v>27.01</v>
      </c>
    </row>
    <row r="808">
      <c r="A808" t="inlineStr">
        <is>
          <t>Lund University</t>
        </is>
      </c>
      <c r="B808" t="inlineStr">
        <is>
          <t>Sweden</t>
        </is>
      </c>
      <c r="C808" t="inlineStr">
        <is>
          <t>75</t>
        </is>
      </c>
      <c r="D808" t="n">
        <v>65.59999999999999</v>
      </c>
      <c r="E808" t="n">
        <v>68.3</v>
      </c>
      <c r="F808" t="n">
        <v>52.5</v>
      </c>
      <c r="G808" t="n">
        <v>55.5</v>
      </c>
      <c r="H808" t="n">
        <v>44.6</v>
      </c>
      <c r="I808" t="n">
        <v>97.40000000000001</v>
      </c>
      <c r="J808" t="n">
        <v>73.40000000000001</v>
      </c>
      <c r="K808" t="n">
        <v>96.7</v>
      </c>
      <c r="L808" t="n">
        <v>86.5</v>
      </c>
      <c r="M808" t="n">
        <v>99.59999999999999</v>
      </c>
      <c r="N808">
        <f>106</f>
        <v/>
      </c>
      <c r="O808" t="inlineStr">
        <is>
          <t>66.1</t>
        </is>
      </c>
      <c r="P808" t="n">
        <v>46.7</v>
      </c>
      <c r="Q808" t="n">
        <v>56.6</v>
      </c>
      <c r="R808" t="n">
        <v>86.59999999999999</v>
      </c>
      <c r="S808" t="n">
        <v>99.8</v>
      </c>
      <c r="T808" t="n">
        <v>79.8</v>
      </c>
      <c r="U808" t="inlineStr">
        <is>
          <t>30,349</t>
        </is>
      </c>
      <c r="V808" t="n">
        <v>12</v>
      </c>
      <c r="W808" t="inlineStr">
        <is>
          <t>18%</t>
        </is>
      </c>
      <c r="X808" t="inlineStr">
        <is>
          <t>56 : 44</t>
        </is>
      </c>
      <c r="Y808" t="n">
        <v>75</v>
      </c>
      <c r="Z808" t="n">
        <v>106</v>
      </c>
      <c r="AA808" t="n">
        <v>66.09999999999999</v>
      </c>
      <c r="AB808" t="inlineStr">
        <is>
          <t>U0807</t>
        </is>
      </c>
      <c r="AC808" t="inlineStr">
        <is>
          <t>SW</t>
        </is>
      </c>
      <c r="AD808" t="n">
        <v>65.59999999999999</v>
      </c>
      <c r="AE808" t="n">
        <v>44.6</v>
      </c>
      <c r="AF808" t="n">
        <v>12</v>
      </c>
      <c r="AG808" t="inlineStr">
        <is>
          <t>1:12.0</t>
        </is>
      </c>
      <c r="AH808" t="inlineStr">
        <is>
          <t>18%</t>
        </is>
      </c>
      <c r="AI808" t="n">
        <v>68.3</v>
      </c>
      <c r="AJ808" t="n">
        <v>55.87</v>
      </c>
    </row>
    <row r="809">
      <c r="A809" t="inlineStr">
        <is>
          <t>Lviv Polytechnic National University</t>
        </is>
      </c>
      <c r="B809" t="inlineStr">
        <is>
          <t>Ukraine</t>
        </is>
      </c>
      <c r="C809" t="inlineStr">
        <is>
          <t>1001-1200</t>
        </is>
      </c>
      <c r="D809" t="inlineStr"/>
      <c r="E809" t="n">
        <v>8.4</v>
      </c>
      <c r="F809" t="n">
        <v>13.5</v>
      </c>
      <c r="G809" t="n">
        <v>28.4</v>
      </c>
      <c r="H809" t="n">
        <v>1.9</v>
      </c>
      <c r="I809" t="n">
        <v>1.4</v>
      </c>
      <c r="J809" t="n">
        <v>1.2</v>
      </c>
      <c r="K809" t="n">
        <v>18.9</v>
      </c>
      <c r="L809" t="n">
        <v>15.2</v>
      </c>
      <c r="M809" t="n">
        <v>11.5</v>
      </c>
      <c r="N809" t="inlineStr">
        <is>
          <t>601–800</t>
        </is>
      </c>
      <c r="O809" t="inlineStr">
        <is>
          <t>37.0–41.8</t>
        </is>
      </c>
      <c r="P809" t="n">
        <v>22.9</v>
      </c>
      <c r="Q809" t="n">
        <v>11.3</v>
      </c>
      <c r="R809" t="n">
        <v>34.2</v>
      </c>
      <c r="S809" t="n">
        <v>18.8</v>
      </c>
      <c r="T809" t="n">
        <v>27.1</v>
      </c>
      <c r="U809" t="inlineStr">
        <is>
          <t>22,580</t>
        </is>
      </c>
      <c r="V809" t="n">
        <v>11.9</v>
      </c>
      <c r="W809" t="inlineStr">
        <is>
          <t>1%</t>
        </is>
      </c>
      <c r="X809" t="inlineStr">
        <is>
          <t>41 : 59</t>
        </is>
      </c>
      <c r="Y809" t="n">
        <v>1001</v>
      </c>
      <c r="Z809" t="n">
        <v>601</v>
      </c>
      <c r="AA809" t="n">
        <v>39.4</v>
      </c>
      <c r="AB809" t="inlineStr">
        <is>
          <t>U0808</t>
        </is>
      </c>
      <c r="AC809" t="inlineStr">
        <is>
          <t>UK</t>
        </is>
      </c>
      <c r="AD809" t="n">
        <v>39.4</v>
      </c>
      <c r="AE809" t="n">
        <v>1.9</v>
      </c>
      <c r="AF809" t="n">
        <v>11.9</v>
      </c>
      <c r="AG809" t="inlineStr">
        <is>
          <t>1:11.9</t>
        </is>
      </c>
      <c r="AH809" t="inlineStr">
        <is>
          <t>1%</t>
        </is>
      </c>
      <c r="AI809" t="n">
        <v>8.4</v>
      </c>
      <c r="AJ809" t="n">
        <v>6.44</v>
      </c>
    </row>
    <row r="810">
      <c r="A810" t="inlineStr">
        <is>
          <t>M’Hamed Bougara University of Boumerdès</t>
        </is>
      </c>
      <c r="B810" t="inlineStr">
        <is>
          <t>Algeria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>
        <is>
          <t>1501+</t>
        </is>
      </c>
      <c r="O810" t="inlineStr">
        <is>
          <t>9.7–22.7</t>
        </is>
      </c>
      <c r="P810" t="n">
        <v>15.2</v>
      </c>
      <c r="Q810" t="n">
        <v>8.1</v>
      </c>
      <c r="R810" t="n">
        <v>21.3</v>
      </c>
      <c r="S810" t="n">
        <v>16.3</v>
      </c>
      <c r="T810" t="n">
        <v>32.7</v>
      </c>
      <c r="U810" t="inlineStr">
        <is>
          <t>32,215</t>
        </is>
      </c>
      <c r="V810" t="n">
        <v>22.6</v>
      </c>
      <c r="W810" t="inlineStr">
        <is>
          <t>1%</t>
        </is>
      </c>
      <c r="X810" t="inlineStr">
        <is>
          <t>59 : 41</t>
        </is>
      </c>
      <c r="Y810" t="inlineStr"/>
      <c r="Z810" t="n">
        <v>1501</v>
      </c>
      <c r="AA810" t="n">
        <v>16.2</v>
      </c>
      <c r="AB810" t="inlineStr">
        <is>
          <t>U0809</t>
        </is>
      </c>
      <c r="AC810" t="inlineStr">
        <is>
          <t>AL</t>
        </is>
      </c>
      <c r="AD810" t="n">
        <v>16.2</v>
      </c>
      <c r="AE810" t="n">
        <v>21.3</v>
      </c>
      <c r="AF810" t="n">
        <v>22.6</v>
      </c>
      <c r="AG810" t="inlineStr">
        <is>
          <t>1:22.6</t>
        </is>
      </c>
      <c r="AH810" t="inlineStr">
        <is>
          <t>1%</t>
        </is>
      </c>
      <c r="AI810" t="inlineStr"/>
      <c r="AJ810" t="n">
        <v>12</v>
      </c>
    </row>
    <row r="811">
      <c r="A811" t="inlineStr">
        <is>
          <t>M.Kh. Dulaty Taraz Regional University</t>
        </is>
      </c>
      <c r="B811" t="inlineStr">
        <is>
          <t>Kazakhstan</t>
        </is>
      </c>
      <c r="C811" t="inlineStr">
        <is>
          <t>1401+</t>
        </is>
      </c>
      <c r="D811" t="inlineStr"/>
      <c r="E811" t="n">
        <v>7.6</v>
      </c>
      <c r="F811" t="n">
        <v>2.7</v>
      </c>
      <c r="G811" t="n">
        <v>12</v>
      </c>
      <c r="H811" t="n">
        <v>1</v>
      </c>
      <c r="I811" t="n">
        <v>1.1</v>
      </c>
      <c r="J811" t="n">
        <v>6.7</v>
      </c>
      <c r="K811" t="n">
        <v>2.6</v>
      </c>
      <c r="L811" t="n">
        <v>3.1</v>
      </c>
      <c r="M811" t="n">
        <v>1.1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n">
        <v>1401</v>
      </c>
      <c r="Z811" t="inlineStr"/>
      <c r="AA811" t="inlineStr"/>
      <c r="AB811" t="inlineStr">
        <is>
          <t>U0810</t>
        </is>
      </c>
      <c r="AC811" t="inlineStr">
        <is>
          <t>KA</t>
        </is>
      </c>
      <c r="AD811" t="inlineStr"/>
      <c r="AE811" t="n">
        <v>1</v>
      </c>
      <c r="AF811" t="inlineStr"/>
      <c r="AG811" t="inlineStr"/>
      <c r="AH811" t="inlineStr"/>
      <c r="AI811" t="n">
        <v>7.6</v>
      </c>
      <c r="AJ811" t="n">
        <v>13.69</v>
      </c>
    </row>
    <row r="812">
      <c r="A812" t="inlineStr">
        <is>
          <t xml:space="preserve">Maastricht University </t>
        </is>
      </c>
      <c r="B812" t="inlineStr">
        <is>
          <t>Netherlands</t>
        </is>
      </c>
      <c r="C812" t="inlineStr">
        <is>
          <t>230</t>
        </is>
      </c>
      <c r="D812" t="n">
        <v>43</v>
      </c>
      <c r="E812" t="n">
        <v>23</v>
      </c>
      <c r="F812" t="n">
        <v>27.8</v>
      </c>
      <c r="G812" t="n">
        <v>13.2</v>
      </c>
      <c r="H812" t="n">
        <v>62.8</v>
      </c>
      <c r="I812" t="n">
        <v>99.40000000000001</v>
      </c>
      <c r="J812" t="n">
        <v>100</v>
      </c>
      <c r="K812" t="n">
        <v>80.5</v>
      </c>
      <c r="L812" t="n">
        <v>38.2</v>
      </c>
      <c r="M812" t="n">
        <v>52.5</v>
      </c>
      <c r="N812">
        <f>138</f>
        <v/>
      </c>
      <c r="O812" t="inlineStr">
        <is>
          <t>62.9</t>
        </is>
      </c>
      <c r="P812" t="n">
        <v>41.4</v>
      </c>
      <c r="Q812" t="n">
        <v>47.1</v>
      </c>
      <c r="R812" t="n">
        <v>86.09999999999999</v>
      </c>
      <c r="S812" t="n">
        <v>98.09999999999999</v>
      </c>
      <c r="T812" t="n">
        <v>97.40000000000001</v>
      </c>
      <c r="U812" t="inlineStr">
        <is>
          <t>21,337</t>
        </is>
      </c>
      <c r="V812" t="n">
        <v>19.6</v>
      </c>
      <c r="W812" t="inlineStr">
        <is>
          <t>57%</t>
        </is>
      </c>
      <c r="X812" t="inlineStr">
        <is>
          <t>60 : 40</t>
        </is>
      </c>
      <c r="Y812" t="n">
        <v>230</v>
      </c>
      <c r="Z812" t="n">
        <v>138</v>
      </c>
      <c r="AA812" t="n">
        <v>62.9</v>
      </c>
      <c r="AB812" t="inlineStr">
        <is>
          <t>U0811</t>
        </is>
      </c>
      <c r="AC812" t="inlineStr">
        <is>
          <t>NE</t>
        </is>
      </c>
      <c r="AD812" t="n">
        <v>43</v>
      </c>
      <c r="AE812" t="n">
        <v>62.8</v>
      </c>
      <c r="AF812" t="n">
        <v>19.6</v>
      </c>
      <c r="AG812" t="inlineStr">
        <is>
          <t>1:19.6</t>
        </is>
      </c>
      <c r="AH812" t="inlineStr">
        <is>
          <t>57%</t>
        </is>
      </c>
      <c r="AI812" t="n">
        <v>23</v>
      </c>
      <c r="AJ812" t="n">
        <v>60.66</v>
      </c>
    </row>
    <row r="813">
      <c r="A813" t="inlineStr">
        <is>
          <t>Macau University of Science and Technology</t>
        </is>
      </c>
      <c r="B813" t="inlineStr">
        <is>
          <t>Macao</t>
        </is>
      </c>
      <c r="C813" t="inlineStr">
        <is>
          <t>464</t>
        </is>
      </c>
      <c r="D813" t="n">
        <v>25.9</v>
      </c>
      <c r="E813" t="n">
        <v>4.4</v>
      </c>
      <c r="F813" t="n">
        <v>3.4</v>
      </c>
      <c r="G813" t="n">
        <v>3.9</v>
      </c>
      <c r="H813" t="n">
        <v>56.4</v>
      </c>
      <c r="I813" t="n">
        <v>100</v>
      </c>
      <c r="J813" t="n">
        <v>100</v>
      </c>
      <c r="K813" t="n">
        <v>26.2</v>
      </c>
      <c r="L813" t="n">
        <v>29.5</v>
      </c>
      <c r="M813" t="n">
        <v>11.3</v>
      </c>
      <c r="N813" t="inlineStr">
        <is>
          <t>251–300</t>
        </is>
      </c>
      <c r="O813" t="inlineStr">
        <is>
          <t>53.1–55.8</t>
        </is>
      </c>
      <c r="P813" t="n">
        <v>33.1</v>
      </c>
      <c r="Q813" t="n">
        <v>34.2</v>
      </c>
      <c r="R813" t="n">
        <v>78.90000000000001</v>
      </c>
      <c r="S813" t="n">
        <v>65</v>
      </c>
      <c r="T813" t="n">
        <v>94.7</v>
      </c>
      <c r="U813" t="inlineStr">
        <is>
          <t>14,091</t>
        </is>
      </c>
      <c r="V813" t="n">
        <v>41.8</v>
      </c>
      <c r="W813" t="inlineStr">
        <is>
          <t>92%</t>
        </is>
      </c>
      <c r="X813" t="inlineStr">
        <is>
          <t>57 : 43</t>
        </is>
      </c>
      <c r="Y813" t="n">
        <v>464</v>
      </c>
      <c r="Z813" t="n">
        <v>251</v>
      </c>
      <c r="AA813" t="n">
        <v>54.45</v>
      </c>
      <c r="AB813" t="inlineStr">
        <is>
          <t>U0812</t>
        </is>
      </c>
      <c r="AC813" t="inlineStr">
        <is>
          <t>MA</t>
        </is>
      </c>
      <c r="AD813" t="n">
        <v>25.9</v>
      </c>
      <c r="AE813" t="n">
        <v>56.4</v>
      </c>
      <c r="AF813" t="n">
        <v>41.8</v>
      </c>
      <c r="AG813" t="inlineStr">
        <is>
          <t>1:41.8</t>
        </is>
      </c>
      <c r="AH813" t="inlineStr">
        <is>
          <t>92%</t>
        </is>
      </c>
      <c r="AI813" t="n">
        <v>4.4</v>
      </c>
      <c r="AJ813" t="n">
        <v>51.31</v>
      </c>
    </row>
    <row r="814">
      <c r="A814" t="inlineStr">
        <is>
          <t>Mackenzie Presbyterian University</t>
        </is>
      </c>
      <c r="B814" t="inlineStr">
        <is>
          <t>Brazil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>
        <is>
          <t>1501+</t>
        </is>
      </c>
      <c r="O814" t="inlineStr">
        <is>
          <t>9.7–22.7</t>
        </is>
      </c>
      <c r="P814" t="n">
        <v>17.4</v>
      </c>
      <c r="Q814" t="n">
        <v>10.8</v>
      </c>
      <c r="R814" t="n">
        <v>12.4</v>
      </c>
      <c r="S814" t="n">
        <v>20.7</v>
      </c>
      <c r="T814" t="n">
        <v>28.7</v>
      </c>
      <c r="U814" t="inlineStr">
        <is>
          <t>27,487</t>
        </is>
      </c>
      <c r="V814" t="n">
        <v>28.1</v>
      </c>
      <c r="W814" t="inlineStr">
        <is>
          <t>0%</t>
        </is>
      </c>
      <c r="X814" t="inlineStr">
        <is>
          <t>51 : 49</t>
        </is>
      </c>
      <c r="Y814" t="inlineStr"/>
      <c r="Z814" t="n">
        <v>1501</v>
      </c>
      <c r="AA814" t="n">
        <v>16.2</v>
      </c>
      <c r="AB814" t="inlineStr">
        <is>
          <t>U0813</t>
        </is>
      </c>
      <c r="AC814" t="inlineStr">
        <is>
          <t>BR</t>
        </is>
      </c>
      <c r="AD814" t="n">
        <v>16.2</v>
      </c>
      <c r="AE814" t="n">
        <v>12.4</v>
      </c>
      <c r="AF814" t="n">
        <v>28.1</v>
      </c>
      <c r="AG814" t="inlineStr">
        <is>
          <t>1:28.1</t>
        </is>
      </c>
      <c r="AH814" t="inlineStr">
        <is>
          <t>0%</t>
        </is>
      </c>
      <c r="AI814" t="inlineStr"/>
      <c r="AJ814" t="n">
        <v>9.75</v>
      </c>
    </row>
    <row r="815">
      <c r="A815" t="inlineStr">
        <is>
          <t>Macquarie University</t>
        </is>
      </c>
      <c r="B815" t="inlineStr">
        <is>
          <t>Australia</t>
        </is>
      </c>
      <c r="C815" t="inlineStr">
        <is>
          <t>133</t>
        </is>
      </c>
      <c r="D815" t="n">
        <v>54.1</v>
      </c>
      <c r="E815" t="n">
        <v>33.4</v>
      </c>
      <c r="F815" t="n">
        <v>39.2</v>
      </c>
      <c r="G815" t="n">
        <v>9.1</v>
      </c>
      <c r="H815" t="n">
        <v>79.59999999999999</v>
      </c>
      <c r="I815" t="n">
        <v>99.90000000000001</v>
      </c>
      <c r="J815" t="n">
        <v>91.59999999999999</v>
      </c>
      <c r="K815" t="n">
        <v>90.90000000000001</v>
      </c>
      <c r="L815" t="n">
        <v>54.1</v>
      </c>
      <c r="M815" t="n">
        <v>95</v>
      </c>
      <c r="N815" t="inlineStr">
        <is>
          <t>180</t>
        </is>
      </c>
      <c r="O815" t="inlineStr">
        <is>
          <t>60.1</t>
        </is>
      </c>
      <c r="P815" t="n">
        <v>36.7</v>
      </c>
      <c r="Q815" t="n">
        <v>44.2</v>
      </c>
      <c r="R815" t="n">
        <v>87.40000000000001</v>
      </c>
      <c r="S815" t="n">
        <v>90.90000000000001</v>
      </c>
      <c r="T815" t="n">
        <v>88.59999999999999</v>
      </c>
      <c r="U815" t="inlineStr">
        <is>
          <t>30,371</t>
        </is>
      </c>
      <c r="V815" t="n">
        <v>51.7</v>
      </c>
      <c r="W815" t="inlineStr">
        <is>
          <t>22%</t>
        </is>
      </c>
      <c r="X815" t="inlineStr"/>
      <c r="Y815" t="n">
        <v>133</v>
      </c>
      <c r="Z815" t="n">
        <v>180</v>
      </c>
      <c r="AA815" t="n">
        <v>60.1</v>
      </c>
      <c r="AB815" t="inlineStr">
        <is>
          <t>U0814</t>
        </is>
      </c>
      <c r="AC815" t="inlineStr">
        <is>
          <t>AU</t>
        </is>
      </c>
      <c r="AD815" t="n">
        <v>54.1</v>
      </c>
      <c r="AE815" t="n">
        <v>79.59999999999999</v>
      </c>
      <c r="AF815" t="n">
        <v>51.7</v>
      </c>
      <c r="AG815" t="inlineStr">
        <is>
          <t>1:51.7</t>
        </is>
      </c>
      <c r="AH815" t="inlineStr">
        <is>
          <t>22%</t>
        </is>
      </c>
      <c r="AI815" t="n">
        <v>33.4</v>
      </c>
      <c r="AJ815" t="n">
        <v>62.11</v>
      </c>
    </row>
    <row r="816">
      <c r="A816" t="inlineStr">
        <is>
          <t>Mae Fah Luang University</t>
        </is>
      </c>
      <c r="B816" t="inlineStr">
        <is>
          <t>Thailand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>
        <is>
          <t>1001–1200</t>
        </is>
      </c>
      <c r="O816" t="inlineStr">
        <is>
          <t>28.3–32.6</t>
        </is>
      </c>
      <c r="P816" t="n">
        <v>16.2</v>
      </c>
      <c r="Q816" t="n">
        <v>14.6</v>
      </c>
      <c r="R816" t="n">
        <v>47.5</v>
      </c>
      <c r="S816" t="n">
        <v>39.6</v>
      </c>
      <c r="T816" t="n">
        <v>54</v>
      </c>
      <c r="U816" t="inlineStr">
        <is>
          <t>14,768</t>
        </is>
      </c>
      <c r="V816" t="n">
        <v>20.7</v>
      </c>
      <c r="W816" t="inlineStr">
        <is>
          <t>5%</t>
        </is>
      </c>
      <c r="X816" t="inlineStr">
        <is>
          <t>72 : 28</t>
        </is>
      </c>
      <c r="Y816" t="inlineStr"/>
      <c r="Z816" t="n">
        <v>1001</v>
      </c>
      <c r="AA816" t="n">
        <v>30.45</v>
      </c>
      <c r="AB816" t="inlineStr">
        <is>
          <t>U0815</t>
        </is>
      </c>
      <c r="AC816" t="inlineStr">
        <is>
          <t>TH</t>
        </is>
      </c>
      <c r="AD816" t="n">
        <v>30.45</v>
      </c>
      <c r="AE816" t="n">
        <v>47.5</v>
      </c>
      <c r="AF816" t="n">
        <v>20.7</v>
      </c>
      <c r="AG816" t="inlineStr">
        <is>
          <t>1:20.7</t>
        </is>
      </c>
      <c r="AH816" t="inlineStr">
        <is>
          <t>5%</t>
        </is>
      </c>
      <c r="AI816" t="inlineStr"/>
      <c r="AJ816" t="n">
        <v>28.5</v>
      </c>
    </row>
    <row r="817">
      <c r="A817" t="inlineStr">
        <is>
          <t>Maharishi Markandeshwar University (MMU)</t>
        </is>
      </c>
      <c r="B817" t="inlineStr">
        <is>
          <t>India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>
        <is>
          <t>1001–1200</t>
        </is>
      </c>
      <c r="O817" t="inlineStr">
        <is>
          <t>28.3–32.6</t>
        </is>
      </c>
      <c r="P817" t="n">
        <v>26.9</v>
      </c>
      <c r="Q817" t="n">
        <v>8.9</v>
      </c>
      <c r="R817" t="n">
        <v>53.8</v>
      </c>
      <c r="S817" t="n">
        <v>17.6</v>
      </c>
      <c r="T817" t="n">
        <v>34.3</v>
      </c>
      <c r="U817" t="inlineStr">
        <is>
          <t>9,968</t>
        </is>
      </c>
      <c r="V817" t="n">
        <v>12.6</v>
      </c>
      <c r="W817" t="inlineStr">
        <is>
          <t>8%</t>
        </is>
      </c>
      <c r="X817" t="inlineStr">
        <is>
          <t>43 : 57</t>
        </is>
      </c>
      <c r="Y817" t="inlineStr"/>
      <c r="Z817" t="n">
        <v>1001</v>
      </c>
      <c r="AA817" t="n">
        <v>30.45</v>
      </c>
      <c r="AB817" t="inlineStr">
        <is>
          <t>U0816</t>
        </is>
      </c>
      <c r="AC817" t="inlineStr">
        <is>
          <t>IN</t>
        </is>
      </c>
      <c r="AD817" t="n">
        <v>30.45</v>
      </c>
      <c r="AE817" t="n">
        <v>53.8</v>
      </c>
      <c r="AF817" t="n">
        <v>12.6</v>
      </c>
      <c r="AG817" t="inlineStr">
        <is>
          <t>1:12.6</t>
        </is>
      </c>
      <c r="AH817" t="inlineStr">
        <is>
          <t>8%</t>
        </is>
      </c>
      <c r="AI817" t="inlineStr"/>
      <c r="AJ817" t="n">
        <v>22.66</v>
      </c>
    </row>
    <row r="818">
      <c r="A818" t="inlineStr">
        <is>
          <t>Mahasarakham University</t>
        </is>
      </c>
      <c r="B818" t="inlineStr">
        <is>
          <t>Thailand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>
        <is>
          <t>1501+</t>
        </is>
      </c>
      <c r="O818" t="inlineStr">
        <is>
          <t>9.7–22.7</t>
        </is>
      </c>
      <c r="P818" t="n">
        <v>18.8</v>
      </c>
      <c r="Q818" t="n">
        <v>8.5</v>
      </c>
      <c r="R818" t="n">
        <v>10.5</v>
      </c>
      <c r="S818" t="n">
        <v>17</v>
      </c>
      <c r="T818" t="n">
        <v>25</v>
      </c>
      <c r="U818" t="inlineStr">
        <is>
          <t>37,679</t>
        </is>
      </c>
      <c r="V818" t="n">
        <v>30.2</v>
      </c>
      <c r="W818" t="inlineStr">
        <is>
          <t>2%</t>
        </is>
      </c>
      <c r="X818" t="inlineStr">
        <is>
          <t>66 : 34</t>
        </is>
      </c>
      <c r="Y818" t="inlineStr"/>
      <c r="Z818" t="n">
        <v>1501</v>
      </c>
      <c r="AA818" t="n">
        <v>16.2</v>
      </c>
      <c r="AB818" t="inlineStr">
        <is>
          <t>U0817</t>
        </is>
      </c>
      <c r="AC818" t="inlineStr">
        <is>
          <t>TH</t>
        </is>
      </c>
      <c r="AD818" t="n">
        <v>16.2</v>
      </c>
      <c r="AE818" t="n">
        <v>10.5</v>
      </c>
      <c r="AF818" t="n">
        <v>30.2</v>
      </c>
      <c r="AG818" t="inlineStr">
        <is>
          <t>1:30.2</t>
        </is>
      </c>
      <c r="AH818" t="inlineStr">
        <is>
          <t>2%</t>
        </is>
      </c>
      <c r="AI818" t="inlineStr"/>
      <c r="AJ818" t="n">
        <v>7.08</v>
      </c>
    </row>
    <row r="819">
      <c r="A819" t="inlineStr">
        <is>
          <t>Mahatma Gandhi University</t>
        </is>
      </c>
      <c r="B819" t="inlineStr">
        <is>
          <t>India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>
        <is>
          <t>501–600</t>
        </is>
      </c>
      <c r="O819" t="inlineStr">
        <is>
          <t>41.9–45.3</t>
        </is>
      </c>
      <c r="P819" t="n">
        <v>38.8</v>
      </c>
      <c r="Q819" t="n">
        <v>38.1</v>
      </c>
      <c r="R819" t="n">
        <v>62.3</v>
      </c>
      <c r="S819" t="n">
        <v>23.2</v>
      </c>
      <c r="T819" t="n">
        <v>28.1</v>
      </c>
      <c r="U819" t="inlineStr">
        <is>
          <t>2,045</t>
        </is>
      </c>
      <c r="V819" t="n">
        <v>20.5</v>
      </c>
      <c r="W819" t="inlineStr">
        <is>
          <t>2%</t>
        </is>
      </c>
      <c r="X819" t="inlineStr">
        <is>
          <t>60 : 40</t>
        </is>
      </c>
      <c r="Y819" t="inlineStr"/>
      <c r="Z819" t="n">
        <v>501</v>
      </c>
      <c r="AA819" t="n">
        <v>43.59999999999999</v>
      </c>
      <c r="AB819" t="inlineStr">
        <is>
          <t>U0818</t>
        </is>
      </c>
      <c r="AC819" t="inlineStr">
        <is>
          <t>IN</t>
        </is>
      </c>
      <c r="AD819" t="n">
        <v>43.59999999999999</v>
      </c>
      <c r="AE819" t="n">
        <v>62.3</v>
      </c>
      <c r="AF819" t="n">
        <v>20.5</v>
      </c>
      <c r="AG819" t="inlineStr">
        <is>
          <t>1:20.5</t>
        </is>
      </c>
      <c r="AH819" t="inlineStr">
        <is>
          <t>2%</t>
        </is>
      </c>
      <c r="AI819" t="inlineStr"/>
      <c r="AJ819" t="n">
        <v>39.04</v>
      </c>
    </row>
    <row r="820">
      <c r="A820" t="inlineStr">
        <is>
          <t>Mahidol University</t>
        </is>
      </c>
      <c r="B820" t="inlineStr">
        <is>
          <t>Thailand</t>
        </is>
      </c>
      <c r="C820" t="inlineStr">
        <is>
          <t>368</t>
        </is>
      </c>
      <c r="D820" t="n">
        <v>31.4</v>
      </c>
      <c r="E820" t="n">
        <v>44.1</v>
      </c>
      <c r="F820" t="n">
        <v>21.8</v>
      </c>
      <c r="G820" t="n">
        <v>81.09999999999999</v>
      </c>
      <c r="H820" t="n">
        <v>4.7</v>
      </c>
      <c r="I820" t="n">
        <v>4.9</v>
      </c>
      <c r="J820" t="n">
        <v>4.2</v>
      </c>
      <c r="K820" t="n">
        <v>57.2</v>
      </c>
      <c r="L820" t="n">
        <v>9.800000000000001</v>
      </c>
      <c r="M820" t="n">
        <v>57.7</v>
      </c>
      <c r="N820" t="inlineStr">
        <is>
          <t>601–800</t>
        </is>
      </c>
      <c r="O820" t="inlineStr">
        <is>
          <t>37.0–41.8</t>
        </is>
      </c>
      <c r="P820" t="n">
        <v>39.3</v>
      </c>
      <c r="Q820" t="n">
        <v>25</v>
      </c>
      <c r="R820" t="n">
        <v>46.3</v>
      </c>
      <c r="S820" t="n">
        <v>78.59999999999999</v>
      </c>
      <c r="T820" t="n">
        <v>48.7</v>
      </c>
      <c r="U820" t="inlineStr">
        <is>
          <t>28,790</t>
        </is>
      </c>
      <c r="V820" t="n">
        <v>8.9</v>
      </c>
      <c r="W820" t="inlineStr">
        <is>
          <t>5%</t>
        </is>
      </c>
      <c r="X820" t="inlineStr">
        <is>
          <t>64 : 36</t>
        </is>
      </c>
      <c r="Y820" t="n">
        <v>368</v>
      </c>
      <c r="Z820" t="n">
        <v>601</v>
      </c>
      <c r="AA820" t="n">
        <v>39.4</v>
      </c>
      <c r="AB820" t="inlineStr">
        <is>
          <t>U0819</t>
        </is>
      </c>
      <c r="AC820" t="inlineStr">
        <is>
          <t>TH</t>
        </is>
      </c>
      <c r="AD820" t="n">
        <v>31.4</v>
      </c>
      <c r="AE820" t="n">
        <v>4.7</v>
      </c>
      <c r="AF820" t="n">
        <v>8.9</v>
      </c>
      <c r="AG820" t="inlineStr">
        <is>
          <t>1:8.9</t>
        </is>
      </c>
      <c r="AH820" t="inlineStr">
        <is>
          <t>5%</t>
        </is>
      </c>
      <c r="AI820" t="n">
        <v>44.1</v>
      </c>
      <c r="AJ820" t="n">
        <v>19.7</v>
      </c>
    </row>
    <row r="821">
      <c r="A821" t="inlineStr">
        <is>
          <t>Makerere University</t>
        </is>
      </c>
      <c r="B821" t="inlineStr">
        <is>
          <t>Uganda</t>
        </is>
      </c>
      <c r="C821" t="inlineStr">
        <is>
          <t>901-950</t>
        </is>
      </c>
      <c r="D821" t="inlineStr"/>
      <c r="E821" t="n">
        <v>11</v>
      </c>
      <c r="F821" t="n">
        <v>4.2</v>
      </c>
      <c r="G821" t="n">
        <v>3.4</v>
      </c>
      <c r="H821" t="n">
        <v>4.5</v>
      </c>
      <c r="I821" t="n">
        <v>9.6</v>
      </c>
      <c r="J821" t="n">
        <v>7.5</v>
      </c>
      <c r="K821" t="n">
        <v>64.8</v>
      </c>
      <c r="L821" t="n">
        <v>98.3</v>
      </c>
      <c r="M821" t="n">
        <v>3.5</v>
      </c>
      <c r="N821" t="inlineStr">
        <is>
          <t>801–1000</t>
        </is>
      </c>
      <c r="O821" t="inlineStr">
        <is>
          <t>32.7–36.9</t>
        </is>
      </c>
      <c r="P821" t="n">
        <v>23.4</v>
      </c>
      <c r="Q821" t="n">
        <v>25.3</v>
      </c>
      <c r="R821" t="n">
        <v>39.6</v>
      </c>
      <c r="S821" t="n">
        <v>52.1</v>
      </c>
      <c r="T821" t="n">
        <v>68.09999999999999</v>
      </c>
      <c r="U821" t="inlineStr">
        <is>
          <t>29,510</t>
        </is>
      </c>
      <c r="V821" t="n">
        <v>19.2</v>
      </c>
      <c r="W821" t="inlineStr">
        <is>
          <t>3%</t>
        </is>
      </c>
      <c r="X821" t="inlineStr">
        <is>
          <t>46 : 54</t>
        </is>
      </c>
      <c r="Y821" t="n">
        <v>901</v>
      </c>
      <c r="Z821" t="n">
        <v>801</v>
      </c>
      <c r="AA821" t="n">
        <v>34.8</v>
      </c>
      <c r="AB821" t="inlineStr">
        <is>
          <t>U0820</t>
        </is>
      </c>
      <c r="AC821" t="inlineStr">
        <is>
          <t>UG</t>
        </is>
      </c>
      <c r="AD821" t="n">
        <v>34.8</v>
      </c>
      <c r="AE821" t="n">
        <v>4.5</v>
      </c>
      <c r="AF821" t="n">
        <v>19.2</v>
      </c>
      <c r="AG821" t="inlineStr">
        <is>
          <t>1:19.2</t>
        </is>
      </c>
      <c r="AH821" t="inlineStr">
        <is>
          <t>3%</t>
        </is>
      </c>
      <c r="AI821" t="n">
        <v>11</v>
      </c>
      <c r="AJ821" t="n">
        <v>24.49</v>
      </c>
    </row>
    <row r="822">
      <c r="A822" t="inlineStr">
        <is>
          <t>Malaviya National Institute of Technology</t>
        </is>
      </c>
      <c r="B822" t="inlineStr">
        <is>
          <t>India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>
        <is>
          <t>601–800</t>
        </is>
      </c>
      <c r="O822" t="inlineStr">
        <is>
          <t>37.0–41.8</t>
        </is>
      </c>
      <c r="P822" t="n">
        <v>29.9</v>
      </c>
      <c r="Q822" t="n">
        <v>15.6</v>
      </c>
      <c r="R822" t="n">
        <v>76.5</v>
      </c>
      <c r="S822" t="n">
        <v>19.8</v>
      </c>
      <c r="T822" t="n">
        <v>20.3</v>
      </c>
      <c r="U822" t="inlineStr">
        <is>
          <t>4,715</t>
        </is>
      </c>
      <c r="V822" t="n">
        <v>17.3</v>
      </c>
      <c r="W822" t="inlineStr">
        <is>
          <t>0%</t>
        </is>
      </c>
      <c r="X822" t="inlineStr">
        <is>
          <t>31 : 69</t>
        </is>
      </c>
      <c r="Y822" t="inlineStr"/>
      <c r="Z822" t="n">
        <v>601</v>
      </c>
      <c r="AA822" t="n">
        <v>39.4</v>
      </c>
      <c r="AB822" t="inlineStr">
        <is>
          <t>U0821</t>
        </is>
      </c>
      <c r="AC822" t="inlineStr">
        <is>
          <t>IN</t>
        </is>
      </c>
      <c r="AD822" t="n">
        <v>39.4</v>
      </c>
      <c r="AE822" t="n">
        <v>76.5</v>
      </c>
      <c r="AF822" t="n">
        <v>17.3</v>
      </c>
      <c r="AG822" t="inlineStr">
        <is>
          <t>1:17.3</t>
        </is>
      </c>
      <c r="AH822" t="inlineStr">
        <is>
          <t>0%</t>
        </is>
      </c>
      <c r="AI822" t="inlineStr"/>
      <c r="AJ822" t="n">
        <v>29.66</v>
      </c>
    </row>
    <row r="823">
      <c r="A823" t="inlineStr">
        <is>
          <t>Management and Science University</t>
        </is>
      </c>
      <c r="B823" t="inlineStr">
        <is>
          <t>Malaysia</t>
        </is>
      </c>
      <c r="C823" t="inlineStr">
        <is>
          <t>580</t>
        </is>
      </c>
      <c r="D823" t="n">
        <v>21.3</v>
      </c>
      <c r="E823" t="n">
        <v>15.1</v>
      </c>
      <c r="F823" t="n">
        <v>18.1</v>
      </c>
      <c r="G823" t="n">
        <v>40.2</v>
      </c>
      <c r="H823" t="n">
        <v>1.8</v>
      </c>
      <c r="I823" t="n">
        <v>97.3</v>
      </c>
      <c r="J823" t="n">
        <v>99.40000000000001</v>
      </c>
      <c r="K823" t="n">
        <v>12.1</v>
      </c>
      <c r="L823" t="n">
        <v>4.2</v>
      </c>
      <c r="M823" t="n">
        <v>1.2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n">
        <v>580</v>
      </c>
      <c r="Z823" t="inlineStr"/>
      <c r="AA823" t="inlineStr"/>
      <c r="AB823" t="inlineStr">
        <is>
          <t>U0822</t>
        </is>
      </c>
      <c r="AC823" t="inlineStr">
        <is>
          <t>MA</t>
        </is>
      </c>
      <c r="AD823" t="n">
        <v>21.3</v>
      </c>
      <c r="AE823" t="n">
        <v>1.8</v>
      </c>
      <c r="AF823" t="inlineStr"/>
      <c r="AG823" t="inlineStr"/>
      <c r="AH823" t="inlineStr"/>
      <c r="AI823" t="n">
        <v>15.1</v>
      </c>
      <c r="AJ823" t="n">
        <v>13.93</v>
      </c>
    </row>
    <row r="824">
      <c r="A824" t="inlineStr">
        <is>
          <t>Manchester Metropolitan University (MMU)</t>
        </is>
      </c>
      <c r="B824" t="inlineStr">
        <is>
          <t>United Kingdom</t>
        </is>
      </c>
      <c r="C824" t="inlineStr">
        <is>
          <t>601-610</t>
        </is>
      </c>
      <c r="D824" t="inlineStr"/>
      <c r="E824" t="n">
        <v>11.8</v>
      </c>
      <c r="F824" t="n">
        <v>12.6</v>
      </c>
      <c r="G824" t="n">
        <v>8.1</v>
      </c>
      <c r="H824" t="n">
        <v>10.1</v>
      </c>
      <c r="I824" t="n">
        <v>42.9</v>
      </c>
      <c r="J824" t="n">
        <v>37.7</v>
      </c>
      <c r="K824" t="n">
        <v>91.7</v>
      </c>
      <c r="L824" t="n">
        <v>12.3</v>
      </c>
      <c r="M824" t="n">
        <v>79.59999999999999</v>
      </c>
      <c r="N824" t="inlineStr">
        <is>
          <t>501–600</t>
        </is>
      </c>
      <c r="O824" t="inlineStr">
        <is>
          <t>41.9–45.3</t>
        </is>
      </c>
      <c r="P824" t="n">
        <v>20.5</v>
      </c>
      <c r="Q824" t="n">
        <v>18.5</v>
      </c>
      <c r="R824" t="n">
        <v>77.40000000000001</v>
      </c>
      <c r="S824" t="n">
        <v>57.7</v>
      </c>
      <c r="T824" t="n">
        <v>80.59999999999999</v>
      </c>
      <c r="U824" t="inlineStr">
        <is>
          <t>30,985</t>
        </is>
      </c>
      <c r="V824" t="n">
        <v>17.4</v>
      </c>
      <c r="W824" t="inlineStr">
        <is>
          <t>19%</t>
        </is>
      </c>
      <c r="X824" t="inlineStr">
        <is>
          <t>58 : 42</t>
        </is>
      </c>
      <c r="Y824" t="n">
        <v>601</v>
      </c>
      <c r="Z824" t="n">
        <v>501</v>
      </c>
      <c r="AA824" t="n">
        <v>43.59999999999999</v>
      </c>
      <c r="AB824" t="inlineStr">
        <is>
          <t>U0823</t>
        </is>
      </c>
      <c r="AC824" t="inlineStr">
        <is>
          <t>UN</t>
        </is>
      </c>
      <c r="AD824" t="n">
        <v>43.59999999999999</v>
      </c>
      <c r="AE824" t="n">
        <v>10.1</v>
      </c>
      <c r="AF824" t="n">
        <v>17.4</v>
      </c>
      <c r="AG824" t="inlineStr">
        <is>
          <t>1:17.4</t>
        </is>
      </c>
      <c r="AH824" t="inlineStr">
        <is>
          <t>19%</t>
        </is>
      </c>
      <c r="AI824" t="n">
        <v>11.8</v>
      </c>
      <c r="AJ824" t="n">
        <v>25.64</v>
      </c>
    </row>
    <row r="825">
      <c r="A825" t="inlineStr">
        <is>
          <t>Manipal Academy of Higher Education</t>
        </is>
      </c>
      <c r="B825" t="inlineStr">
        <is>
          <t>India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>
        <is>
          <t>601–800</t>
        </is>
      </c>
      <c r="O825" t="inlineStr">
        <is>
          <t>37.0–41.8</t>
        </is>
      </c>
      <c r="P825" t="n">
        <v>45</v>
      </c>
      <c r="Q825" t="n">
        <v>18.5</v>
      </c>
      <c r="R825" t="n">
        <v>46.3</v>
      </c>
      <c r="S825" t="n">
        <v>44.9</v>
      </c>
      <c r="T825" t="n">
        <v>48.3</v>
      </c>
      <c r="U825" t="inlineStr">
        <is>
          <t>23,602</t>
        </is>
      </c>
      <c r="V825" t="n">
        <v>9.1</v>
      </c>
      <c r="W825" t="inlineStr">
        <is>
          <t>12%</t>
        </is>
      </c>
      <c r="X825" t="inlineStr">
        <is>
          <t>47 : 53</t>
        </is>
      </c>
      <c r="Y825" t="inlineStr"/>
      <c r="Z825" t="n">
        <v>601</v>
      </c>
      <c r="AA825" t="n">
        <v>39.4</v>
      </c>
      <c r="AB825" t="inlineStr">
        <is>
          <t>U0824</t>
        </is>
      </c>
      <c r="AC825" t="inlineStr">
        <is>
          <t>IN</t>
        </is>
      </c>
      <c r="AD825" t="n">
        <v>39.4</v>
      </c>
      <c r="AE825" t="n">
        <v>46.3</v>
      </c>
      <c r="AF825" t="n">
        <v>9.1</v>
      </c>
      <c r="AG825" t="inlineStr">
        <is>
          <t>1:9.1</t>
        </is>
      </c>
      <c r="AH825" t="inlineStr">
        <is>
          <t>12%</t>
        </is>
      </c>
      <c r="AI825" t="inlineStr"/>
      <c r="AJ825" t="n">
        <v>28.8</v>
      </c>
    </row>
    <row r="826">
      <c r="A826" t="inlineStr">
        <is>
          <t>Manipal Academy of Higher Education, Manipal, Karnataka, India</t>
        </is>
      </c>
      <c r="B826" t="inlineStr">
        <is>
          <t>India</t>
        </is>
      </c>
      <c r="C826" t="inlineStr">
        <is>
          <t>901-950</t>
        </is>
      </c>
      <c r="D826" t="inlineStr"/>
      <c r="E826" t="n">
        <v>10.9</v>
      </c>
      <c r="F826" t="n">
        <v>8.199999999999999</v>
      </c>
      <c r="G826" t="n">
        <v>42.9</v>
      </c>
      <c r="H826" t="n">
        <v>4.4</v>
      </c>
      <c r="I826" t="n">
        <v>1.8</v>
      </c>
      <c r="J826" t="n">
        <v>7.7</v>
      </c>
      <c r="K826" t="n">
        <v>61.2</v>
      </c>
      <c r="L826" t="n">
        <v>6.2</v>
      </c>
      <c r="M826" t="n">
        <v>16.5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n">
        <v>901</v>
      </c>
      <c r="Z826" t="inlineStr"/>
      <c r="AA826" t="inlineStr"/>
      <c r="AB826" t="inlineStr">
        <is>
          <t>U0825</t>
        </is>
      </c>
      <c r="AC826" t="inlineStr">
        <is>
          <t>IN</t>
        </is>
      </c>
      <c r="AD826" t="inlineStr"/>
      <c r="AE826" t="n">
        <v>4.4</v>
      </c>
      <c r="AF826" t="inlineStr"/>
      <c r="AG826" t="inlineStr"/>
      <c r="AH826" t="inlineStr"/>
      <c r="AI826" t="n">
        <v>10.9</v>
      </c>
      <c r="AJ826" t="n">
        <v>14.72</v>
      </c>
    </row>
    <row r="827">
      <c r="A827" t="inlineStr">
        <is>
          <t>Manipal University Jaipur</t>
        </is>
      </c>
      <c r="B827" t="inlineStr">
        <is>
          <t>India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>
        <is>
          <t>1201–1500</t>
        </is>
      </c>
      <c r="O827" t="inlineStr">
        <is>
          <t>22.8–28.2</t>
        </is>
      </c>
      <c r="P827" t="n">
        <v>19.5</v>
      </c>
      <c r="Q827" t="n">
        <v>14.2</v>
      </c>
      <c r="R827" t="n">
        <v>51.9</v>
      </c>
      <c r="S827" t="n">
        <v>23.9</v>
      </c>
      <c r="T827" t="n">
        <v>24</v>
      </c>
      <c r="U827" t="inlineStr">
        <is>
          <t>8,361</t>
        </is>
      </c>
      <c r="V827" t="n">
        <v>14.9</v>
      </c>
      <c r="W827" t="inlineStr">
        <is>
          <t>3%</t>
        </is>
      </c>
      <c r="X827" t="inlineStr">
        <is>
          <t>43 : 57</t>
        </is>
      </c>
      <c r="Y827" t="inlineStr"/>
      <c r="Z827" t="n">
        <v>1201</v>
      </c>
      <c r="AA827" t="n">
        <v>25.5</v>
      </c>
      <c r="AB827" t="inlineStr">
        <is>
          <t>U0826</t>
        </is>
      </c>
      <c r="AC827" t="inlineStr">
        <is>
          <t>IN</t>
        </is>
      </c>
      <c r="AD827" t="n">
        <v>25.5</v>
      </c>
      <c r="AE827" t="n">
        <v>51.9</v>
      </c>
      <c r="AF827" t="n">
        <v>14.9</v>
      </c>
      <c r="AG827" t="inlineStr">
        <is>
          <t>1:14.9</t>
        </is>
      </c>
      <c r="AH827" t="inlineStr">
        <is>
          <t>3%</t>
        </is>
      </c>
      <c r="AI827" t="inlineStr"/>
      <c r="AJ827" t="n">
        <v>22.37</v>
      </c>
    </row>
    <row r="828">
      <c r="A828" t="inlineStr">
        <is>
          <t>Manisa Celal Bayar University</t>
        </is>
      </c>
      <c r="B828" t="inlineStr">
        <is>
          <t>Turkey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>
        <is>
          <t>1501+</t>
        </is>
      </c>
      <c r="O828" t="inlineStr">
        <is>
          <t>9.7–22.7</t>
        </is>
      </c>
      <c r="P828" t="n">
        <v>14.9</v>
      </c>
      <c r="Q828" t="n">
        <v>5.2</v>
      </c>
      <c r="R828" t="n">
        <v>21.6</v>
      </c>
      <c r="S828" t="n">
        <v>16.7</v>
      </c>
      <c r="T828" t="n">
        <v>22</v>
      </c>
      <c r="U828" t="inlineStr">
        <is>
          <t>28,224</t>
        </is>
      </c>
      <c r="V828" t="n">
        <v>17.9</v>
      </c>
      <c r="W828" t="inlineStr">
        <is>
          <t>3%</t>
        </is>
      </c>
      <c r="X828" t="inlineStr">
        <is>
          <t>48 : 52</t>
        </is>
      </c>
      <c r="Y828" t="inlineStr"/>
      <c r="Z828" t="n">
        <v>1501</v>
      </c>
      <c r="AA828" t="n">
        <v>16.2</v>
      </c>
      <c r="AB828" t="inlineStr">
        <is>
          <t>U0827</t>
        </is>
      </c>
      <c r="AC828" t="inlineStr">
        <is>
          <t>TU</t>
        </is>
      </c>
      <c r="AD828" t="n">
        <v>16.2</v>
      </c>
      <c r="AE828" t="n">
        <v>21.6</v>
      </c>
      <c r="AF828" t="n">
        <v>17.9</v>
      </c>
      <c r="AG828" t="inlineStr">
        <is>
          <t>1:17.9</t>
        </is>
      </c>
      <c r="AH828" t="inlineStr">
        <is>
          <t>3%</t>
        </is>
      </c>
      <c r="AI828" t="inlineStr"/>
      <c r="AJ828" t="n">
        <v>7.98</v>
      </c>
    </row>
    <row r="829">
      <c r="A829" t="inlineStr">
        <is>
          <t>Mansoura University</t>
        </is>
      </c>
      <c r="B829" t="inlineStr">
        <is>
          <t>Egypt</t>
        </is>
      </c>
      <c r="C829" t="inlineStr">
        <is>
          <t>951-1000</t>
        </is>
      </c>
      <c r="D829" t="inlineStr"/>
      <c r="E829" t="n">
        <v>14.1</v>
      </c>
      <c r="F829" t="n">
        <v>12</v>
      </c>
      <c r="G829" t="n">
        <v>3.3</v>
      </c>
      <c r="H829" t="n">
        <v>2.6</v>
      </c>
      <c r="I829" t="n">
        <v>6.7</v>
      </c>
      <c r="J829" t="n">
        <v>5.7</v>
      </c>
      <c r="K829" t="n">
        <v>74.7</v>
      </c>
      <c r="L829" t="n">
        <v>4.4</v>
      </c>
      <c r="M829" t="n">
        <v>40.4</v>
      </c>
      <c r="N829" t="inlineStr">
        <is>
          <t>801–1000</t>
        </is>
      </c>
      <c r="O829" t="inlineStr">
        <is>
          <t>32.7–36.9</t>
        </is>
      </c>
      <c r="P829" t="n">
        <v>19.5</v>
      </c>
      <c r="Q829" t="n">
        <v>12.4</v>
      </c>
      <c r="R829" t="n">
        <v>68.09999999999999</v>
      </c>
      <c r="S829" t="n">
        <v>31.8</v>
      </c>
      <c r="T829" t="n">
        <v>74.09999999999999</v>
      </c>
      <c r="U829" t="inlineStr">
        <is>
          <t>174,302</t>
        </is>
      </c>
      <c r="V829" t="n">
        <v>40.2</v>
      </c>
      <c r="W829" t="inlineStr">
        <is>
          <t>4%</t>
        </is>
      </c>
      <c r="X829" t="inlineStr">
        <is>
          <t>50 : 50</t>
        </is>
      </c>
      <c r="Y829" t="n">
        <v>951</v>
      </c>
      <c r="Z829" t="n">
        <v>801</v>
      </c>
      <c r="AA829" t="n">
        <v>34.8</v>
      </c>
      <c r="AB829" t="inlineStr">
        <is>
          <t>U0828</t>
        </is>
      </c>
      <c r="AC829" t="inlineStr">
        <is>
          <t>EG</t>
        </is>
      </c>
      <c r="AD829" t="n">
        <v>34.8</v>
      </c>
      <c r="AE829" t="n">
        <v>2.6</v>
      </c>
      <c r="AF829" t="n">
        <v>40.2</v>
      </c>
      <c r="AG829" t="inlineStr">
        <is>
          <t>1:40.2</t>
        </is>
      </c>
      <c r="AH829" t="inlineStr">
        <is>
          <t>4%</t>
        </is>
      </c>
      <c r="AI829" t="n">
        <v>14.1</v>
      </c>
      <c r="AJ829" t="n">
        <v>18.6</v>
      </c>
    </row>
    <row r="830">
      <c r="A830" t="inlineStr">
        <is>
          <t>Marche Polytechnic University</t>
        </is>
      </c>
      <c r="B830" t="inlineStr">
        <is>
          <t>Italy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>
        <is>
          <t>601–800</t>
        </is>
      </c>
      <c r="O830" t="inlineStr">
        <is>
          <t>37.0–41.8</t>
        </is>
      </c>
      <c r="P830" t="n">
        <v>23.2</v>
      </c>
      <c r="Q830" t="n">
        <v>22.6</v>
      </c>
      <c r="R830" t="n">
        <v>75.59999999999999</v>
      </c>
      <c r="S830" t="n">
        <v>64.90000000000001</v>
      </c>
      <c r="T830" t="n">
        <v>36</v>
      </c>
      <c r="U830" t="inlineStr">
        <is>
          <t>14,332</t>
        </is>
      </c>
      <c r="V830" t="n">
        <v>28.9</v>
      </c>
      <c r="W830" t="inlineStr">
        <is>
          <t>5%</t>
        </is>
      </c>
      <c r="X830" t="inlineStr">
        <is>
          <t>47 : 53</t>
        </is>
      </c>
      <c r="Y830" t="inlineStr"/>
      <c r="Z830" t="n">
        <v>601</v>
      </c>
      <c r="AA830" t="n">
        <v>39.4</v>
      </c>
      <c r="AB830" t="inlineStr">
        <is>
          <t>U0829</t>
        </is>
      </c>
      <c r="AC830" t="inlineStr">
        <is>
          <t>IT</t>
        </is>
      </c>
      <c r="AD830" t="n">
        <v>39.4</v>
      </c>
      <c r="AE830" t="n">
        <v>75.59999999999999</v>
      </c>
      <c r="AF830" t="n">
        <v>28.9</v>
      </c>
      <c r="AG830" t="inlineStr">
        <is>
          <t>1:28.9</t>
        </is>
      </c>
      <c r="AH830" t="inlineStr">
        <is>
          <t>5%</t>
        </is>
      </c>
      <c r="AI830" t="inlineStr"/>
      <c r="AJ830" t="n">
        <v>36.85</v>
      </c>
    </row>
    <row r="831">
      <c r="A831" t="inlineStr">
        <is>
          <t>Maria Curie-Skłodowska University (UMCS)</t>
        </is>
      </c>
      <c r="B831" t="inlineStr">
        <is>
          <t>Poland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>
        <is>
          <t>1501+</t>
        </is>
      </c>
      <c r="O831" t="inlineStr">
        <is>
          <t>9.7–22.7</t>
        </is>
      </c>
      <c r="P831" t="n">
        <v>21.6</v>
      </c>
      <c r="Q831" t="n">
        <v>19.3</v>
      </c>
      <c r="R831" t="n">
        <v>22.4</v>
      </c>
      <c r="S831" t="n">
        <v>22.7</v>
      </c>
      <c r="T831" t="n">
        <v>33.4</v>
      </c>
      <c r="U831" t="inlineStr">
        <is>
          <t>16,937</t>
        </is>
      </c>
      <c r="V831" t="n">
        <v>11.7</v>
      </c>
      <c r="W831" t="inlineStr">
        <is>
          <t>9%</t>
        </is>
      </c>
      <c r="X831" t="inlineStr">
        <is>
          <t>68 : 32</t>
        </is>
      </c>
      <c r="Y831" t="inlineStr"/>
      <c r="Z831" t="n">
        <v>1501</v>
      </c>
      <c r="AA831" t="n">
        <v>16.2</v>
      </c>
      <c r="AB831" t="inlineStr">
        <is>
          <t>U0830</t>
        </is>
      </c>
      <c r="AC831" t="inlineStr">
        <is>
          <t>PO</t>
        </is>
      </c>
      <c r="AD831" t="n">
        <v>16.2</v>
      </c>
      <c r="AE831" t="n">
        <v>22.4</v>
      </c>
      <c r="AF831" t="n">
        <v>11.7</v>
      </c>
      <c r="AG831" t="inlineStr">
        <is>
          <t>1:11.7</t>
        </is>
      </c>
      <c r="AH831" t="inlineStr">
        <is>
          <t>9%</t>
        </is>
      </c>
      <c r="AI831" t="inlineStr"/>
      <c r="AJ831" t="n">
        <v>18.37</v>
      </c>
    </row>
    <row r="832">
      <c r="A832" t="inlineStr">
        <is>
          <t>Marmara University</t>
        </is>
      </c>
      <c r="B832" t="inlineStr">
        <is>
          <t>Turkey</t>
        </is>
      </c>
      <c r="C832" t="inlineStr">
        <is>
          <t>1001-1200</t>
        </is>
      </c>
      <c r="D832" t="inlineStr"/>
      <c r="E832" t="n">
        <v>8.1</v>
      </c>
      <c r="F832" t="n">
        <v>11.4</v>
      </c>
      <c r="G832" t="n">
        <v>4.4</v>
      </c>
      <c r="H832" t="n">
        <v>2.4</v>
      </c>
      <c r="I832" t="n">
        <v>2.9</v>
      </c>
      <c r="J832" t="n">
        <v>4.2</v>
      </c>
      <c r="K832" t="n">
        <v>45.3</v>
      </c>
      <c r="L832" t="n">
        <v>23.9</v>
      </c>
      <c r="M832" t="n">
        <v>2.7</v>
      </c>
      <c r="N832" t="inlineStr">
        <is>
          <t>1501+</t>
        </is>
      </c>
      <c r="O832" t="inlineStr">
        <is>
          <t>9.7–22.7</t>
        </is>
      </c>
      <c r="P832" t="n">
        <v>17</v>
      </c>
      <c r="Q832" t="n">
        <v>11.7</v>
      </c>
      <c r="R832" t="n">
        <v>31.9</v>
      </c>
      <c r="S832" t="n">
        <v>26.9</v>
      </c>
      <c r="T832" t="n">
        <v>30.7</v>
      </c>
      <c r="U832" t="inlineStr">
        <is>
          <t>62,991</t>
        </is>
      </c>
      <c r="V832" t="n">
        <v>30.6</v>
      </c>
      <c r="W832" t="inlineStr">
        <is>
          <t>5%</t>
        </is>
      </c>
      <c r="X832" t="inlineStr">
        <is>
          <t>51 : 49</t>
        </is>
      </c>
      <c r="Y832" t="n">
        <v>1001</v>
      </c>
      <c r="Z832" t="n">
        <v>1501</v>
      </c>
      <c r="AA832" t="n">
        <v>16.2</v>
      </c>
      <c r="AB832" t="inlineStr">
        <is>
          <t>U0831</t>
        </is>
      </c>
      <c r="AC832" t="inlineStr">
        <is>
          <t>TU</t>
        </is>
      </c>
      <c r="AD832" t="n">
        <v>16.2</v>
      </c>
      <c r="AE832" t="n">
        <v>2.4</v>
      </c>
      <c r="AF832" t="n">
        <v>30.6</v>
      </c>
      <c r="AG832" t="inlineStr">
        <is>
          <t>1:30.6</t>
        </is>
      </c>
      <c r="AH832" t="inlineStr">
        <is>
          <t>5%</t>
        </is>
      </c>
      <c r="AI832" t="n">
        <v>8.1</v>
      </c>
      <c r="AJ832" t="n">
        <v>7.68</v>
      </c>
    </row>
    <row r="833">
      <c r="A833" t="inlineStr">
        <is>
          <t>Marquette University</t>
        </is>
      </c>
      <c r="B833" t="inlineStr">
        <is>
          <t>United States</t>
        </is>
      </c>
      <c r="C833" t="inlineStr">
        <is>
          <t>1201-1400</t>
        </is>
      </c>
      <c r="D833" t="inlineStr"/>
      <c r="E833" t="n">
        <v>3.4</v>
      </c>
      <c r="F833" t="n">
        <v>2.4</v>
      </c>
      <c r="G833" t="n">
        <v>21.1</v>
      </c>
      <c r="H833" t="n">
        <v>9.1</v>
      </c>
      <c r="I833" t="n">
        <v>6.2</v>
      </c>
      <c r="J833" t="n">
        <v>2.7</v>
      </c>
      <c r="K833" t="n">
        <v>35.6</v>
      </c>
      <c r="L833" t="n">
        <v>11.2</v>
      </c>
      <c r="M833" t="n">
        <v>1.2</v>
      </c>
      <c r="N833" t="inlineStr">
        <is>
          <t>801–1000</t>
        </is>
      </c>
      <c r="O833" t="inlineStr">
        <is>
          <t>32.7–36.9</t>
        </is>
      </c>
      <c r="P833" t="n">
        <v>36.9</v>
      </c>
      <c r="Q833" t="n">
        <v>18.2</v>
      </c>
      <c r="R833" t="n">
        <v>54</v>
      </c>
      <c r="S833" t="n">
        <v>49.3</v>
      </c>
      <c r="T833" t="n">
        <v>33.1</v>
      </c>
      <c r="U833" t="inlineStr">
        <is>
          <t>10,317</t>
        </is>
      </c>
      <c r="V833" t="n">
        <v>12.2</v>
      </c>
      <c r="W833" t="inlineStr">
        <is>
          <t>3%</t>
        </is>
      </c>
      <c r="X833" t="inlineStr">
        <is>
          <t>58 : 42</t>
        </is>
      </c>
      <c r="Y833" t="n">
        <v>1201</v>
      </c>
      <c r="Z833" t="n">
        <v>801</v>
      </c>
      <c r="AA833" t="n">
        <v>34.8</v>
      </c>
      <c r="AB833" t="inlineStr">
        <is>
          <t>U0832</t>
        </is>
      </c>
      <c r="AC833" t="inlineStr">
        <is>
          <t>UN</t>
        </is>
      </c>
      <c r="AD833" t="n">
        <v>34.8</v>
      </c>
      <c r="AE833" t="n">
        <v>9.1</v>
      </c>
      <c r="AF833" t="n">
        <v>12.2</v>
      </c>
      <c r="AG833" t="inlineStr">
        <is>
          <t>1:12.2</t>
        </is>
      </c>
      <c r="AH833" t="inlineStr">
        <is>
          <t>3%</t>
        </is>
      </c>
      <c r="AI833" t="n">
        <v>3.4</v>
      </c>
      <c r="AJ833" t="n">
        <v>13.69</v>
      </c>
    </row>
    <row r="834">
      <c r="A834" t="inlineStr">
        <is>
          <t>Martin-Luther-Universität Halle-Wittenberg</t>
        </is>
      </c>
      <c r="B834" t="inlineStr">
        <is>
          <t>Germany</t>
        </is>
      </c>
      <c r="C834" t="inlineStr">
        <is>
          <t>671-680</t>
        </is>
      </c>
      <c r="D834" t="inlineStr"/>
      <c r="E834" t="n">
        <v>13.1</v>
      </c>
      <c r="F834" t="n">
        <v>6.4</v>
      </c>
      <c r="G834" t="n">
        <v>80.09999999999999</v>
      </c>
      <c r="H834" t="n">
        <v>7.4</v>
      </c>
      <c r="I834" t="inlineStr"/>
      <c r="J834" t="n">
        <v>8.800000000000001</v>
      </c>
      <c r="K834" t="n">
        <v>90</v>
      </c>
      <c r="L834" t="n">
        <v>4.8</v>
      </c>
      <c r="M834" t="n">
        <v>6.2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n">
        <v>671</v>
      </c>
      <c r="Z834" t="inlineStr"/>
      <c r="AA834" t="inlineStr"/>
      <c r="AB834" t="inlineStr">
        <is>
          <t>U0833</t>
        </is>
      </c>
      <c r="AC834" t="inlineStr">
        <is>
          <t>GE</t>
        </is>
      </c>
      <c r="AD834" t="inlineStr"/>
      <c r="AE834" t="n">
        <v>7.4</v>
      </c>
      <c r="AF834" t="inlineStr"/>
      <c r="AG834" t="inlineStr"/>
      <c r="AH834" t="inlineStr"/>
      <c r="AI834" t="n">
        <v>13.1</v>
      </c>
      <c r="AJ834" t="n">
        <v>15.63</v>
      </c>
    </row>
    <row r="835">
      <c r="A835" t="inlineStr">
        <is>
          <t>Masaryk University</t>
        </is>
      </c>
      <c r="B835" t="inlineStr">
        <is>
          <t>Czech Republic</t>
        </is>
      </c>
      <c r="C835" t="inlineStr">
        <is>
          <t>408</t>
        </is>
      </c>
      <c r="D835" t="n">
        <v>29.1</v>
      </c>
      <c r="E835" t="n">
        <v>23.5</v>
      </c>
      <c r="F835" t="n">
        <v>31.7</v>
      </c>
      <c r="G835" t="n">
        <v>9.5</v>
      </c>
      <c r="H835" t="n">
        <v>13.8</v>
      </c>
      <c r="I835" t="n">
        <v>27.6</v>
      </c>
      <c r="J835" t="n">
        <v>66.7</v>
      </c>
      <c r="K835" t="n">
        <v>80.2</v>
      </c>
      <c r="L835" t="n">
        <v>36</v>
      </c>
      <c r="M835" t="n">
        <v>79.09999999999999</v>
      </c>
      <c r="N835" t="inlineStr">
        <is>
          <t>601–800</t>
        </is>
      </c>
      <c r="O835" t="inlineStr">
        <is>
          <t>37.0–41.8</t>
        </is>
      </c>
      <c r="P835" t="n">
        <v>25.9</v>
      </c>
      <c r="Q835" t="n">
        <v>31</v>
      </c>
      <c r="R835" t="n">
        <v>50.1</v>
      </c>
      <c r="S835" t="n">
        <v>41.7</v>
      </c>
      <c r="T835" t="n">
        <v>66.3</v>
      </c>
      <c r="U835" t="inlineStr">
        <is>
          <t>32,789</t>
        </is>
      </c>
      <c r="V835" t="n">
        <v>18.4</v>
      </c>
      <c r="W835" t="inlineStr">
        <is>
          <t>23%</t>
        </is>
      </c>
      <c r="X835" t="inlineStr">
        <is>
          <t>62 : 38</t>
        </is>
      </c>
      <c r="Y835" t="n">
        <v>408</v>
      </c>
      <c r="Z835" t="n">
        <v>601</v>
      </c>
      <c r="AA835" t="n">
        <v>39.4</v>
      </c>
      <c r="AB835" t="inlineStr">
        <is>
          <t>U0834</t>
        </is>
      </c>
      <c r="AC835" t="inlineStr">
        <is>
          <t>CZ</t>
        </is>
      </c>
      <c r="AD835" t="n">
        <v>29.1</v>
      </c>
      <c r="AE835" t="n">
        <v>13.8</v>
      </c>
      <c r="AF835" t="n">
        <v>18.4</v>
      </c>
      <c r="AG835" t="inlineStr">
        <is>
          <t>1:18.4</t>
        </is>
      </c>
      <c r="AH835" t="inlineStr">
        <is>
          <t>23%</t>
        </is>
      </c>
      <c r="AI835" t="n">
        <v>23.5</v>
      </c>
      <c r="AJ835" t="n">
        <v>29.86</v>
      </c>
    </row>
    <row r="836">
      <c r="A836" t="inlineStr">
        <is>
          <t>Mashhad University of Medical Sciences</t>
        </is>
      </c>
      <c r="B836" t="inlineStr">
        <is>
          <t>Iran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>
        <is>
          <t>601–800</t>
        </is>
      </c>
      <c r="O836" t="inlineStr">
        <is>
          <t>37.0–41.8</t>
        </is>
      </c>
      <c r="P836" t="n">
        <v>34.9</v>
      </c>
      <c r="Q836" t="n">
        <v>14.7</v>
      </c>
      <c r="R836" t="n">
        <v>63.9</v>
      </c>
      <c r="S836" t="n">
        <v>28.5</v>
      </c>
      <c r="T836" t="n">
        <v>29.7</v>
      </c>
      <c r="U836" t="inlineStr">
        <is>
          <t>8,666</t>
        </is>
      </c>
      <c r="V836" t="n">
        <v>9</v>
      </c>
      <c r="W836" t="inlineStr">
        <is>
          <t>4%</t>
        </is>
      </c>
      <c r="X836" t="inlineStr">
        <is>
          <t>57 : 43</t>
        </is>
      </c>
      <c r="Y836" t="inlineStr"/>
      <c r="Z836" t="n">
        <v>601</v>
      </c>
      <c r="AA836" t="n">
        <v>39.4</v>
      </c>
      <c r="AB836" t="inlineStr">
        <is>
          <t>U0835</t>
        </is>
      </c>
      <c r="AC836" t="inlineStr">
        <is>
          <t>IR</t>
        </is>
      </c>
      <c r="AD836" t="n">
        <v>39.4</v>
      </c>
      <c r="AE836" t="n">
        <v>63.9</v>
      </c>
      <c r="AF836" t="n">
        <v>9</v>
      </c>
      <c r="AG836" t="inlineStr">
        <is>
          <t>1:9.0</t>
        </is>
      </c>
      <c r="AH836" t="inlineStr">
        <is>
          <t>4%</t>
        </is>
      </c>
      <c r="AI836" t="inlineStr"/>
      <c r="AJ836" t="n">
        <v>27.64</v>
      </c>
    </row>
    <row r="837">
      <c r="A837" t="inlineStr">
        <is>
          <t xml:space="preserve">Massachusetts Institute of Technology (MIT) </t>
        </is>
      </c>
      <c r="B837" t="inlineStr">
        <is>
          <t>United States</t>
        </is>
      </c>
      <c r="C837" t="inlineStr">
        <is>
          <t>1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100</v>
      </c>
      <c r="I837" t="n">
        <v>99.3</v>
      </c>
      <c r="J837" t="n">
        <v>86.8</v>
      </c>
      <c r="K837" t="n">
        <v>96</v>
      </c>
      <c r="L837" t="n">
        <v>100</v>
      </c>
      <c r="M837" t="n">
        <v>99</v>
      </c>
      <c r="N837" t="inlineStr">
        <is>
          <t>3</t>
        </is>
      </c>
      <c r="O837" t="inlineStr">
        <is>
          <t>97.9</t>
        </is>
      </c>
      <c r="P837" t="n">
        <v>98.59999999999999</v>
      </c>
      <c r="Q837" t="n">
        <v>96.2</v>
      </c>
      <c r="R837" t="n">
        <v>99.7</v>
      </c>
      <c r="S837" t="n">
        <v>100</v>
      </c>
      <c r="T837" t="n">
        <v>93.8</v>
      </c>
      <c r="U837" t="inlineStr">
        <is>
          <t>11,085</t>
        </is>
      </c>
      <c r="V837" t="n">
        <v>8</v>
      </c>
      <c r="W837" t="inlineStr">
        <is>
          <t>33%</t>
        </is>
      </c>
      <c r="X837" t="inlineStr">
        <is>
          <t>41 : 59</t>
        </is>
      </c>
      <c r="Y837" t="n">
        <v>1</v>
      </c>
      <c r="Z837" t="n">
        <v>3</v>
      </c>
      <c r="AA837" t="n">
        <v>97.90000000000001</v>
      </c>
      <c r="AB837" t="inlineStr">
        <is>
          <t>U0836</t>
        </is>
      </c>
      <c r="AC837" t="inlineStr">
        <is>
          <t>UN</t>
        </is>
      </c>
      <c r="AD837" t="n">
        <v>100</v>
      </c>
      <c r="AE837" t="n">
        <v>100</v>
      </c>
      <c r="AF837" t="n">
        <v>8</v>
      </c>
      <c r="AG837" t="inlineStr">
        <is>
          <t>1:8.0</t>
        </is>
      </c>
      <c r="AH837" t="inlineStr">
        <is>
          <t>33%</t>
        </is>
      </c>
      <c r="AI837" t="n">
        <v>100</v>
      </c>
      <c r="AJ837" t="n">
        <v>96.8</v>
      </c>
    </row>
    <row r="838">
      <c r="A838" t="inlineStr">
        <is>
          <t>Massey University</t>
        </is>
      </c>
      <c r="B838" t="inlineStr">
        <is>
          <t>New Zealand</t>
        </is>
      </c>
      <c r="C838" t="inlineStr">
        <is>
          <t>239</t>
        </is>
      </c>
      <c r="D838" t="n">
        <v>41.8</v>
      </c>
      <c r="E838" t="n">
        <v>30.1</v>
      </c>
      <c r="F838" t="n">
        <v>14</v>
      </c>
      <c r="G838" t="n">
        <v>48</v>
      </c>
      <c r="H838" t="n">
        <v>27.4</v>
      </c>
      <c r="I838" t="n">
        <v>98.5</v>
      </c>
      <c r="J838" t="n">
        <v>95.2</v>
      </c>
      <c r="K838" t="n">
        <v>85.09999999999999</v>
      </c>
      <c r="L838" t="n">
        <v>49.2</v>
      </c>
      <c r="M838" t="n">
        <v>91.40000000000001</v>
      </c>
      <c r="N838" t="inlineStr">
        <is>
          <t>501–600</t>
        </is>
      </c>
      <c r="O838" t="inlineStr">
        <is>
          <t>41.9–45.3</t>
        </is>
      </c>
      <c r="P838" t="n">
        <v>28.7</v>
      </c>
      <c r="Q838" t="n">
        <v>28.2</v>
      </c>
      <c r="R838" t="n">
        <v>60.5</v>
      </c>
      <c r="S838" t="n">
        <v>77.59999999999999</v>
      </c>
      <c r="T838" t="n">
        <v>87.5</v>
      </c>
      <c r="U838" t="inlineStr">
        <is>
          <t>17,883</t>
        </is>
      </c>
      <c r="V838" t="n">
        <v>17.4</v>
      </c>
      <c r="W838" t="inlineStr">
        <is>
          <t>27%</t>
        </is>
      </c>
      <c r="X838" t="inlineStr">
        <is>
          <t>64 : 36</t>
        </is>
      </c>
      <c r="Y838" t="n">
        <v>239</v>
      </c>
      <c r="Z838" t="n">
        <v>501</v>
      </c>
      <c r="AA838" t="n">
        <v>43.59999999999999</v>
      </c>
      <c r="AB838" t="inlineStr">
        <is>
          <t>U0837</t>
        </is>
      </c>
      <c r="AC838" t="inlineStr">
        <is>
          <t>NE</t>
        </is>
      </c>
      <c r="AD838" t="n">
        <v>41.8</v>
      </c>
      <c r="AE838" t="n">
        <v>27.4</v>
      </c>
      <c r="AF838" t="n">
        <v>17.4</v>
      </c>
      <c r="AG838" t="inlineStr">
        <is>
          <t>1:17.4</t>
        </is>
      </c>
      <c r="AH838" t="inlineStr">
        <is>
          <t>27%</t>
        </is>
      </c>
      <c r="AI838" t="n">
        <v>30.1</v>
      </c>
      <c r="AJ838" t="n">
        <v>37.64</v>
      </c>
    </row>
    <row r="839">
      <c r="A839" t="inlineStr">
        <is>
          <t>Matej Bel University</t>
        </is>
      </c>
      <c r="B839" t="inlineStr">
        <is>
          <t>Slovakia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>
        <is>
          <t>1501+</t>
        </is>
      </c>
      <c r="O839" t="inlineStr">
        <is>
          <t>9.7–22.7</t>
        </is>
      </c>
      <c r="P839" t="n">
        <v>19.4</v>
      </c>
      <c r="Q839" t="n">
        <v>13.9</v>
      </c>
      <c r="R839" t="n">
        <v>15.5</v>
      </c>
      <c r="S839" t="n">
        <v>16.4</v>
      </c>
      <c r="T839" t="n">
        <v>40.7</v>
      </c>
      <c r="U839" t="inlineStr">
        <is>
          <t>6,834</t>
        </is>
      </c>
      <c r="V839" t="n">
        <v>14.2</v>
      </c>
      <c r="W839" t="inlineStr">
        <is>
          <t>10%</t>
        </is>
      </c>
      <c r="X839" t="inlineStr">
        <is>
          <t>67 : 33</t>
        </is>
      </c>
      <c r="Y839" t="inlineStr"/>
      <c r="Z839" t="n">
        <v>1501</v>
      </c>
      <c r="AA839" t="n">
        <v>16.2</v>
      </c>
      <c r="AB839" t="inlineStr">
        <is>
          <t>U0838</t>
        </is>
      </c>
      <c r="AC839" t="inlineStr">
        <is>
          <t>SL</t>
        </is>
      </c>
      <c r="AD839" t="n">
        <v>16.2</v>
      </c>
      <c r="AE839" t="n">
        <v>15.5</v>
      </c>
      <c r="AF839" t="n">
        <v>14.2</v>
      </c>
      <c r="AG839" t="inlineStr">
        <is>
          <t>1:14.2</t>
        </is>
      </c>
      <c r="AH839" t="inlineStr">
        <is>
          <t>10%</t>
        </is>
      </c>
      <c r="AI839" t="inlineStr"/>
      <c r="AJ839" t="n">
        <v>15.22</v>
      </c>
    </row>
    <row r="840">
      <c r="A840" t="inlineStr">
        <is>
          <t>Maynooth University</t>
        </is>
      </c>
      <c r="B840" t="inlineStr">
        <is>
          <t>Ireland</t>
        </is>
      </c>
      <c r="C840" t="inlineStr">
        <is>
          <t>801-850</t>
        </is>
      </c>
      <c r="D840" t="inlineStr"/>
      <c r="E840" t="n">
        <v>10.4</v>
      </c>
      <c r="F840" t="n">
        <v>7.7</v>
      </c>
      <c r="G840" t="n">
        <v>9.199999999999999</v>
      </c>
      <c r="H840" t="n">
        <v>12.7</v>
      </c>
      <c r="I840" t="n">
        <v>87.40000000000001</v>
      </c>
      <c r="J840" t="n">
        <v>16.7</v>
      </c>
      <c r="K840" t="n">
        <v>48.5</v>
      </c>
      <c r="L840" t="n">
        <v>9.199999999999999</v>
      </c>
      <c r="M840" t="n">
        <v>6.4</v>
      </c>
      <c r="N840" t="inlineStr">
        <is>
          <t>401–500</t>
        </is>
      </c>
      <c r="O840" t="inlineStr">
        <is>
          <t>45.4–49.0</t>
        </is>
      </c>
      <c r="P840" t="n">
        <v>21.1</v>
      </c>
      <c r="Q840" t="n">
        <v>30.7</v>
      </c>
      <c r="R840" t="n">
        <v>77</v>
      </c>
      <c r="S840" t="n">
        <v>58.3</v>
      </c>
      <c r="T840" t="n">
        <v>74.8</v>
      </c>
      <c r="U840" t="inlineStr">
        <is>
          <t>11,885</t>
        </is>
      </c>
      <c r="V840" t="n">
        <v>28.5</v>
      </c>
      <c r="W840" t="inlineStr">
        <is>
          <t>12%</t>
        </is>
      </c>
      <c r="X840" t="inlineStr">
        <is>
          <t>56 : 44</t>
        </is>
      </c>
      <c r="Y840" t="n">
        <v>801</v>
      </c>
      <c r="Z840" t="n">
        <v>401</v>
      </c>
      <c r="AA840" t="n">
        <v>47.2</v>
      </c>
      <c r="AB840" t="inlineStr">
        <is>
          <t>U0839</t>
        </is>
      </c>
      <c r="AC840" t="inlineStr">
        <is>
          <t>IR</t>
        </is>
      </c>
      <c r="AD840" t="n">
        <v>47.2</v>
      </c>
      <c r="AE840" t="n">
        <v>12.7</v>
      </c>
      <c r="AF840" t="n">
        <v>28.5</v>
      </c>
      <c r="AG840" t="inlineStr">
        <is>
          <t>1:28.5</t>
        </is>
      </c>
      <c r="AH840" t="inlineStr">
        <is>
          <t>12%</t>
        </is>
      </c>
      <c r="AI840" t="n">
        <v>10.4</v>
      </c>
      <c r="AJ840" t="n">
        <v>31.42</v>
      </c>
    </row>
    <row r="841">
      <c r="A841" t="inlineStr">
        <is>
          <t>Mazandaran University of Medical Sciences</t>
        </is>
      </c>
      <c r="B841" t="inlineStr">
        <is>
          <t>Iran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>
        <is>
          <t>601–800</t>
        </is>
      </c>
      <c r="O841" t="inlineStr">
        <is>
          <t>37.0–41.8</t>
        </is>
      </c>
      <c r="P841" t="n">
        <v>44.1</v>
      </c>
      <c r="Q841" t="n">
        <v>12.4</v>
      </c>
      <c r="R841" t="n">
        <v>65.59999999999999</v>
      </c>
      <c r="S841" t="n">
        <v>28.1</v>
      </c>
      <c r="T841" t="n">
        <v>24.7</v>
      </c>
      <c r="U841" t="inlineStr">
        <is>
          <t>6,715</t>
        </is>
      </c>
      <c r="V841" t="n">
        <v>12.4</v>
      </c>
      <c r="W841" t="inlineStr">
        <is>
          <t>1%</t>
        </is>
      </c>
      <c r="X841" t="inlineStr">
        <is>
          <t>56 : 44</t>
        </is>
      </c>
      <c r="Y841" t="inlineStr"/>
      <c r="Z841" t="n">
        <v>601</v>
      </c>
      <c r="AA841" t="n">
        <v>39.4</v>
      </c>
      <c r="AB841" t="inlineStr">
        <is>
          <t>U0840</t>
        </is>
      </c>
      <c r="AC841" t="inlineStr">
        <is>
          <t>IR</t>
        </is>
      </c>
      <c r="AD841" t="n">
        <v>39.4</v>
      </c>
      <c r="AE841" t="n">
        <v>65.59999999999999</v>
      </c>
      <c r="AF841" t="n">
        <v>12.4</v>
      </c>
      <c r="AG841" t="inlineStr">
        <is>
          <t>1:12.4</t>
        </is>
      </c>
      <c r="AH841" t="inlineStr">
        <is>
          <t>1%</t>
        </is>
      </c>
      <c r="AI841" t="inlineStr"/>
      <c r="AJ841" t="n">
        <v>25.74</v>
      </c>
    </row>
    <row r="842">
      <c r="A842" t="inlineStr">
        <is>
          <t>McGill University</t>
        </is>
      </c>
      <c r="B842" t="inlineStr">
        <is>
          <t>Canada</t>
        </is>
      </c>
      <c r="C842" t="inlineStr">
        <is>
          <t>29</t>
        </is>
      </c>
      <c r="D842" t="n">
        <v>83</v>
      </c>
      <c r="E842" t="n">
        <v>94.3</v>
      </c>
      <c r="F842" t="n">
        <v>87.59999999999999</v>
      </c>
      <c r="G842" t="n">
        <v>62.3</v>
      </c>
      <c r="H842" t="n">
        <v>57.9</v>
      </c>
      <c r="I842" t="n">
        <v>83.7</v>
      </c>
      <c r="J842" t="n">
        <v>89.59999999999999</v>
      </c>
      <c r="K842" t="n">
        <v>94.2</v>
      </c>
      <c r="L842" t="n">
        <v>98.3</v>
      </c>
      <c r="M842" t="n">
        <v>99.09999999999999</v>
      </c>
      <c r="N842" t="inlineStr">
        <is>
          <t>49</t>
        </is>
      </c>
      <c r="O842" t="inlineStr">
        <is>
          <t>76.0</t>
        </is>
      </c>
      <c r="P842" t="n">
        <v>62.3</v>
      </c>
      <c r="Q842" t="n">
        <v>72.3</v>
      </c>
      <c r="R842" t="n">
        <v>88.8</v>
      </c>
      <c r="S842" t="n">
        <v>76.09999999999999</v>
      </c>
      <c r="T842" t="n">
        <v>92.5</v>
      </c>
      <c r="U842" t="inlineStr">
        <is>
          <t>30,821</t>
        </is>
      </c>
      <c r="V842" t="n">
        <v>11.9</v>
      </c>
      <c r="W842" t="inlineStr">
        <is>
          <t>29%</t>
        </is>
      </c>
      <c r="X842" t="inlineStr">
        <is>
          <t>61 : 39</t>
        </is>
      </c>
      <c r="Y842" t="n">
        <v>29</v>
      </c>
      <c r="Z842" t="n">
        <v>49</v>
      </c>
      <c r="AA842" t="n">
        <v>76</v>
      </c>
      <c r="AB842" t="inlineStr">
        <is>
          <t>U0841</t>
        </is>
      </c>
      <c r="AC842" t="inlineStr">
        <is>
          <t>CA</t>
        </is>
      </c>
      <c r="AD842" t="n">
        <v>83</v>
      </c>
      <c r="AE842" t="n">
        <v>57.9</v>
      </c>
      <c r="AF842" t="n">
        <v>11.9</v>
      </c>
      <c r="AG842" t="inlineStr">
        <is>
          <t>1:11.9</t>
        </is>
      </c>
      <c r="AH842" t="inlineStr">
        <is>
          <t>29%</t>
        </is>
      </c>
      <c r="AI842" t="n">
        <v>94.3</v>
      </c>
      <c r="AJ842" t="n">
        <v>71.2</v>
      </c>
    </row>
    <row r="843">
      <c r="A843" t="inlineStr">
        <is>
          <t>McMaster University</t>
        </is>
      </c>
      <c r="B843" t="inlineStr">
        <is>
          <t>Canada</t>
        </is>
      </c>
      <c r="C843" t="inlineStr">
        <is>
          <t>176</t>
        </is>
      </c>
      <c r="D843" t="n">
        <v>49</v>
      </c>
      <c r="E843" t="n">
        <v>39.5</v>
      </c>
      <c r="F843" t="n">
        <v>34.2</v>
      </c>
      <c r="G843" t="n">
        <v>63.8</v>
      </c>
      <c r="H843" t="n">
        <v>35.6</v>
      </c>
      <c r="I843" t="n">
        <v>96.2</v>
      </c>
      <c r="J843" t="n">
        <v>56.7</v>
      </c>
      <c r="K843" t="n">
        <v>82.59999999999999</v>
      </c>
      <c r="L843" t="n">
        <v>49.9</v>
      </c>
      <c r="M843" t="n">
        <v>91.90000000000001</v>
      </c>
      <c r="N843">
        <f>103</f>
        <v/>
      </c>
      <c r="O843" t="inlineStr">
        <is>
          <t>66.3</t>
        </is>
      </c>
      <c r="P843" t="n">
        <v>43.8</v>
      </c>
      <c r="Q843" t="n">
        <v>51.3</v>
      </c>
      <c r="R843" t="n">
        <v>93</v>
      </c>
      <c r="S843" t="n">
        <v>100</v>
      </c>
      <c r="T843" t="n">
        <v>87.3</v>
      </c>
      <c r="U843" t="inlineStr">
        <is>
          <t>28,254</t>
        </is>
      </c>
      <c r="V843" t="n">
        <v>30.9</v>
      </c>
      <c r="W843" t="inlineStr">
        <is>
          <t>22%</t>
        </is>
      </c>
      <c r="X843" t="inlineStr">
        <is>
          <t>56 : 44</t>
        </is>
      </c>
      <c r="Y843" t="n">
        <v>176</v>
      </c>
      <c r="Z843" t="n">
        <v>103</v>
      </c>
      <c r="AA843" t="n">
        <v>66.3</v>
      </c>
      <c r="AB843" t="inlineStr">
        <is>
          <t>U0842</t>
        </is>
      </c>
      <c r="AC843" t="inlineStr">
        <is>
          <t>CA</t>
        </is>
      </c>
      <c r="AD843" t="n">
        <v>49</v>
      </c>
      <c r="AE843" t="n">
        <v>35.6</v>
      </c>
      <c r="AF843" t="n">
        <v>30.9</v>
      </c>
      <c r="AG843" t="inlineStr">
        <is>
          <t>1:30.9</t>
        </is>
      </c>
      <c r="AH843" t="inlineStr">
        <is>
          <t>22%</t>
        </is>
      </c>
      <c r="AI843" t="n">
        <v>39.5</v>
      </c>
      <c r="AJ843" t="n">
        <v>52.18</v>
      </c>
    </row>
    <row r="844">
      <c r="A844" t="inlineStr">
        <is>
          <t>Medical University of Bialystok</t>
        </is>
      </c>
      <c r="B844" t="inlineStr">
        <is>
          <t>Poland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>
        <is>
          <t>1001–1200</t>
        </is>
      </c>
      <c r="O844" t="inlineStr">
        <is>
          <t>28.3–32.6</t>
        </is>
      </c>
      <c r="P844" t="n">
        <v>39</v>
      </c>
      <c r="Q844" t="n">
        <v>11.8</v>
      </c>
      <c r="R844" t="n">
        <v>40</v>
      </c>
      <c r="S844" t="n">
        <v>39.1</v>
      </c>
      <c r="T844" t="n">
        <v>29.9</v>
      </c>
      <c r="U844" t="inlineStr">
        <is>
          <t>5,705</t>
        </is>
      </c>
      <c r="V844" t="n">
        <v>13.1</v>
      </c>
      <c r="W844" t="inlineStr">
        <is>
          <t>8%</t>
        </is>
      </c>
      <c r="X844" t="inlineStr">
        <is>
          <t>77 : 23</t>
        </is>
      </c>
      <c r="Y844" t="inlineStr"/>
      <c r="Z844" t="n">
        <v>1001</v>
      </c>
      <c r="AA844" t="n">
        <v>30.45</v>
      </c>
      <c r="AB844" t="inlineStr">
        <is>
          <t>U0843</t>
        </is>
      </c>
      <c r="AC844" t="inlineStr">
        <is>
          <t>PO</t>
        </is>
      </c>
      <c r="AD844" t="n">
        <v>30.45</v>
      </c>
      <c r="AE844" t="n">
        <v>40</v>
      </c>
      <c r="AF844" t="n">
        <v>13.1</v>
      </c>
      <c r="AG844" t="inlineStr">
        <is>
          <t>1:13.1</t>
        </is>
      </c>
      <c r="AH844" t="inlineStr">
        <is>
          <t>8%</t>
        </is>
      </c>
      <c r="AI844" t="inlineStr"/>
      <c r="AJ844" t="n">
        <v>18.93</v>
      </c>
    </row>
    <row r="845">
      <c r="A845" t="inlineStr">
        <is>
          <t>Medical University of Gdańsk</t>
        </is>
      </c>
      <c r="B845" t="inlineStr">
        <is>
          <t>Poland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>
        <is>
          <t>1001–1200</t>
        </is>
      </c>
      <c r="O845" t="inlineStr">
        <is>
          <t>28.3–32.6</t>
        </is>
      </c>
      <c r="P845" t="n">
        <v>28.7</v>
      </c>
      <c r="Q845" t="n">
        <v>10.6</v>
      </c>
      <c r="R845" t="n">
        <v>47.9</v>
      </c>
      <c r="S845" t="n">
        <v>39.6</v>
      </c>
      <c r="T845" t="n">
        <v>43.8</v>
      </c>
      <c r="U845" t="inlineStr">
        <is>
          <t>6,340</t>
        </is>
      </c>
      <c r="V845" t="n">
        <v>5.4</v>
      </c>
      <c r="W845" t="inlineStr">
        <is>
          <t>17%</t>
        </is>
      </c>
      <c r="X845" t="inlineStr">
        <is>
          <t>73 : 27</t>
        </is>
      </c>
      <c r="Y845" t="inlineStr"/>
      <c r="Z845" t="n">
        <v>1001</v>
      </c>
      <c r="AA845" t="n">
        <v>30.45</v>
      </c>
      <c r="AB845" t="inlineStr">
        <is>
          <t>U0844</t>
        </is>
      </c>
      <c r="AC845" t="inlineStr">
        <is>
          <t>PO</t>
        </is>
      </c>
      <c r="AD845" t="n">
        <v>30.45</v>
      </c>
      <c r="AE845" t="n">
        <v>47.9</v>
      </c>
      <c r="AF845" t="n">
        <v>5.4</v>
      </c>
      <c r="AG845" t="inlineStr">
        <is>
          <t>1:5.4</t>
        </is>
      </c>
      <c r="AH845" t="inlineStr">
        <is>
          <t>17%</t>
        </is>
      </c>
      <c r="AI845" t="inlineStr"/>
      <c r="AJ845" t="n">
        <v>24.06</v>
      </c>
    </row>
    <row r="846">
      <c r="A846" t="inlineStr">
        <is>
          <t>Medical University of Graz</t>
        </is>
      </c>
      <c r="B846" t="inlineStr">
        <is>
          <t>Austria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>
        <is>
          <t>201–250</t>
        </is>
      </c>
      <c r="O846" t="inlineStr">
        <is>
          <t>55.9–58.6</t>
        </is>
      </c>
      <c r="P846" t="n">
        <v>32</v>
      </c>
      <c r="Q846" t="n">
        <v>33.5</v>
      </c>
      <c r="R846" t="n">
        <v>91.59999999999999</v>
      </c>
      <c r="S846" t="n">
        <v>94.90000000000001</v>
      </c>
      <c r="T846" t="n">
        <v>81.90000000000001</v>
      </c>
      <c r="U846" t="inlineStr">
        <is>
          <t>4,027</t>
        </is>
      </c>
      <c r="V846" t="n">
        <v>15.5</v>
      </c>
      <c r="W846" t="inlineStr">
        <is>
          <t>29%</t>
        </is>
      </c>
      <c r="X846" t="inlineStr">
        <is>
          <t>54 : 46</t>
        </is>
      </c>
      <c r="Y846" t="inlineStr"/>
      <c r="Z846" t="n">
        <v>201</v>
      </c>
      <c r="AA846" t="n">
        <v>57.25</v>
      </c>
      <c r="AB846" t="inlineStr">
        <is>
          <t>U0845</t>
        </is>
      </c>
      <c r="AC846" t="inlineStr">
        <is>
          <t>AU</t>
        </is>
      </c>
      <c r="AD846" t="n">
        <v>57.25</v>
      </c>
      <c r="AE846" t="n">
        <v>91.59999999999999</v>
      </c>
      <c r="AF846" t="n">
        <v>15.5</v>
      </c>
      <c r="AG846" t="inlineStr">
        <is>
          <t>1:15.5</t>
        </is>
      </c>
      <c r="AH846" t="inlineStr">
        <is>
          <t>29%</t>
        </is>
      </c>
      <c r="AI846" t="inlineStr"/>
      <c r="AJ846" t="n">
        <v>58.51</v>
      </c>
    </row>
    <row r="847">
      <c r="A847" t="inlineStr">
        <is>
          <t>Medical University of Innsbruck</t>
        </is>
      </c>
      <c r="B847" t="inlineStr">
        <is>
          <t>Austria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>
        <is>
          <t>251–300</t>
        </is>
      </c>
      <c r="O847" t="inlineStr">
        <is>
          <t>53.1–55.8</t>
        </is>
      </c>
      <c r="P847" t="n">
        <v>33.2</v>
      </c>
      <c r="Q847" t="n">
        <v>29.3</v>
      </c>
      <c r="R847" t="n">
        <v>89.59999999999999</v>
      </c>
      <c r="S847" t="n">
        <v>98.59999999999999</v>
      </c>
      <c r="T847" t="n">
        <v>88.3</v>
      </c>
      <c r="U847" t="inlineStr">
        <is>
          <t>3,337</t>
        </is>
      </c>
      <c r="V847" t="n">
        <v>12.9</v>
      </c>
      <c r="W847" t="inlineStr">
        <is>
          <t>44%</t>
        </is>
      </c>
      <c r="X847" t="inlineStr">
        <is>
          <t>55 : 45</t>
        </is>
      </c>
      <c r="Y847" t="inlineStr"/>
      <c r="Z847" t="n">
        <v>251</v>
      </c>
      <c r="AA847" t="n">
        <v>54.45</v>
      </c>
      <c r="AB847" t="inlineStr">
        <is>
          <t>U0846</t>
        </is>
      </c>
      <c r="AC847" t="inlineStr">
        <is>
          <t>AU</t>
        </is>
      </c>
      <c r="AD847" t="n">
        <v>54.45</v>
      </c>
      <c r="AE847" t="n">
        <v>89.59999999999999</v>
      </c>
      <c r="AF847" t="n">
        <v>12.9</v>
      </c>
      <c r="AG847" t="inlineStr">
        <is>
          <t>1:12.9</t>
        </is>
      </c>
      <c r="AH847" t="inlineStr">
        <is>
          <t>44%</t>
        </is>
      </c>
      <c r="AI847" t="inlineStr"/>
      <c r="AJ847" t="n">
        <v>57.25</v>
      </c>
    </row>
    <row r="848">
      <c r="A848" t="inlineStr">
        <is>
          <t>Medical University of Lodz</t>
        </is>
      </c>
      <c r="B848" t="inlineStr">
        <is>
          <t>Poland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>
        <is>
          <t>801–1000</t>
        </is>
      </c>
      <c r="O848" t="inlineStr">
        <is>
          <t>32.7–36.9</t>
        </is>
      </c>
      <c r="P848" t="n">
        <v>27.4</v>
      </c>
      <c r="Q848" t="n">
        <v>11</v>
      </c>
      <c r="R848" t="n">
        <v>67.59999999999999</v>
      </c>
      <c r="S848" t="n">
        <v>39.7</v>
      </c>
      <c r="T848" t="n">
        <v>32.3</v>
      </c>
      <c r="U848" t="inlineStr">
        <is>
          <t>10,237</t>
        </is>
      </c>
      <c r="V848" t="n">
        <v>8.4</v>
      </c>
      <c r="W848" t="inlineStr">
        <is>
          <t>9%</t>
        </is>
      </c>
      <c r="X848" t="inlineStr">
        <is>
          <t>70 : 30</t>
        </is>
      </c>
      <c r="Y848" t="inlineStr"/>
      <c r="Z848" t="n">
        <v>801</v>
      </c>
      <c r="AA848" t="n">
        <v>34.8</v>
      </c>
      <c r="AB848" t="inlineStr">
        <is>
          <t>U0847</t>
        </is>
      </c>
      <c r="AC848" t="inlineStr">
        <is>
          <t>PO</t>
        </is>
      </c>
      <c r="AD848" t="n">
        <v>34.8</v>
      </c>
      <c r="AE848" t="n">
        <v>67.59999999999999</v>
      </c>
      <c r="AF848" t="n">
        <v>8.4</v>
      </c>
      <c r="AG848" t="inlineStr">
        <is>
          <t>1:8.4</t>
        </is>
      </c>
      <c r="AH848" t="inlineStr">
        <is>
          <t>9%</t>
        </is>
      </c>
      <c r="AI848" t="inlineStr"/>
      <c r="AJ848" t="n">
        <v>27.45</v>
      </c>
    </row>
    <row r="849">
      <c r="A849" t="inlineStr">
        <is>
          <t>Medical University of Lublin</t>
        </is>
      </c>
      <c r="B849" t="inlineStr">
        <is>
          <t>Poland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>
        <is>
          <t>1201–1500</t>
        </is>
      </c>
      <c r="O849" t="inlineStr">
        <is>
          <t>22.8–28.2</t>
        </is>
      </c>
      <c r="P849" t="n">
        <v>30.5</v>
      </c>
      <c r="Q849" t="n">
        <v>12.3</v>
      </c>
      <c r="R849" t="n">
        <v>30.5</v>
      </c>
      <c r="S849" t="n">
        <v>36.1</v>
      </c>
      <c r="T849" t="n">
        <v>36.8</v>
      </c>
      <c r="U849" t="inlineStr">
        <is>
          <t>6,884</t>
        </is>
      </c>
      <c r="V849" t="n">
        <v>5.7</v>
      </c>
      <c r="W849" t="inlineStr">
        <is>
          <t>16%</t>
        </is>
      </c>
      <c r="X849" t="inlineStr">
        <is>
          <t>72 : 28</t>
        </is>
      </c>
      <c r="Y849" t="inlineStr"/>
      <c r="Z849" t="n">
        <v>1201</v>
      </c>
      <c r="AA849" t="n">
        <v>25.5</v>
      </c>
      <c r="AB849" t="inlineStr">
        <is>
          <t>U0848</t>
        </is>
      </c>
      <c r="AC849" t="inlineStr">
        <is>
          <t>PO</t>
        </is>
      </c>
      <c r="AD849" t="n">
        <v>25.5</v>
      </c>
      <c r="AE849" t="n">
        <v>30.5</v>
      </c>
      <c r="AF849" t="n">
        <v>5.7</v>
      </c>
      <c r="AG849" t="inlineStr">
        <is>
          <t>1:5.7</t>
        </is>
      </c>
      <c r="AH849" t="inlineStr">
        <is>
          <t>16%</t>
        </is>
      </c>
      <c r="AI849" t="inlineStr"/>
      <c r="AJ849" t="n">
        <v>17.98</v>
      </c>
    </row>
    <row r="850">
      <c r="A850" t="inlineStr">
        <is>
          <t>Medical University of Silesia in Katowice</t>
        </is>
      </c>
      <c r="B850" t="inlineStr">
        <is>
          <t>Poland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>
        <is>
          <t>1201–1500</t>
        </is>
      </c>
      <c r="O850" t="inlineStr">
        <is>
          <t>22.8–28.2</t>
        </is>
      </c>
      <c r="P850" t="n">
        <v>28.1</v>
      </c>
      <c r="Q850" t="n">
        <v>12.4</v>
      </c>
      <c r="R850" t="n">
        <v>31.1</v>
      </c>
      <c r="S850" t="n">
        <v>29</v>
      </c>
      <c r="T850" t="n">
        <v>24.7</v>
      </c>
      <c r="U850" t="inlineStr">
        <is>
          <t>10,237</t>
        </is>
      </c>
      <c r="V850" t="n">
        <v>7.3</v>
      </c>
      <c r="W850" t="inlineStr">
        <is>
          <t>5%</t>
        </is>
      </c>
      <c r="X850" t="inlineStr">
        <is>
          <t>74 : 26</t>
        </is>
      </c>
      <c r="Y850" t="inlineStr"/>
      <c r="Z850" t="n">
        <v>1201</v>
      </c>
      <c r="AA850" t="n">
        <v>25.5</v>
      </c>
      <c r="AB850" t="inlineStr">
        <is>
          <t>U0849</t>
        </is>
      </c>
      <c r="AC850" t="inlineStr">
        <is>
          <t>PO</t>
        </is>
      </c>
      <c r="AD850" t="n">
        <v>25.5</v>
      </c>
      <c r="AE850" t="n">
        <v>31.1</v>
      </c>
      <c r="AF850" t="n">
        <v>7.3</v>
      </c>
      <c r="AG850" t="inlineStr">
        <is>
          <t>1:7.3</t>
        </is>
      </c>
      <c r="AH850" t="inlineStr">
        <is>
          <t>5%</t>
        </is>
      </c>
      <c r="AI850" t="inlineStr"/>
      <c r="AJ850" t="n">
        <v>15.29</v>
      </c>
    </row>
    <row r="851">
      <c r="A851" t="inlineStr">
        <is>
          <t>Medical University of Sofia</t>
        </is>
      </c>
      <c r="B851" t="inlineStr">
        <is>
          <t>Bulgaria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>
        <is>
          <t>1201–1500</t>
        </is>
      </c>
      <c r="O851" t="inlineStr">
        <is>
          <t>22.8–28.2</t>
        </is>
      </c>
      <c r="P851" t="n">
        <v>30.8</v>
      </c>
      <c r="Q851" t="n">
        <v>13.5</v>
      </c>
      <c r="R851" t="n">
        <v>27.9</v>
      </c>
      <c r="S851" t="n">
        <v>48.8</v>
      </c>
      <c r="T851" t="n">
        <v>53.9</v>
      </c>
      <c r="U851" t="inlineStr">
        <is>
          <t>10,849</t>
        </is>
      </c>
      <c r="V851" t="n">
        <v>5.7</v>
      </c>
      <c r="W851" t="inlineStr">
        <is>
          <t>44%</t>
        </is>
      </c>
      <c r="X851" t="inlineStr">
        <is>
          <t>48 : 52</t>
        </is>
      </c>
      <c r="Y851" t="inlineStr"/>
      <c r="Z851" t="n">
        <v>1201</v>
      </c>
      <c r="AA851" t="n">
        <v>25.5</v>
      </c>
      <c r="AB851" t="inlineStr">
        <is>
          <t>U0850</t>
        </is>
      </c>
      <c r="AC851" t="inlineStr">
        <is>
          <t>BU</t>
        </is>
      </c>
      <c r="AD851" t="n">
        <v>25.5</v>
      </c>
      <c r="AE851" t="n">
        <v>27.9</v>
      </c>
      <c r="AF851" t="n">
        <v>5.7</v>
      </c>
      <c r="AG851" t="inlineStr">
        <is>
          <t>1:5.7</t>
        </is>
      </c>
      <c r="AH851" t="inlineStr">
        <is>
          <t>44%</t>
        </is>
      </c>
      <c r="AI851" t="inlineStr"/>
      <c r="AJ851" t="n">
        <v>21.96</v>
      </c>
    </row>
    <row r="852">
      <c r="A852" t="inlineStr">
        <is>
          <t>Medical University of Vienna</t>
        </is>
      </c>
      <c r="B852" t="inlineStr">
        <is>
          <t>Austria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>
        <is>
          <t>201–250</t>
        </is>
      </c>
      <c r="O852" t="inlineStr">
        <is>
          <t>55.9–58.6</t>
        </is>
      </c>
      <c r="P852" t="n">
        <v>40</v>
      </c>
      <c r="Q852" t="n">
        <v>28.7</v>
      </c>
      <c r="R852" t="n">
        <v>93.5</v>
      </c>
      <c r="S852" t="n">
        <v>94.09999999999999</v>
      </c>
      <c r="T852" t="n">
        <v>81.7</v>
      </c>
      <c r="U852" t="inlineStr">
        <is>
          <t>7,271</t>
        </is>
      </c>
      <c r="V852" t="n">
        <v>8.4</v>
      </c>
      <c r="W852" t="inlineStr">
        <is>
          <t>30%</t>
        </is>
      </c>
      <c r="X852" t="inlineStr">
        <is>
          <t>54 : 46</t>
        </is>
      </c>
      <c r="Y852" t="inlineStr"/>
      <c r="Z852" t="n">
        <v>201</v>
      </c>
      <c r="AA852" t="n">
        <v>57.25</v>
      </c>
      <c r="AB852" t="inlineStr">
        <is>
          <t>U0851</t>
        </is>
      </c>
      <c r="AC852" t="inlineStr">
        <is>
          <t>AU</t>
        </is>
      </c>
      <c r="AD852" t="n">
        <v>57.25</v>
      </c>
      <c r="AE852" t="n">
        <v>93.5</v>
      </c>
      <c r="AF852" t="n">
        <v>8.4</v>
      </c>
      <c r="AG852" t="inlineStr">
        <is>
          <t>1:8.4</t>
        </is>
      </c>
      <c r="AH852" t="inlineStr">
        <is>
          <t>30%</t>
        </is>
      </c>
      <c r="AI852" t="inlineStr"/>
      <c r="AJ852" t="n">
        <v>56.53</v>
      </c>
    </row>
    <row r="853">
      <c r="A853" t="inlineStr">
        <is>
          <t>Medical University of Warsaw</t>
        </is>
      </c>
      <c r="B853" t="inlineStr">
        <is>
          <t>Poland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>
        <is>
          <t>1001–1200</t>
        </is>
      </c>
      <c r="O853" t="inlineStr">
        <is>
          <t>28.3–32.6</t>
        </is>
      </c>
      <c r="P853" t="n">
        <v>26.5</v>
      </c>
      <c r="Q853" t="n">
        <v>13.5</v>
      </c>
      <c r="R853" t="n">
        <v>43.6</v>
      </c>
      <c r="S853" t="n">
        <v>43.3</v>
      </c>
      <c r="T853" t="n">
        <v>31</v>
      </c>
      <c r="U853" t="inlineStr">
        <is>
          <t>10,068</t>
        </is>
      </c>
      <c r="V853" t="n">
        <v>6.4</v>
      </c>
      <c r="W853" t="inlineStr">
        <is>
          <t>8%</t>
        </is>
      </c>
      <c r="X853" t="inlineStr">
        <is>
          <t>71 : 29</t>
        </is>
      </c>
      <c r="Y853" t="inlineStr"/>
      <c r="Z853" t="n">
        <v>1001</v>
      </c>
      <c r="AA853" t="n">
        <v>30.45</v>
      </c>
      <c r="AB853" t="inlineStr">
        <is>
          <t>U0852</t>
        </is>
      </c>
      <c r="AC853" t="inlineStr">
        <is>
          <t>PO</t>
        </is>
      </c>
      <c r="AD853" t="n">
        <v>30.45</v>
      </c>
      <c r="AE853" t="n">
        <v>43.6</v>
      </c>
      <c r="AF853" t="n">
        <v>6.4</v>
      </c>
      <c r="AG853" t="inlineStr">
        <is>
          <t>1:6.4</t>
        </is>
      </c>
      <c r="AH853" t="inlineStr">
        <is>
          <t>8%</t>
        </is>
      </c>
      <c r="AI853" t="inlineStr"/>
      <c r="AJ853" t="n">
        <v>21.18</v>
      </c>
    </row>
    <row r="854">
      <c r="A854" t="inlineStr">
        <is>
          <t>Mehran University of Engineering and Technology, Jamshoro, Pakistan</t>
        </is>
      </c>
      <c r="B854" t="inlineStr">
        <is>
          <t>Pakistan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>
        <is>
          <t>1001–1200</t>
        </is>
      </c>
      <c r="O854" t="inlineStr">
        <is>
          <t>28.3–32.6</t>
        </is>
      </c>
      <c r="P854" t="n">
        <v>17.1</v>
      </c>
      <c r="Q854" t="n">
        <v>8.1</v>
      </c>
      <c r="R854" t="n">
        <v>55.6</v>
      </c>
      <c r="S854" t="n">
        <v>16.9</v>
      </c>
      <c r="T854" t="n">
        <v>50</v>
      </c>
      <c r="U854" t="inlineStr">
        <is>
          <t>9,704</t>
        </is>
      </c>
      <c r="V854" t="n">
        <v>19.9</v>
      </c>
      <c r="W854" t="inlineStr">
        <is>
          <t>0%</t>
        </is>
      </c>
      <c r="X854" t="inlineStr">
        <is>
          <t>21 : 79</t>
        </is>
      </c>
      <c r="Y854" t="inlineStr"/>
      <c r="Z854" t="n">
        <v>1001</v>
      </c>
      <c r="AA854" t="n">
        <v>30.45</v>
      </c>
      <c r="AB854" t="inlineStr">
        <is>
          <t>U0853</t>
        </is>
      </c>
      <c r="AC854" t="inlineStr">
        <is>
          <t>PA</t>
        </is>
      </c>
      <c r="AD854" t="n">
        <v>30.45</v>
      </c>
      <c r="AE854" t="n">
        <v>55.6</v>
      </c>
      <c r="AF854" t="n">
        <v>19.9</v>
      </c>
      <c r="AG854" t="inlineStr">
        <is>
          <t>1:19.9</t>
        </is>
      </c>
      <c r="AH854" t="inlineStr">
        <is>
          <t>0%</t>
        </is>
      </c>
      <c r="AI854" t="inlineStr"/>
      <c r="AJ854" t="n">
        <v>26.58</v>
      </c>
    </row>
    <row r="855">
      <c r="A855" t="inlineStr">
        <is>
          <t>Meiji University</t>
        </is>
      </c>
      <c r="B855" t="inlineStr">
        <is>
          <t>Japan</t>
        </is>
      </c>
      <c r="C855" t="inlineStr">
        <is>
          <t>1201-1400</t>
        </is>
      </c>
      <c r="D855" t="inlineStr"/>
      <c r="E855" t="n">
        <v>6.7</v>
      </c>
      <c r="F855" t="n">
        <v>19.2</v>
      </c>
      <c r="G855" t="n">
        <v>4.4</v>
      </c>
      <c r="H855" t="n">
        <v>1.6</v>
      </c>
      <c r="I855" t="n">
        <v>10.5</v>
      </c>
      <c r="J855" t="n">
        <v>4.6</v>
      </c>
      <c r="K855" t="n">
        <v>13.4</v>
      </c>
      <c r="L855" t="n">
        <v>17.3</v>
      </c>
      <c r="M855" t="n">
        <v>1.1</v>
      </c>
      <c r="N855" t="inlineStr">
        <is>
          <t>1501+</t>
        </is>
      </c>
      <c r="O855" t="inlineStr">
        <is>
          <t>9.7–22.7</t>
        </is>
      </c>
      <c r="P855" t="n">
        <v>16.3</v>
      </c>
      <c r="Q855" t="n">
        <v>12.1</v>
      </c>
      <c r="R855" t="n">
        <v>13.5</v>
      </c>
      <c r="S855" t="n">
        <v>40.8</v>
      </c>
      <c r="T855" t="n">
        <v>31.4</v>
      </c>
      <c r="U855" t="inlineStr">
        <is>
          <t>32,810</t>
        </is>
      </c>
      <c r="V855" t="n">
        <v>34</v>
      </c>
      <c r="W855" t="inlineStr">
        <is>
          <t>5%</t>
        </is>
      </c>
      <c r="X855" t="inlineStr">
        <is>
          <t>35 : 65</t>
        </is>
      </c>
      <c r="Y855" t="n">
        <v>1201</v>
      </c>
      <c r="Z855" t="n">
        <v>1501</v>
      </c>
      <c r="AA855" t="n">
        <v>16.2</v>
      </c>
      <c r="AB855" t="inlineStr">
        <is>
          <t>U0854</t>
        </is>
      </c>
      <c r="AC855" t="inlineStr">
        <is>
          <t>JA</t>
        </is>
      </c>
      <c r="AD855" t="n">
        <v>16.2</v>
      </c>
      <c r="AE855" t="n">
        <v>1.6</v>
      </c>
      <c r="AF855" t="n">
        <v>34</v>
      </c>
      <c r="AG855" t="inlineStr">
        <is>
          <t>1:34.0</t>
        </is>
      </c>
      <c r="AH855" t="inlineStr">
        <is>
          <t>5%</t>
        </is>
      </c>
      <c r="AI855" t="n">
        <v>6.7</v>
      </c>
      <c r="AJ855" t="n">
        <v>7.81</v>
      </c>
    </row>
    <row r="856">
      <c r="A856" t="inlineStr">
        <is>
          <t>Meijo University</t>
        </is>
      </c>
      <c r="B856" t="inlineStr">
        <is>
          <t>Japan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>
        <is>
          <t>1501+</t>
        </is>
      </c>
      <c r="O856" t="inlineStr">
        <is>
          <t>9.7–22.7</t>
        </is>
      </c>
      <c r="P856" t="n">
        <v>14.5</v>
      </c>
      <c r="Q856" t="n">
        <v>12.1</v>
      </c>
      <c r="R856" t="n">
        <v>11.6</v>
      </c>
      <c r="S856" t="n">
        <v>42.8</v>
      </c>
      <c r="T856" t="n">
        <v>27.3</v>
      </c>
      <c r="U856" t="inlineStr">
        <is>
          <t>15,000</t>
        </is>
      </c>
      <c r="V856" t="n">
        <v>30.7</v>
      </c>
      <c r="W856" t="inlineStr">
        <is>
          <t>1%</t>
        </is>
      </c>
      <c r="X856" t="inlineStr">
        <is>
          <t>34 : 66</t>
        </is>
      </c>
      <c r="Y856" t="inlineStr"/>
      <c r="Z856" t="n">
        <v>1501</v>
      </c>
      <c r="AA856" t="n">
        <v>16.2</v>
      </c>
      <c r="AB856" t="inlineStr">
        <is>
          <t>U0855</t>
        </is>
      </c>
      <c r="AC856" t="inlineStr">
        <is>
          <t>JA</t>
        </is>
      </c>
      <c r="AD856" t="n">
        <v>16.2</v>
      </c>
      <c r="AE856" t="n">
        <v>11.6</v>
      </c>
      <c r="AF856" t="n">
        <v>30.7</v>
      </c>
      <c r="AG856" t="inlineStr">
        <is>
          <t>1:30.7</t>
        </is>
      </c>
      <c r="AH856" t="inlineStr">
        <is>
          <t>1%</t>
        </is>
      </c>
      <c r="AI856" t="inlineStr"/>
      <c r="AJ856" t="n">
        <v>9.85</v>
      </c>
    </row>
    <row r="857">
      <c r="A857" t="inlineStr">
        <is>
          <t>Memorial University of Newfoundland</t>
        </is>
      </c>
      <c r="B857" t="inlineStr">
        <is>
          <t>Canada</t>
        </is>
      </c>
      <c r="C857" t="inlineStr">
        <is>
          <t>661-670</t>
        </is>
      </c>
      <c r="D857" t="inlineStr"/>
      <c r="E857" t="n">
        <v>7.2</v>
      </c>
      <c r="F857" t="n">
        <v>5.9</v>
      </c>
      <c r="G857" t="n">
        <v>10.1</v>
      </c>
      <c r="H857" t="n">
        <v>28.6</v>
      </c>
      <c r="I857" t="n">
        <v>23.9</v>
      </c>
      <c r="J857" t="n">
        <v>78.40000000000001</v>
      </c>
      <c r="K857" t="n">
        <v>74.09999999999999</v>
      </c>
      <c r="L857" t="n">
        <v>12.1</v>
      </c>
      <c r="M857" t="n">
        <v>16.9</v>
      </c>
      <c r="N857" t="inlineStr">
        <is>
          <t>501–600</t>
        </is>
      </c>
      <c r="O857" t="inlineStr">
        <is>
          <t>41.9–45.3</t>
        </is>
      </c>
      <c r="P857" t="n">
        <v>27.5</v>
      </c>
      <c r="Q857" t="n">
        <v>24.5</v>
      </c>
      <c r="R857" t="n">
        <v>60.9</v>
      </c>
      <c r="S857" t="n">
        <v>83.2</v>
      </c>
      <c r="T857" t="n">
        <v>85.7</v>
      </c>
      <c r="U857" t="inlineStr">
        <is>
          <t>16,318</t>
        </is>
      </c>
      <c r="V857" t="n">
        <v>15.1</v>
      </c>
      <c r="W857" t="inlineStr">
        <is>
          <t>23%</t>
        </is>
      </c>
      <c r="X857" t="inlineStr">
        <is>
          <t>55 : 45</t>
        </is>
      </c>
      <c r="Y857" t="n">
        <v>661</v>
      </c>
      <c r="Z857" t="n">
        <v>501</v>
      </c>
      <c r="AA857" t="n">
        <v>43.59999999999999</v>
      </c>
      <c r="AB857" t="inlineStr">
        <is>
          <t>U0856</t>
        </is>
      </c>
      <c r="AC857" t="inlineStr">
        <is>
          <t>CA</t>
        </is>
      </c>
      <c r="AD857" t="n">
        <v>43.59999999999999</v>
      </c>
      <c r="AE857" t="n">
        <v>28.6</v>
      </c>
      <c r="AF857" t="n">
        <v>15.1</v>
      </c>
      <c r="AG857" t="inlineStr">
        <is>
          <t>1:15.1</t>
        </is>
      </c>
      <c r="AH857" t="inlineStr">
        <is>
          <t>23%</t>
        </is>
      </c>
      <c r="AI857" t="n">
        <v>7.2</v>
      </c>
      <c r="AJ857" t="n">
        <v>35.63</v>
      </c>
    </row>
    <row r="858">
      <c r="A858" t="inlineStr">
        <is>
          <t>Mendel University in Brno</t>
        </is>
      </c>
      <c r="B858" t="inlineStr">
        <is>
          <t>Czech Republic</t>
        </is>
      </c>
      <c r="C858" t="inlineStr">
        <is>
          <t>851-900</t>
        </is>
      </c>
      <c r="D858" t="inlineStr"/>
      <c r="E858" t="n">
        <v>6.2</v>
      </c>
      <c r="F858" t="n">
        <v>6.5</v>
      </c>
      <c r="G858" t="n">
        <v>55.1</v>
      </c>
      <c r="H858" t="n">
        <v>4.1</v>
      </c>
      <c r="I858" t="n">
        <v>11.2</v>
      </c>
      <c r="J858" t="n">
        <v>32.1</v>
      </c>
      <c r="K858" t="n">
        <v>59.1</v>
      </c>
      <c r="L858" t="n">
        <v>3.8</v>
      </c>
      <c r="M858" t="n">
        <v>1.2</v>
      </c>
      <c r="N858" t="inlineStr">
        <is>
          <t>1201–1500</t>
        </is>
      </c>
      <c r="O858" t="inlineStr">
        <is>
          <t>22.8–28.2</t>
        </is>
      </c>
      <c r="P858" t="n">
        <v>20.9</v>
      </c>
      <c r="Q858" t="n">
        <v>19.4</v>
      </c>
      <c r="R858" t="n">
        <v>36.8</v>
      </c>
      <c r="S858" t="n">
        <v>21</v>
      </c>
      <c r="T858" t="n">
        <v>55.1</v>
      </c>
      <c r="U858" t="inlineStr">
        <is>
          <t>9,019</t>
        </is>
      </c>
      <c r="V858" t="n">
        <v>16.3</v>
      </c>
      <c r="W858" t="inlineStr">
        <is>
          <t>17%</t>
        </is>
      </c>
      <c r="X858" t="inlineStr">
        <is>
          <t>57 : 43</t>
        </is>
      </c>
      <c r="Y858" t="n">
        <v>851</v>
      </c>
      <c r="Z858" t="n">
        <v>1201</v>
      </c>
      <c r="AA858" t="n">
        <v>25.5</v>
      </c>
      <c r="AB858" t="inlineStr">
        <is>
          <t>U0857</t>
        </is>
      </c>
      <c r="AC858" t="inlineStr">
        <is>
          <t>CZ</t>
        </is>
      </c>
      <c r="AD858" t="n">
        <v>25.5</v>
      </c>
      <c r="AE858" t="n">
        <v>4.1</v>
      </c>
      <c r="AF858" t="n">
        <v>16.3</v>
      </c>
      <c r="AG858" t="inlineStr">
        <is>
          <t>1:16.3</t>
        </is>
      </c>
      <c r="AH858" t="inlineStr">
        <is>
          <t>17%</t>
        </is>
      </c>
      <c r="AI858" t="n">
        <v>6.2</v>
      </c>
      <c r="AJ858" t="n">
        <v>18.13</v>
      </c>
    </row>
    <row r="859">
      <c r="A859" t="inlineStr">
        <is>
          <t>Mendeleev University of Chemical Technology</t>
        </is>
      </c>
      <c r="B859" t="inlineStr">
        <is>
          <t>Russian Federation</t>
        </is>
      </c>
      <c r="C859" t="inlineStr">
        <is>
          <t>1201-1400</t>
        </is>
      </c>
      <c r="D859" t="inlineStr"/>
      <c r="E859" t="n">
        <v>4.5</v>
      </c>
      <c r="F859" t="n">
        <v>3.9</v>
      </c>
      <c r="G859" t="n">
        <v>24.2</v>
      </c>
      <c r="H859" t="n">
        <v>2.8</v>
      </c>
      <c r="I859" t="n">
        <v>1.1</v>
      </c>
      <c r="J859" t="n">
        <v>9.1</v>
      </c>
      <c r="K859" t="n">
        <v>15.3</v>
      </c>
      <c r="L859" t="n">
        <v>8.800000000000001</v>
      </c>
      <c r="M859" t="n">
        <v>1</v>
      </c>
      <c r="N859" t="inlineStr">
        <is>
          <t>1501+</t>
        </is>
      </c>
      <c r="O859" t="inlineStr">
        <is>
          <t>9.7–22.7</t>
        </is>
      </c>
      <c r="P859" t="n">
        <v>19.6</v>
      </c>
      <c r="Q859" t="n">
        <v>14.1</v>
      </c>
      <c r="R859" t="n">
        <v>14.3</v>
      </c>
      <c r="S859" t="n">
        <v>43.4</v>
      </c>
      <c r="T859" t="n">
        <v>23.6</v>
      </c>
      <c r="U859" t="inlineStr">
        <is>
          <t>7,338</t>
        </is>
      </c>
      <c r="V859" t="n">
        <v>14.9</v>
      </c>
      <c r="W859" t="inlineStr">
        <is>
          <t>6%</t>
        </is>
      </c>
      <c r="X859" t="inlineStr">
        <is>
          <t>56 : 44</t>
        </is>
      </c>
      <c r="Y859" t="n">
        <v>1201</v>
      </c>
      <c r="Z859" t="n">
        <v>1501</v>
      </c>
      <c r="AA859" t="n">
        <v>16.2</v>
      </c>
      <c r="AB859" t="inlineStr">
        <is>
          <t>U0858</t>
        </is>
      </c>
      <c r="AC859" t="inlineStr">
        <is>
          <t>RU</t>
        </is>
      </c>
      <c r="AD859" t="n">
        <v>16.2</v>
      </c>
      <c r="AE859" t="n">
        <v>2.8</v>
      </c>
      <c r="AF859" t="n">
        <v>14.9</v>
      </c>
      <c r="AG859" t="inlineStr">
        <is>
          <t>1:14.9</t>
        </is>
      </c>
      <c r="AH859" t="inlineStr">
        <is>
          <t>6%</t>
        </is>
      </c>
      <c r="AI859" t="n">
        <v>4.5</v>
      </c>
      <c r="AJ859" t="n">
        <v>7.34</v>
      </c>
    </row>
    <row r="860">
      <c r="A860" t="inlineStr">
        <is>
          <t>Metropolitan Autonomous University</t>
        </is>
      </c>
      <c r="B860" t="inlineStr">
        <is>
          <t>Mexico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>
        <is>
          <t>1201–1500</t>
        </is>
      </c>
      <c r="O860" t="inlineStr">
        <is>
          <t>22.8–28.2</t>
        </is>
      </c>
      <c r="P860" t="n">
        <v>19.9</v>
      </c>
      <c r="Q860" t="n">
        <v>23.9</v>
      </c>
      <c r="R860" t="n">
        <v>22.8</v>
      </c>
      <c r="S860" t="n">
        <v>28.6</v>
      </c>
      <c r="T860" t="n">
        <v>29.2</v>
      </c>
      <c r="U860" t="inlineStr">
        <is>
          <t>60,865</t>
        </is>
      </c>
      <c r="V860" t="n">
        <v>42.1</v>
      </c>
      <c r="W860" t="inlineStr">
        <is>
          <t>1%</t>
        </is>
      </c>
      <c r="X860" t="inlineStr">
        <is>
          <t>50 : 50</t>
        </is>
      </c>
      <c r="Y860" t="inlineStr"/>
      <c r="Z860" t="n">
        <v>1201</v>
      </c>
      <c r="AA860" t="n">
        <v>25.5</v>
      </c>
      <c r="AB860" t="inlineStr">
        <is>
          <t>U0859</t>
        </is>
      </c>
      <c r="AC860" t="inlineStr">
        <is>
          <t>ME</t>
        </is>
      </c>
      <c r="AD860" t="n">
        <v>25.5</v>
      </c>
      <c r="AE860" t="n">
        <v>22.8</v>
      </c>
      <c r="AF860" t="n">
        <v>42.1</v>
      </c>
      <c r="AG860" t="inlineStr">
        <is>
          <t>1:42.1</t>
        </is>
      </c>
      <c r="AH860" t="inlineStr">
        <is>
          <t>1%</t>
        </is>
      </c>
      <c r="AI860" t="inlineStr"/>
      <c r="AJ860" t="n">
        <v>19.89</v>
      </c>
    </row>
    <row r="861">
      <c r="A861" t="inlineStr">
        <is>
          <t>MGIMO University</t>
        </is>
      </c>
      <c r="B861" t="inlineStr">
        <is>
          <t>Russian Federation</t>
        </is>
      </c>
      <c r="C861" t="inlineStr">
        <is>
          <t>567</t>
        </is>
      </c>
      <c r="D861" t="n">
        <v>21.9</v>
      </c>
      <c r="E861" t="n">
        <v>9.800000000000001</v>
      </c>
      <c r="F861" t="n">
        <v>25.4</v>
      </c>
      <c r="G861" t="n">
        <v>100</v>
      </c>
      <c r="H861" t="n">
        <v>1.3</v>
      </c>
      <c r="I861" t="n">
        <v>11.3</v>
      </c>
      <c r="J861" t="n">
        <v>41.3</v>
      </c>
      <c r="K861" t="n">
        <v>5.7</v>
      </c>
      <c r="L861" t="n">
        <v>60</v>
      </c>
      <c r="M861" t="n">
        <v>1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n">
        <v>567</v>
      </c>
      <c r="Z861" t="inlineStr"/>
      <c r="AA861" t="inlineStr"/>
      <c r="AB861" t="inlineStr">
        <is>
          <t>U0860</t>
        </is>
      </c>
      <c r="AC861" t="inlineStr">
        <is>
          <t>RU</t>
        </is>
      </c>
      <c r="AD861" t="n">
        <v>21.9</v>
      </c>
      <c r="AE861" t="n">
        <v>1.3</v>
      </c>
      <c r="AF861" t="inlineStr"/>
      <c r="AG861" t="inlineStr"/>
      <c r="AH861" t="inlineStr"/>
      <c r="AI861" t="n">
        <v>9.800000000000001</v>
      </c>
      <c r="AJ861" t="n">
        <v>13.78</v>
      </c>
    </row>
    <row r="862">
      <c r="A862" t="inlineStr">
        <is>
          <t>Miami University</t>
        </is>
      </c>
      <c r="B862" t="inlineStr">
        <is>
          <t>United States</t>
        </is>
      </c>
      <c r="C862" t="inlineStr">
        <is>
          <t>1201-1400</t>
        </is>
      </c>
      <c r="D862" t="inlineStr"/>
      <c r="E862" t="n">
        <v>3.8</v>
      </c>
      <c r="F862" t="n">
        <v>5.4</v>
      </c>
      <c r="G862" t="n">
        <v>6.2</v>
      </c>
      <c r="H862" t="n">
        <v>7.8</v>
      </c>
      <c r="I862" t="n">
        <v>3.4</v>
      </c>
      <c r="J862" t="n">
        <v>5.5</v>
      </c>
      <c r="K862" t="n">
        <v>25.3</v>
      </c>
      <c r="L862" t="n">
        <v>26.1</v>
      </c>
      <c r="M862" t="n">
        <v>2.2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n">
        <v>1201</v>
      </c>
      <c r="Z862" t="inlineStr"/>
      <c r="AA862" t="inlineStr"/>
      <c r="AB862" t="inlineStr">
        <is>
          <t>U0861</t>
        </is>
      </c>
      <c r="AC862" t="inlineStr">
        <is>
          <t>UN</t>
        </is>
      </c>
      <c r="AD862" t="inlineStr"/>
      <c r="AE862" t="n">
        <v>7.8</v>
      </c>
      <c r="AF862" t="inlineStr"/>
      <c r="AG862" t="inlineStr"/>
      <c r="AH862" t="inlineStr"/>
      <c r="AI862" t="n">
        <v>3.8</v>
      </c>
      <c r="AJ862" t="n">
        <v>15.75</v>
      </c>
    </row>
    <row r="863">
      <c r="A863" t="inlineStr">
        <is>
          <t>Michigan State University</t>
        </is>
      </c>
      <c r="B863" t="inlineStr">
        <is>
          <t>United States</t>
        </is>
      </c>
      <c r="C863" t="inlineStr">
        <is>
          <t>152</t>
        </is>
      </c>
      <c r="D863" t="n">
        <v>51.9</v>
      </c>
      <c r="E863" t="n">
        <v>59.5</v>
      </c>
      <c r="F863" t="n">
        <v>48.6</v>
      </c>
      <c r="G863" t="n">
        <v>11.4</v>
      </c>
      <c r="H863" t="n">
        <v>50.3</v>
      </c>
      <c r="I863" t="n">
        <v>54.5</v>
      </c>
      <c r="J863" t="n">
        <v>12.4</v>
      </c>
      <c r="K863" t="n">
        <v>97.5</v>
      </c>
      <c r="L863" t="n">
        <v>57.1</v>
      </c>
      <c r="M863" t="n">
        <v>96.3</v>
      </c>
      <c r="N863">
        <f>116</f>
        <v/>
      </c>
      <c r="O863" t="inlineStr">
        <is>
          <t>65.4</t>
        </is>
      </c>
      <c r="P863" t="n">
        <v>54.8</v>
      </c>
      <c r="Q863" t="n">
        <v>52.3</v>
      </c>
      <c r="R863" t="n">
        <v>86.2</v>
      </c>
      <c r="S863" t="n">
        <v>70</v>
      </c>
      <c r="T863" t="n">
        <v>71.40000000000001</v>
      </c>
      <c r="U863" t="inlineStr">
        <is>
          <t>44,514</t>
        </is>
      </c>
      <c r="V863" t="n">
        <v>16.1</v>
      </c>
      <c r="W863" t="inlineStr">
        <is>
          <t>11%</t>
        </is>
      </c>
      <c r="X863" t="inlineStr">
        <is>
          <t>52 : 48</t>
        </is>
      </c>
      <c r="Y863" t="n">
        <v>152</v>
      </c>
      <c r="Z863" t="n">
        <v>116</v>
      </c>
      <c r="AA863" t="n">
        <v>65.40000000000001</v>
      </c>
      <c r="AB863" t="inlineStr">
        <is>
          <t>U0862</t>
        </is>
      </c>
      <c r="AC863" t="inlineStr">
        <is>
          <t>UN</t>
        </is>
      </c>
      <c r="AD863" t="n">
        <v>51.9</v>
      </c>
      <c r="AE863" t="n">
        <v>50.3</v>
      </c>
      <c r="AF863" t="n">
        <v>16.1</v>
      </c>
      <c r="AG863" t="inlineStr">
        <is>
          <t>1:16.1</t>
        </is>
      </c>
      <c r="AH863" t="inlineStr">
        <is>
          <t>11%</t>
        </is>
      </c>
      <c r="AI863" t="n">
        <v>59.5</v>
      </c>
      <c r="AJ863" t="n">
        <v>53.31</v>
      </c>
    </row>
    <row r="864">
      <c r="A864" t="inlineStr">
        <is>
          <t>Michigan Technological University</t>
        </is>
      </c>
      <c r="B864" t="inlineStr">
        <is>
          <t>United States</t>
        </is>
      </c>
      <c r="C864" t="inlineStr">
        <is>
          <t>901-950</t>
        </is>
      </c>
      <c r="D864" t="inlineStr"/>
      <c r="E864" t="n">
        <v>4.8</v>
      </c>
      <c r="F864" t="n">
        <v>3.7</v>
      </c>
      <c r="G864" t="n">
        <v>27.1</v>
      </c>
      <c r="H864" t="n">
        <v>28.6</v>
      </c>
      <c r="I864" t="n">
        <v>11.4</v>
      </c>
      <c r="J864" t="n">
        <v>11.1</v>
      </c>
      <c r="K864" t="n">
        <v>52.1</v>
      </c>
      <c r="L864" t="n">
        <v>3.1</v>
      </c>
      <c r="M864" t="n">
        <v>1.9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n">
        <v>901</v>
      </c>
      <c r="Z864" t="inlineStr"/>
      <c r="AA864" t="inlineStr"/>
      <c r="AB864" t="inlineStr">
        <is>
          <t>U0863</t>
        </is>
      </c>
      <c r="AC864" t="inlineStr">
        <is>
          <t>UN</t>
        </is>
      </c>
      <c r="AD864" t="inlineStr"/>
      <c r="AE864" t="n">
        <v>28.6</v>
      </c>
      <c r="AF864" t="inlineStr"/>
      <c r="AG864" t="inlineStr"/>
      <c r="AH864" t="inlineStr"/>
      <c r="AI864" t="n">
        <v>4.8</v>
      </c>
      <c r="AJ864" t="n">
        <v>22.06</v>
      </c>
    </row>
    <row r="865">
      <c r="A865" t="inlineStr">
        <is>
          <t>Middle East Technical University</t>
        </is>
      </c>
      <c r="B865" t="inlineStr">
        <is>
          <t>Turkey</t>
        </is>
      </c>
      <c r="C865" t="inlineStr">
        <is>
          <t>285</t>
        </is>
      </c>
      <c r="D865" t="n">
        <v>37.2</v>
      </c>
      <c r="E865" t="n">
        <v>31.2</v>
      </c>
      <c r="F865" t="n">
        <v>70.2</v>
      </c>
      <c r="G865" t="n">
        <v>9</v>
      </c>
      <c r="H865" t="n">
        <v>22.3</v>
      </c>
      <c r="I865" t="n">
        <v>12</v>
      </c>
      <c r="J865" t="n">
        <v>18.3</v>
      </c>
      <c r="K865" t="n">
        <v>74.7</v>
      </c>
      <c r="L865" t="n">
        <v>77.5</v>
      </c>
      <c r="M865" t="n">
        <v>69.5</v>
      </c>
      <c r="N865" t="inlineStr">
        <is>
          <t>351–400</t>
        </is>
      </c>
      <c r="O865" t="inlineStr">
        <is>
          <t>49.1–51.0</t>
        </is>
      </c>
      <c r="P865" t="n">
        <v>44.2</v>
      </c>
      <c r="Q865" t="n">
        <v>43.1</v>
      </c>
      <c r="R865" t="n">
        <v>53.6</v>
      </c>
      <c r="S865" t="n">
        <v>81.90000000000001</v>
      </c>
      <c r="T865" t="n">
        <v>56</v>
      </c>
      <c r="U865" t="inlineStr">
        <is>
          <t>16,182</t>
        </is>
      </c>
      <c r="V865" t="n">
        <v>21.2</v>
      </c>
      <c r="W865" t="inlineStr">
        <is>
          <t>12%</t>
        </is>
      </c>
      <c r="X865" t="inlineStr">
        <is>
          <t>49 : 51</t>
        </is>
      </c>
      <c r="Y865" t="n">
        <v>285</v>
      </c>
      <c r="Z865" t="n">
        <v>351</v>
      </c>
      <c r="AA865" t="n">
        <v>50.05</v>
      </c>
      <c r="AB865" t="inlineStr">
        <is>
          <t>U0864</t>
        </is>
      </c>
      <c r="AC865" t="inlineStr">
        <is>
          <t>TU</t>
        </is>
      </c>
      <c r="AD865" t="n">
        <v>37.2</v>
      </c>
      <c r="AE865" t="n">
        <v>22.3</v>
      </c>
      <c r="AF865" t="n">
        <v>21.2</v>
      </c>
      <c r="AG865" t="inlineStr">
        <is>
          <t>1:21.2</t>
        </is>
      </c>
      <c r="AH865" t="inlineStr">
        <is>
          <t>12%</t>
        </is>
      </c>
      <c r="AI865" t="n">
        <v>31.2</v>
      </c>
      <c r="AJ865" t="n">
        <v>36.28</v>
      </c>
    </row>
    <row r="866">
      <c r="A866" t="inlineStr">
        <is>
          <t>Middle Technical University</t>
        </is>
      </c>
      <c r="B866" t="inlineStr">
        <is>
          <t>Iraq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>
        <is>
          <t>1501+</t>
        </is>
      </c>
      <c r="O866" t="inlineStr">
        <is>
          <t>9.7–22.7</t>
        </is>
      </c>
      <c r="P866" t="n">
        <v>9.4</v>
      </c>
      <c r="Q866" t="n">
        <v>7.5</v>
      </c>
      <c r="R866" t="n">
        <v>23.7</v>
      </c>
      <c r="S866" t="n">
        <v>16.9</v>
      </c>
      <c r="T866" t="n">
        <v>26.8</v>
      </c>
      <c r="U866" t="inlineStr">
        <is>
          <t>45,510</t>
        </is>
      </c>
      <c r="V866" t="n">
        <v>33.6</v>
      </c>
      <c r="W866" t="inlineStr">
        <is>
          <t>0%</t>
        </is>
      </c>
      <c r="X866" t="inlineStr">
        <is>
          <t>42 : 58</t>
        </is>
      </c>
      <c r="Y866" t="inlineStr"/>
      <c r="Z866" t="n">
        <v>1501</v>
      </c>
      <c r="AA866" t="n">
        <v>16.2</v>
      </c>
      <c r="AB866" t="inlineStr">
        <is>
          <t>U0865</t>
        </is>
      </c>
      <c r="AC866" t="inlineStr">
        <is>
          <t>IR</t>
        </is>
      </c>
      <c r="AD866" t="n">
        <v>16.2</v>
      </c>
      <c r="AE866" t="n">
        <v>23.7</v>
      </c>
      <c r="AF866" t="n">
        <v>33.6</v>
      </c>
      <c r="AG866" t="inlineStr">
        <is>
          <t>1:33.6</t>
        </is>
      </c>
      <c r="AH866" t="inlineStr">
        <is>
          <t>0%</t>
        </is>
      </c>
      <c r="AI866" t="inlineStr"/>
      <c r="AJ866" t="n">
        <v>10.99</v>
      </c>
    </row>
    <row r="867">
      <c r="A867" t="inlineStr">
        <is>
          <t>Middlesex University</t>
        </is>
      </c>
      <c r="B867" t="inlineStr">
        <is>
          <t>United Kingdom</t>
        </is>
      </c>
      <c r="C867" t="inlineStr">
        <is>
          <t>721-730</t>
        </is>
      </c>
      <c r="D867" t="inlineStr"/>
      <c r="E867" t="n">
        <v>5.3</v>
      </c>
      <c r="F867" t="n">
        <v>5.3</v>
      </c>
      <c r="G867" t="n">
        <v>8.1</v>
      </c>
      <c r="H867" t="n">
        <v>10.6</v>
      </c>
      <c r="I867" t="n">
        <v>84.40000000000001</v>
      </c>
      <c r="J867" t="n">
        <v>99.5</v>
      </c>
      <c r="K867" t="n">
        <v>58.3</v>
      </c>
      <c r="L867" t="n">
        <v>15.2</v>
      </c>
      <c r="M867" t="n">
        <v>4.3</v>
      </c>
      <c r="N867" t="inlineStr">
        <is>
          <t>501–600</t>
        </is>
      </c>
      <c r="O867" t="inlineStr">
        <is>
          <t>41.9–45.3</t>
        </is>
      </c>
      <c r="P867" t="n">
        <v>22.8</v>
      </c>
      <c r="Q867" t="n">
        <v>18.5</v>
      </c>
      <c r="R867" t="n">
        <v>80</v>
      </c>
      <c r="S867" t="n">
        <v>46.8</v>
      </c>
      <c r="T867" t="n">
        <v>93.40000000000001</v>
      </c>
      <c r="U867" t="inlineStr">
        <is>
          <t>15,545</t>
        </is>
      </c>
      <c r="V867" t="n">
        <v>18.3</v>
      </c>
      <c r="W867" t="inlineStr">
        <is>
          <t>50%</t>
        </is>
      </c>
      <c r="X867" t="inlineStr">
        <is>
          <t>59 : 41</t>
        </is>
      </c>
      <c r="Y867" t="n">
        <v>721</v>
      </c>
      <c r="Z867" t="n">
        <v>501</v>
      </c>
      <c r="AA867" t="n">
        <v>43.59999999999999</v>
      </c>
      <c r="AB867" t="inlineStr">
        <is>
          <t>U0866</t>
        </is>
      </c>
      <c r="AC867" t="inlineStr">
        <is>
          <t>UN</t>
        </is>
      </c>
      <c r="AD867" t="n">
        <v>43.59999999999999</v>
      </c>
      <c r="AE867" t="n">
        <v>10.6</v>
      </c>
      <c r="AF867" t="n">
        <v>18.3</v>
      </c>
      <c r="AG867" t="inlineStr">
        <is>
          <t>1:18.3</t>
        </is>
      </c>
      <c r="AH867" t="inlineStr">
        <is>
          <t>50%</t>
        </is>
      </c>
      <c r="AI867" t="n">
        <v>5.3</v>
      </c>
      <c r="AJ867" t="n">
        <v>28.89</v>
      </c>
    </row>
    <row r="868">
      <c r="A868" t="inlineStr">
        <is>
          <t>Mie University</t>
        </is>
      </c>
      <c r="B868" t="inlineStr">
        <is>
          <t>Japan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>
        <is>
          <t>1201–1500</t>
        </is>
      </c>
      <c r="O868" t="inlineStr">
        <is>
          <t>22.8–28.2</t>
        </is>
      </c>
      <c r="P868" t="n">
        <v>26.9</v>
      </c>
      <c r="Q868" t="n">
        <v>13.9</v>
      </c>
      <c r="R868" t="n">
        <v>23.9</v>
      </c>
      <c r="S868" t="n">
        <v>61.8</v>
      </c>
      <c r="T868" t="n">
        <v>24.8</v>
      </c>
      <c r="U868" t="inlineStr">
        <is>
          <t>6,983</t>
        </is>
      </c>
      <c r="V868" t="n">
        <v>8.300000000000001</v>
      </c>
      <c r="W868" t="inlineStr">
        <is>
          <t>3%</t>
        </is>
      </c>
      <c r="X868" t="inlineStr">
        <is>
          <t>38 : 62</t>
        </is>
      </c>
      <c r="Y868" t="inlineStr"/>
      <c r="Z868" t="n">
        <v>1201</v>
      </c>
      <c r="AA868" t="n">
        <v>25.5</v>
      </c>
      <c r="AB868" t="inlineStr">
        <is>
          <t>U0867</t>
        </is>
      </c>
      <c r="AC868" t="inlineStr">
        <is>
          <t>JA</t>
        </is>
      </c>
      <c r="AD868" t="n">
        <v>25.5</v>
      </c>
      <c r="AE868" t="n">
        <v>23.9</v>
      </c>
      <c r="AF868" t="n">
        <v>8.300000000000001</v>
      </c>
      <c r="AG868" t="inlineStr">
        <is>
          <t>1:8.3</t>
        </is>
      </c>
      <c r="AH868" t="inlineStr">
        <is>
          <t>3%</t>
        </is>
      </c>
      <c r="AI868" t="inlineStr"/>
      <c r="AJ868" t="n">
        <v>13.92</v>
      </c>
    </row>
    <row r="869">
      <c r="A869" t="inlineStr">
        <is>
          <t>Miguel Hernández University of Elche</t>
        </is>
      </c>
      <c r="B869" t="inlineStr">
        <is>
          <t>Spain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>
        <is>
          <t>1001–1200</t>
        </is>
      </c>
      <c r="O869" t="inlineStr">
        <is>
          <t>28.3–32.6</t>
        </is>
      </c>
      <c r="P869" t="n">
        <v>20.4</v>
      </c>
      <c r="Q869" t="n">
        <v>17.8</v>
      </c>
      <c r="R869" t="n">
        <v>43.8</v>
      </c>
      <c r="S869" t="n">
        <v>70.7</v>
      </c>
      <c r="T869" t="n">
        <v>41.2</v>
      </c>
      <c r="U869" t="inlineStr">
        <is>
          <t>12,189</t>
        </is>
      </c>
      <c r="V869" t="n">
        <v>16.5</v>
      </c>
      <c r="W869" t="inlineStr">
        <is>
          <t>8%</t>
        </is>
      </c>
      <c r="X869" t="inlineStr">
        <is>
          <t>50 : 50</t>
        </is>
      </c>
      <c r="Y869" t="inlineStr"/>
      <c r="Z869" t="n">
        <v>1001</v>
      </c>
      <c r="AA869" t="n">
        <v>30.45</v>
      </c>
      <c r="AB869" t="inlineStr">
        <is>
          <t>U0868</t>
        </is>
      </c>
      <c r="AC869" t="inlineStr">
        <is>
          <t>SP</t>
        </is>
      </c>
      <c r="AD869" t="n">
        <v>30.45</v>
      </c>
      <c r="AE869" t="n">
        <v>43.8</v>
      </c>
      <c r="AF869" t="n">
        <v>16.5</v>
      </c>
      <c r="AG869" t="inlineStr">
        <is>
          <t>1:16.5</t>
        </is>
      </c>
      <c r="AH869" t="inlineStr">
        <is>
          <t>8%</t>
        </is>
      </c>
      <c r="AI869" t="inlineStr"/>
      <c r="AJ869" t="n">
        <v>25.96</v>
      </c>
    </row>
    <row r="870">
      <c r="A870" t="inlineStr">
        <is>
          <t>Ming Chi University of Technology</t>
        </is>
      </c>
      <c r="B870" t="inlineStr">
        <is>
          <t>Taiwan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>
        <is>
          <t>1001–1200</t>
        </is>
      </c>
      <c r="O870" t="inlineStr">
        <is>
          <t>28.3–32.6</t>
        </is>
      </c>
      <c r="P870" t="n">
        <v>16.4</v>
      </c>
      <c r="Q870" t="n">
        <v>25.1</v>
      </c>
      <c r="R870" t="n">
        <v>43.4</v>
      </c>
      <c r="S870" t="n">
        <v>47.1</v>
      </c>
      <c r="T870" t="n">
        <v>29.5</v>
      </c>
      <c r="U870" t="inlineStr">
        <is>
          <t>4,415</t>
        </is>
      </c>
      <c r="V870" t="n">
        <v>18.6</v>
      </c>
      <c r="W870" t="inlineStr">
        <is>
          <t>2%</t>
        </is>
      </c>
      <c r="X870" t="inlineStr">
        <is>
          <t>25 : 75</t>
        </is>
      </c>
      <c r="Y870" t="inlineStr"/>
      <c r="Z870" t="n">
        <v>1001</v>
      </c>
      <c r="AA870" t="n">
        <v>30.45</v>
      </c>
      <c r="AB870" t="inlineStr">
        <is>
          <t>U0869</t>
        </is>
      </c>
      <c r="AC870" t="inlineStr">
        <is>
          <t>TA</t>
        </is>
      </c>
      <c r="AD870" t="n">
        <v>30.45</v>
      </c>
      <c r="AE870" t="n">
        <v>43.4</v>
      </c>
      <c r="AF870" t="n">
        <v>18.6</v>
      </c>
      <c r="AG870" t="inlineStr">
        <is>
          <t>1:18.6</t>
        </is>
      </c>
      <c r="AH870" t="inlineStr">
        <is>
          <t>2%</t>
        </is>
      </c>
      <c r="AI870" t="inlineStr"/>
      <c r="AJ870" t="n">
        <v>26.83</v>
      </c>
    </row>
    <row r="871">
      <c r="A871" t="inlineStr">
        <is>
          <t>Ming Chuan University</t>
        </is>
      </c>
      <c r="B871" t="inlineStr">
        <is>
          <t>Taiwan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>
        <is>
          <t>1501+</t>
        </is>
      </c>
      <c r="O871" t="inlineStr">
        <is>
          <t>9.7–22.7</t>
        </is>
      </c>
      <c r="P871" t="n">
        <v>13.4</v>
      </c>
      <c r="Q871" t="n">
        <v>12</v>
      </c>
      <c r="R871" t="n">
        <v>22.6</v>
      </c>
      <c r="S871" t="n">
        <v>51</v>
      </c>
      <c r="T871" t="n">
        <v>38.4</v>
      </c>
      <c r="U871" t="inlineStr">
        <is>
          <t>18,146</t>
        </is>
      </c>
      <c r="V871" t="n">
        <v>21.6</v>
      </c>
      <c r="W871" t="inlineStr">
        <is>
          <t>11%</t>
        </is>
      </c>
      <c r="X871" t="inlineStr">
        <is>
          <t>61 : 39</t>
        </is>
      </c>
      <c r="Y871" t="inlineStr"/>
      <c r="Z871" t="n">
        <v>1501</v>
      </c>
      <c r="AA871" t="n">
        <v>16.2</v>
      </c>
      <c r="AB871" t="inlineStr">
        <is>
          <t>U0870</t>
        </is>
      </c>
      <c r="AC871" t="inlineStr">
        <is>
          <t>TA</t>
        </is>
      </c>
      <c r="AD871" t="n">
        <v>16.2</v>
      </c>
      <c r="AE871" t="n">
        <v>22.6</v>
      </c>
      <c r="AF871" t="n">
        <v>21.6</v>
      </c>
      <c r="AG871" t="inlineStr">
        <is>
          <t>1:21.6</t>
        </is>
      </c>
      <c r="AH871" t="inlineStr">
        <is>
          <t>11%</t>
        </is>
      </c>
      <c r="AI871" t="inlineStr"/>
      <c r="AJ871" t="n">
        <v>15.82</v>
      </c>
    </row>
    <row r="872">
      <c r="A872" t="inlineStr">
        <is>
          <t>Minia University</t>
        </is>
      </c>
      <c r="B872" t="inlineStr">
        <is>
          <t>Egypt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>
        <is>
          <t>1001–1200</t>
        </is>
      </c>
      <c r="O872" t="inlineStr">
        <is>
          <t>28.3–32.6</t>
        </is>
      </c>
      <c r="P872" t="n">
        <v>17.2</v>
      </c>
      <c r="Q872" t="n">
        <v>9.5</v>
      </c>
      <c r="R872" t="n">
        <v>66</v>
      </c>
      <c r="S872" t="n">
        <v>19.2</v>
      </c>
      <c r="T872" t="n">
        <v>49.6</v>
      </c>
      <c r="U872" t="inlineStr">
        <is>
          <t>75,399</t>
        </is>
      </c>
      <c r="V872" t="n">
        <v>17.7</v>
      </c>
      <c r="W872" t="inlineStr">
        <is>
          <t>1%</t>
        </is>
      </c>
      <c r="X872" t="inlineStr">
        <is>
          <t>54 : 46</t>
        </is>
      </c>
      <c r="Y872" t="inlineStr"/>
      <c r="Z872" t="n">
        <v>1001</v>
      </c>
      <c r="AA872" t="n">
        <v>30.45</v>
      </c>
      <c r="AB872" t="inlineStr">
        <is>
          <t>U0871</t>
        </is>
      </c>
      <c r="AC872" t="inlineStr">
        <is>
          <t>EG</t>
        </is>
      </c>
      <c r="AD872" t="n">
        <v>30.45</v>
      </c>
      <c r="AE872" t="n">
        <v>66</v>
      </c>
      <c r="AF872" t="n">
        <v>17.7</v>
      </c>
      <c r="AG872" t="inlineStr">
        <is>
          <t>1:17.7</t>
        </is>
      </c>
      <c r="AH872" t="inlineStr">
        <is>
          <t>1%</t>
        </is>
      </c>
      <c r="AI872" t="inlineStr"/>
      <c r="AJ872" t="n">
        <v>30.37</v>
      </c>
    </row>
    <row r="873">
      <c r="A873" t="inlineStr">
        <is>
          <t>MIREA - Russian Technological University</t>
        </is>
      </c>
      <c r="B873" t="inlineStr">
        <is>
          <t>Russian Federation</t>
        </is>
      </c>
      <c r="C873" t="inlineStr">
        <is>
          <t>1401+</t>
        </is>
      </c>
      <c r="D873" t="inlineStr"/>
      <c r="E873" t="n">
        <v>5.5</v>
      </c>
      <c r="F873" t="n">
        <v>7</v>
      </c>
      <c r="G873" t="n">
        <v>6.6</v>
      </c>
      <c r="H873" t="n">
        <v>1.4</v>
      </c>
      <c r="I873" t="n">
        <v>1.3</v>
      </c>
      <c r="J873" t="n">
        <v>3.3</v>
      </c>
      <c r="K873" t="n">
        <v>9.5</v>
      </c>
      <c r="L873" t="n">
        <v>5.2</v>
      </c>
      <c r="M873" t="n">
        <v>1</v>
      </c>
      <c r="N873" t="inlineStr">
        <is>
          <t>1501+</t>
        </is>
      </c>
      <c r="O873" t="inlineStr">
        <is>
          <t>9.7–22.7</t>
        </is>
      </c>
      <c r="P873" t="n">
        <v>15</v>
      </c>
      <c r="Q873" t="n">
        <v>11.7</v>
      </c>
      <c r="R873" t="n">
        <v>8.6</v>
      </c>
      <c r="S873" t="n">
        <v>48.1</v>
      </c>
      <c r="T873" t="n">
        <v>22.2</v>
      </c>
      <c r="U873" t="inlineStr">
        <is>
          <t>26,765</t>
        </is>
      </c>
      <c r="V873" t="n">
        <v>21.5</v>
      </c>
      <c r="W873" t="inlineStr">
        <is>
          <t>5%</t>
        </is>
      </c>
      <c r="X873" t="inlineStr">
        <is>
          <t>26 : 74</t>
        </is>
      </c>
      <c r="Y873" t="n">
        <v>1401</v>
      </c>
      <c r="Z873" t="n">
        <v>1501</v>
      </c>
      <c r="AA873" t="n">
        <v>16.2</v>
      </c>
      <c r="AB873" t="inlineStr">
        <is>
          <t>U0872</t>
        </is>
      </c>
      <c r="AC873" t="inlineStr">
        <is>
          <t>RU</t>
        </is>
      </c>
      <c r="AD873" t="n">
        <v>16.2</v>
      </c>
      <c r="AE873" t="n">
        <v>1.4</v>
      </c>
      <c r="AF873" t="n">
        <v>21.5</v>
      </c>
      <c r="AG873" t="inlineStr">
        <is>
          <t>1:21.5</t>
        </is>
      </c>
      <c r="AH873" t="inlineStr">
        <is>
          <t>5%</t>
        </is>
      </c>
      <c r="AI873" t="n">
        <v>5.5</v>
      </c>
      <c r="AJ873" t="n">
        <v>5.32</v>
      </c>
    </row>
    <row r="874">
      <c r="A874" t="inlineStr">
        <is>
          <t>Mirpur University of Science and Technology</t>
        </is>
      </c>
      <c r="B874" t="inlineStr">
        <is>
          <t>Pakistan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>
        <is>
          <t>1001–1200</t>
        </is>
      </c>
      <c r="O874" t="inlineStr">
        <is>
          <t>28.3–32.6</t>
        </is>
      </c>
      <c r="P874" t="n">
        <v>11.5</v>
      </c>
      <c r="Q874" t="n">
        <v>9.4</v>
      </c>
      <c r="R874" t="n">
        <v>60</v>
      </c>
      <c r="S874" t="n">
        <v>15.8</v>
      </c>
      <c r="T874" t="n">
        <v>48.6</v>
      </c>
      <c r="U874" t="inlineStr">
        <is>
          <t>8,459</t>
        </is>
      </c>
      <c r="V874" t="n">
        <v>23.6</v>
      </c>
      <c r="W874" t="inlineStr">
        <is>
          <t>0%</t>
        </is>
      </c>
      <c r="X874" t="inlineStr">
        <is>
          <t>44 : 56</t>
        </is>
      </c>
      <c r="Y874" t="inlineStr"/>
      <c r="Z874" t="n">
        <v>1001</v>
      </c>
      <c r="AA874" t="n">
        <v>30.45</v>
      </c>
      <c r="AB874" t="inlineStr">
        <is>
          <t>U0873</t>
        </is>
      </c>
      <c r="AC874" t="inlineStr">
        <is>
          <t>PA</t>
        </is>
      </c>
      <c r="AD874" t="n">
        <v>30.45</v>
      </c>
      <c r="AE874" t="n">
        <v>60</v>
      </c>
      <c r="AF874" t="n">
        <v>23.6</v>
      </c>
      <c r="AG874" t="inlineStr">
        <is>
          <t>1:23.6</t>
        </is>
      </c>
      <c r="AH874" t="inlineStr">
        <is>
          <t>0%</t>
        </is>
      </c>
      <c r="AI874" t="inlineStr"/>
      <c r="AJ874" t="n">
        <v>28.25</v>
      </c>
    </row>
    <row r="875">
      <c r="A875" t="inlineStr">
        <is>
          <t>Mississippi State University</t>
        </is>
      </c>
      <c r="B875" t="inlineStr">
        <is>
          <t>United States</t>
        </is>
      </c>
      <c r="C875" t="inlineStr">
        <is>
          <t>1001-1200</t>
        </is>
      </c>
      <c r="D875" t="inlineStr"/>
      <c r="E875" t="n">
        <v>6.2</v>
      </c>
      <c r="F875" t="n">
        <v>3.6</v>
      </c>
      <c r="G875" t="n">
        <v>7.4</v>
      </c>
      <c r="H875" t="n">
        <v>17.4</v>
      </c>
      <c r="I875" t="n">
        <v>8.9</v>
      </c>
      <c r="J875" t="n">
        <v>3.1</v>
      </c>
      <c r="K875" t="n">
        <v>50.6</v>
      </c>
      <c r="L875" t="n">
        <v>7.1</v>
      </c>
      <c r="M875" t="n">
        <v>4.5</v>
      </c>
      <c r="N875" t="inlineStr">
        <is>
          <t>601–800</t>
        </is>
      </c>
      <c r="O875" t="inlineStr">
        <is>
          <t>37.0–41.8</t>
        </is>
      </c>
      <c r="P875" t="n">
        <v>27.3</v>
      </c>
      <c r="Q875" t="n">
        <v>20</v>
      </c>
      <c r="R875" t="n">
        <v>58.8</v>
      </c>
      <c r="S875" t="n">
        <v>66.2</v>
      </c>
      <c r="T875" t="n">
        <v>50.7</v>
      </c>
      <c r="U875" t="inlineStr">
        <is>
          <t>21,181</t>
        </is>
      </c>
      <c r="V875" t="n">
        <v>14.6</v>
      </c>
      <c r="W875" t="inlineStr">
        <is>
          <t>4%</t>
        </is>
      </c>
      <c r="X875" t="inlineStr">
        <is>
          <t>53 : 47</t>
        </is>
      </c>
      <c r="Y875" t="n">
        <v>1001</v>
      </c>
      <c r="Z875" t="n">
        <v>601</v>
      </c>
      <c r="AA875" t="n">
        <v>39.4</v>
      </c>
      <c r="AB875" t="inlineStr">
        <is>
          <t>U0874</t>
        </is>
      </c>
      <c r="AC875" t="inlineStr">
        <is>
          <t>UN</t>
        </is>
      </c>
      <c r="AD875" t="n">
        <v>39.4</v>
      </c>
      <c r="AE875" t="n">
        <v>17.4</v>
      </c>
      <c r="AF875" t="n">
        <v>14.6</v>
      </c>
      <c r="AG875" t="inlineStr">
        <is>
          <t>1:14.6</t>
        </is>
      </c>
      <c r="AH875" t="inlineStr">
        <is>
          <t>4%</t>
        </is>
      </c>
      <c r="AI875" t="n">
        <v>6.2</v>
      </c>
      <c r="AJ875" t="n">
        <v>21.41</v>
      </c>
    </row>
    <row r="876">
      <c r="A876" t="inlineStr">
        <is>
          <t>Missouri University of Science and Technology</t>
        </is>
      </c>
      <c r="B876" t="inlineStr">
        <is>
          <t>United States</t>
        </is>
      </c>
      <c r="C876" t="inlineStr">
        <is>
          <t>527</t>
        </is>
      </c>
      <c r="D876" t="n">
        <v>23.2</v>
      </c>
      <c r="E876" t="n">
        <v>4</v>
      </c>
      <c r="F876" t="n">
        <v>6.1</v>
      </c>
      <c r="G876" t="n">
        <v>5.7</v>
      </c>
      <c r="H876" t="n">
        <v>86.2</v>
      </c>
      <c r="I876" t="n">
        <v>35.2</v>
      </c>
      <c r="J876" t="n">
        <v>12.8</v>
      </c>
      <c r="K876" t="n">
        <v>30.5</v>
      </c>
      <c r="L876" t="n">
        <v>4.8</v>
      </c>
      <c r="M876" t="n">
        <v>1.7</v>
      </c>
      <c r="N876" t="inlineStr">
        <is>
          <t>401–500</t>
        </is>
      </c>
      <c r="O876" t="inlineStr">
        <is>
          <t>45.4–49.0</t>
        </is>
      </c>
      <c r="P876" t="n">
        <v>33.2</v>
      </c>
      <c r="Q876" t="n">
        <v>28.7</v>
      </c>
      <c r="R876" t="n">
        <v>69.59999999999999</v>
      </c>
      <c r="S876" t="n">
        <v>88.09999999999999</v>
      </c>
      <c r="T876" t="n">
        <v>72.40000000000001</v>
      </c>
      <c r="U876" t="inlineStr">
        <is>
          <t>7,271</t>
        </is>
      </c>
      <c r="V876" t="n">
        <v>21.6</v>
      </c>
      <c r="W876" t="inlineStr">
        <is>
          <t>9%</t>
        </is>
      </c>
      <c r="X876" t="inlineStr">
        <is>
          <t>24 : 76</t>
        </is>
      </c>
      <c r="Y876" t="n">
        <v>527</v>
      </c>
      <c r="Z876" t="n">
        <v>401</v>
      </c>
      <c r="AA876" t="n">
        <v>47.2</v>
      </c>
      <c r="AB876" t="inlineStr">
        <is>
          <t>U0875</t>
        </is>
      </c>
      <c r="AC876" t="inlineStr">
        <is>
          <t>UN</t>
        </is>
      </c>
      <c r="AD876" t="n">
        <v>23.2</v>
      </c>
      <c r="AE876" t="n">
        <v>86.2</v>
      </c>
      <c r="AF876" t="n">
        <v>21.6</v>
      </c>
      <c r="AG876" t="inlineStr">
        <is>
          <t>1:21.6</t>
        </is>
      </c>
      <c r="AH876" t="inlineStr">
        <is>
          <t>9%</t>
        </is>
      </c>
      <c r="AI876" t="n">
        <v>4</v>
      </c>
      <c r="AJ876" t="n">
        <v>52.06</v>
      </c>
    </row>
    <row r="877">
      <c r="A877" t="inlineStr">
        <is>
          <t>Mizzou - University of Missouri</t>
        </is>
      </c>
      <c r="B877" t="inlineStr">
        <is>
          <t>United States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>
        <is>
          <t>401–500</t>
        </is>
      </c>
      <c r="O877" t="inlineStr">
        <is>
          <t>45.4–49.0</t>
        </is>
      </c>
      <c r="P877" t="n">
        <v>40.6</v>
      </c>
      <c r="Q877" t="n">
        <v>26</v>
      </c>
      <c r="R877" t="n">
        <v>66</v>
      </c>
      <c r="S877" t="n">
        <v>69.90000000000001</v>
      </c>
      <c r="T877" t="n">
        <v>53.6</v>
      </c>
      <c r="U877" t="inlineStr">
        <is>
          <t>25,993</t>
        </is>
      </c>
      <c r="V877" t="n">
        <v>12.3</v>
      </c>
      <c r="W877" t="inlineStr">
        <is>
          <t>3%</t>
        </is>
      </c>
      <c r="X877" t="inlineStr">
        <is>
          <t>55 : 45</t>
        </is>
      </c>
      <c r="Y877" t="inlineStr"/>
      <c r="Z877" t="n">
        <v>401</v>
      </c>
      <c r="AA877" t="n">
        <v>47.2</v>
      </c>
      <c r="AB877" t="inlineStr">
        <is>
          <t>U0876</t>
        </is>
      </c>
      <c r="AC877" t="inlineStr">
        <is>
          <t>UN</t>
        </is>
      </c>
      <c r="AD877" t="n">
        <v>47.2</v>
      </c>
      <c r="AE877" t="n">
        <v>66</v>
      </c>
      <c r="AF877" t="n">
        <v>12.3</v>
      </c>
      <c r="AG877" t="inlineStr">
        <is>
          <t>1:12.3</t>
        </is>
      </c>
      <c r="AH877" t="inlineStr">
        <is>
          <t>3%</t>
        </is>
      </c>
      <c r="AI877" t="inlineStr"/>
      <c r="AJ877" t="n">
        <v>39.98</v>
      </c>
    </row>
    <row r="878">
      <c r="A878" t="inlineStr">
        <is>
          <t>Mohammed V University of Rabat</t>
        </is>
      </c>
      <c r="B878" t="inlineStr">
        <is>
          <t>Morocco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>
        <is>
          <t>1201–1500</t>
        </is>
      </c>
      <c r="O878" t="inlineStr">
        <is>
          <t>22.8–28.2</t>
        </is>
      </c>
      <c r="P878" t="n">
        <v>29.1</v>
      </c>
      <c r="Q878" t="n">
        <v>15</v>
      </c>
      <c r="R878" t="n">
        <v>32.2</v>
      </c>
      <c r="S878" t="n">
        <v>37.3</v>
      </c>
      <c r="T878" t="n">
        <v>32.1</v>
      </c>
      <c r="U878" t="inlineStr">
        <is>
          <t>87,462</t>
        </is>
      </c>
      <c r="V878" t="n">
        <v>41.7</v>
      </c>
      <c r="W878" t="inlineStr">
        <is>
          <t>3%</t>
        </is>
      </c>
      <c r="X878" t="inlineStr">
        <is>
          <t>53 : 47</t>
        </is>
      </c>
      <c r="Y878" t="inlineStr"/>
      <c r="Z878" t="n">
        <v>1201</v>
      </c>
      <c r="AA878" t="n">
        <v>25.5</v>
      </c>
      <c r="AB878" t="inlineStr">
        <is>
          <t>U0877</t>
        </is>
      </c>
      <c r="AC878" t="inlineStr">
        <is>
          <t>MO</t>
        </is>
      </c>
      <c r="AD878" t="n">
        <v>25.5</v>
      </c>
      <c r="AE878" t="n">
        <v>32.2</v>
      </c>
      <c r="AF878" t="n">
        <v>41.7</v>
      </c>
      <c r="AG878" t="inlineStr">
        <is>
          <t>1:41.7</t>
        </is>
      </c>
      <c r="AH878" t="inlineStr">
        <is>
          <t>3%</t>
        </is>
      </c>
      <c r="AI878" t="inlineStr"/>
      <c r="AJ878" t="n">
        <v>18.77</v>
      </c>
    </row>
    <row r="879">
      <c r="A879" t="inlineStr">
        <is>
          <t>Monash University</t>
        </is>
      </c>
      <c r="B879" t="inlineStr">
        <is>
          <t>Australia</t>
        </is>
      </c>
      <c r="C879" t="inlineStr">
        <is>
          <t>37</t>
        </is>
      </c>
      <c r="D879" t="n">
        <v>81.2</v>
      </c>
      <c r="E879" t="n">
        <v>89.2</v>
      </c>
      <c r="F879" t="n">
        <v>79.59999999999999</v>
      </c>
      <c r="G879" t="n">
        <v>9.4</v>
      </c>
      <c r="H879" t="n">
        <v>87.59999999999999</v>
      </c>
      <c r="I879" t="n">
        <v>100</v>
      </c>
      <c r="J879" t="n">
        <v>100</v>
      </c>
      <c r="K879" t="n">
        <v>94.8</v>
      </c>
      <c r="L879" t="n">
        <v>79.40000000000001</v>
      </c>
      <c r="M879" t="n">
        <v>98.2</v>
      </c>
      <c r="N879" t="inlineStr">
        <is>
          <t>54</t>
        </is>
      </c>
      <c r="O879" t="inlineStr">
        <is>
          <t>75.2</t>
        </is>
      </c>
      <c r="P879" t="n">
        <v>55.3</v>
      </c>
      <c r="Q879" t="n">
        <v>67.8</v>
      </c>
      <c r="R879" t="n">
        <v>94.7</v>
      </c>
      <c r="S879" t="n">
        <v>99.7</v>
      </c>
      <c r="T879" t="n">
        <v>91.09999999999999</v>
      </c>
      <c r="U879" t="inlineStr">
        <is>
          <t>58,460</t>
        </is>
      </c>
      <c r="V879" t="n">
        <v>43.1</v>
      </c>
      <c r="W879" t="inlineStr">
        <is>
          <t>38%</t>
        </is>
      </c>
      <c r="X879" t="inlineStr">
        <is>
          <t>56 : 44</t>
        </is>
      </c>
      <c r="Y879" t="n">
        <v>37</v>
      </c>
      <c r="Z879" t="n">
        <v>54</v>
      </c>
      <c r="AA879" t="n">
        <v>75.2</v>
      </c>
      <c r="AB879" t="inlineStr">
        <is>
          <t>U0878</t>
        </is>
      </c>
      <c r="AC879" t="inlineStr">
        <is>
          <t>AU</t>
        </is>
      </c>
      <c r="AD879" t="n">
        <v>81.2</v>
      </c>
      <c r="AE879" t="n">
        <v>87.59999999999999</v>
      </c>
      <c r="AF879" t="n">
        <v>43.1</v>
      </c>
      <c r="AG879" t="inlineStr">
        <is>
          <t>1:43.1</t>
        </is>
      </c>
      <c r="AH879" t="inlineStr">
        <is>
          <t>38%</t>
        </is>
      </c>
      <c r="AI879" t="n">
        <v>89.2</v>
      </c>
      <c r="AJ879" t="n">
        <v>77.5</v>
      </c>
    </row>
    <row r="880">
      <c r="A880" t="inlineStr">
        <is>
          <t>Montana State University</t>
        </is>
      </c>
      <c r="B880" t="inlineStr">
        <is>
          <t>United States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>
        <is>
          <t>801–1000</t>
        </is>
      </c>
      <c r="O880" t="inlineStr">
        <is>
          <t>32.7–36.9</t>
        </is>
      </c>
      <c r="P880" t="n">
        <v>24</v>
      </c>
      <c r="Q880" t="n">
        <v>20.4</v>
      </c>
      <c r="R880" t="n">
        <v>56.3</v>
      </c>
      <c r="S880" t="n">
        <v>63</v>
      </c>
      <c r="T880" t="n">
        <v>38</v>
      </c>
      <c r="U880" t="inlineStr">
        <is>
          <t>13,795</t>
        </is>
      </c>
      <c r="V880" t="n">
        <v>16.3</v>
      </c>
      <c r="W880" t="inlineStr">
        <is>
          <t>2%</t>
        </is>
      </c>
      <c r="X880" t="inlineStr">
        <is>
          <t>49 : 51</t>
        </is>
      </c>
      <c r="Y880" t="inlineStr"/>
      <c r="Z880" t="n">
        <v>801</v>
      </c>
      <c r="AA880" t="n">
        <v>34.8</v>
      </c>
      <c r="AB880" t="inlineStr">
        <is>
          <t>U0879</t>
        </is>
      </c>
      <c r="AC880" t="inlineStr">
        <is>
          <t>UN</t>
        </is>
      </c>
      <c r="AD880" t="n">
        <v>34.8</v>
      </c>
      <c r="AE880" t="n">
        <v>56.3</v>
      </c>
      <c r="AF880" t="n">
        <v>16.3</v>
      </c>
      <c r="AG880" t="inlineStr">
        <is>
          <t>1:16.3</t>
        </is>
      </c>
      <c r="AH880" t="inlineStr">
        <is>
          <t>2%</t>
        </is>
      </c>
      <c r="AI880" t="inlineStr"/>
      <c r="AJ880" t="n">
        <v>30.33</v>
      </c>
    </row>
    <row r="881">
      <c r="A881" t="inlineStr">
        <is>
          <t>Monterrey Institute of Technology</t>
        </is>
      </c>
      <c r="B881" t="inlineStr">
        <is>
          <t>Mexico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>
        <is>
          <t>601–800</t>
        </is>
      </c>
      <c r="O881" t="inlineStr">
        <is>
          <t>37.0–41.8</t>
        </is>
      </c>
      <c r="P881" t="n">
        <v>24</v>
      </c>
      <c r="Q881" t="n">
        <v>22.7</v>
      </c>
      <c r="R881" t="n">
        <v>61.9</v>
      </c>
      <c r="S881" t="n">
        <v>60.1</v>
      </c>
      <c r="T881" t="n">
        <v>65.8</v>
      </c>
      <c r="U881" t="inlineStr">
        <is>
          <t>16,693</t>
        </is>
      </c>
      <c r="V881" t="n">
        <v>14.9</v>
      </c>
      <c r="W881" t="inlineStr">
        <is>
          <t>12%</t>
        </is>
      </c>
      <c r="X881" t="inlineStr">
        <is>
          <t>43 : 57</t>
        </is>
      </c>
      <c r="Y881" t="inlineStr"/>
      <c r="Z881" t="n">
        <v>601</v>
      </c>
      <c r="AA881" t="n">
        <v>39.4</v>
      </c>
      <c r="AB881" t="inlineStr">
        <is>
          <t>U0880</t>
        </is>
      </c>
      <c r="AC881" t="inlineStr">
        <is>
          <t>ME</t>
        </is>
      </c>
      <c r="AD881" t="n">
        <v>39.4</v>
      </c>
      <c r="AE881" t="n">
        <v>61.9</v>
      </c>
      <c r="AF881" t="n">
        <v>14.9</v>
      </c>
      <c r="AG881" t="inlineStr">
        <is>
          <t>1:14.9</t>
        </is>
      </c>
      <c r="AH881" t="inlineStr">
        <is>
          <t>12%</t>
        </is>
      </c>
      <c r="AI881" t="inlineStr"/>
      <c r="AJ881" t="n">
        <v>39.96</v>
      </c>
    </row>
    <row r="882">
      <c r="A882" t="inlineStr">
        <is>
          <t>Montpellier University</t>
        </is>
      </c>
      <c r="B882" t="inlineStr">
        <is>
          <t>France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>
        <is>
          <t>301–350</t>
        </is>
      </c>
      <c r="O882" t="inlineStr">
        <is>
          <t>51.1–53.0</t>
        </is>
      </c>
      <c r="P882" t="n">
        <v>38.3</v>
      </c>
      <c r="Q882" t="n">
        <v>35.6</v>
      </c>
      <c r="R882" t="n">
        <v>74.7</v>
      </c>
      <c r="S882" t="n">
        <v>68.09999999999999</v>
      </c>
      <c r="T882" t="n">
        <v>68.5</v>
      </c>
      <c r="U882" t="inlineStr">
        <is>
          <t>40,734</t>
        </is>
      </c>
      <c r="V882" t="n">
        <v>20.5</v>
      </c>
      <c r="W882" t="inlineStr">
        <is>
          <t>15%</t>
        </is>
      </c>
      <c r="X882" t="inlineStr">
        <is>
          <t>55 : 45</t>
        </is>
      </c>
      <c r="Y882" t="inlineStr"/>
      <c r="Z882" t="n">
        <v>301</v>
      </c>
      <c r="AA882" t="n">
        <v>52.05</v>
      </c>
      <c r="AB882" t="inlineStr">
        <is>
          <t>U0881</t>
        </is>
      </c>
      <c r="AC882" t="inlineStr">
        <is>
          <t>FR</t>
        </is>
      </c>
      <c r="AD882" t="n">
        <v>52.05</v>
      </c>
      <c r="AE882" t="n">
        <v>74.7</v>
      </c>
      <c r="AF882" t="n">
        <v>20.5</v>
      </c>
      <c r="AG882" t="inlineStr">
        <is>
          <t>1:20.5</t>
        </is>
      </c>
      <c r="AH882" t="inlineStr">
        <is>
          <t>15%</t>
        </is>
      </c>
      <c r="AI882" t="inlineStr"/>
      <c r="AJ882" t="n">
        <v>51.25</v>
      </c>
    </row>
    <row r="883">
      <c r="A883" t="inlineStr">
        <is>
          <t>Morgan State University</t>
        </is>
      </c>
      <c r="B883" t="inlineStr">
        <is>
          <t>United States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>
        <is>
          <t>1201–1500</t>
        </is>
      </c>
      <c r="O883" t="inlineStr">
        <is>
          <t>22.8–28.2</t>
        </is>
      </c>
      <c r="P883" t="n">
        <v>22.8</v>
      </c>
      <c r="Q883" t="n">
        <v>12.6</v>
      </c>
      <c r="R883" t="n">
        <v>29.2</v>
      </c>
      <c r="S883" t="n">
        <v>28.7</v>
      </c>
      <c r="T883" t="n">
        <v>56.3</v>
      </c>
      <c r="U883" t="inlineStr">
        <is>
          <t>6,973</t>
        </is>
      </c>
      <c r="V883" t="n">
        <v>14.6</v>
      </c>
      <c r="W883" t="inlineStr">
        <is>
          <t>7%</t>
        </is>
      </c>
      <c r="X883" t="inlineStr">
        <is>
          <t>61 : 39</t>
        </is>
      </c>
      <c r="Y883" t="inlineStr"/>
      <c r="Z883" t="n">
        <v>1201</v>
      </c>
      <c r="AA883" t="n">
        <v>25.5</v>
      </c>
      <c r="AB883" t="inlineStr">
        <is>
          <t>U0882</t>
        </is>
      </c>
      <c r="AC883" t="inlineStr">
        <is>
          <t>UN</t>
        </is>
      </c>
      <c r="AD883" t="n">
        <v>25.5</v>
      </c>
      <c r="AE883" t="n">
        <v>29.2</v>
      </c>
      <c r="AF883" t="n">
        <v>14.6</v>
      </c>
      <c r="AG883" t="inlineStr">
        <is>
          <t>1:14.6</t>
        </is>
      </c>
      <c r="AH883" t="inlineStr">
        <is>
          <t>7%</t>
        </is>
      </c>
      <c r="AI883" t="inlineStr"/>
      <c r="AJ883" t="n">
        <v>22.46</v>
      </c>
    </row>
    <row r="884">
      <c r="A884" t="inlineStr">
        <is>
          <t>Moscow Aviation Institute</t>
        </is>
      </c>
      <c r="B884" t="inlineStr">
        <is>
          <t>Russian Federation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>
        <is>
          <t>1201–1500</t>
        </is>
      </c>
      <c r="O884" t="inlineStr">
        <is>
          <t>22.8–28.2</t>
        </is>
      </c>
      <c r="P884" t="n">
        <v>32.9</v>
      </c>
      <c r="Q884" t="n">
        <v>14.4</v>
      </c>
      <c r="R884" t="n">
        <v>26.4</v>
      </c>
      <c r="S884" t="n">
        <v>48.6</v>
      </c>
      <c r="T884" t="n">
        <v>31.9</v>
      </c>
      <c r="U884" t="inlineStr">
        <is>
          <t>15,468</t>
        </is>
      </c>
      <c r="V884" t="n">
        <v>12.8</v>
      </c>
      <c r="W884" t="inlineStr">
        <is>
          <t>12%</t>
        </is>
      </c>
      <c r="X884" t="inlineStr">
        <is>
          <t>29 : 71</t>
        </is>
      </c>
      <c r="Y884" t="inlineStr"/>
      <c r="Z884" t="n">
        <v>1201</v>
      </c>
      <c r="AA884" t="n">
        <v>25.5</v>
      </c>
      <c r="AB884" t="inlineStr">
        <is>
          <t>U0883</t>
        </is>
      </c>
      <c r="AC884" t="inlineStr">
        <is>
          <t>RU</t>
        </is>
      </c>
      <c r="AD884" t="n">
        <v>25.5</v>
      </c>
      <c r="AE884" t="n">
        <v>26.4</v>
      </c>
      <c r="AF884" t="n">
        <v>12.8</v>
      </c>
      <c r="AG884" t="inlineStr">
        <is>
          <t>1:12.8</t>
        </is>
      </c>
      <c r="AH884" t="inlineStr">
        <is>
          <t>12%</t>
        </is>
      </c>
      <c r="AI884" t="inlineStr"/>
      <c r="AJ884" t="n">
        <v>16.65</v>
      </c>
    </row>
    <row r="885">
      <c r="A885" t="inlineStr">
        <is>
          <t>Moscow City University</t>
        </is>
      </c>
      <c r="B885" t="inlineStr">
        <is>
          <t>Russian Federation</t>
        </is>
      </c>
      <c r="C885" t="inlineStr">
        <is>
          <t>1401+</t>
        </is>
      </c>
      <c r="D885" t="inlineStr"/>
      <c r="E885" t="n">
        <v>7.1</v>
      </c>
      <c r="F885" t="n">
        <v>1.9</v>
      </c>
      <c r="G885" t="n">
        <v>10.7</v>
      </c>
      <c r="H885" t="n">
        <v>1.1</v>
      </c>
      <c r="I885" t="n">
        <v>2.7</v>
      </c>
      <c r="J885" t="n">
        <v>3.3</v>
      </c>
      <c r="K885" t="n">
        <v>2.5</v>
      </c>
      <c r="L885" t="n">
        <v>1.9</v>
      </c>
      <c r="M885" t="n">
        <v>1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n">
        <v>1401</v>
      </c>
      <c r="Z885" t="inlineStr"/>
      <c r="AA885" t="inlineStr"/>
      <c r="AB885" t="inlineStr">
        <is>
          <t>U0884</t>
        </is>
      </c>
      <c r="AC885" t="inlineStr">
        <is>
          <t>RU</t>
        </is>
      </c>
      <c r="AD885" t="inlineStr"/>
      <c r="AE885" t="n">
        <v>1.1</v>
      </c>
      <c r="AF885" t="inlineStr"/>
      <c r="AG885" t="inlineStr"/>
      <c r="AH885" t="inlineStr"/>
      <c r="AI885" t="n">
        <v>7.1</v>
      </c>
      <c r="AJ885" t="n">
        <v>13.72</v>
      </c>
    </row>
    <row r="886">
      <c r="A886" t="inlineStr">
        <is>
          <t>Moscow Institute of Physics and Technology (MIPT / Moscow Phystech)</t>
        </is>
      </c>
      <c r="B886" t="inlineStr">
        <is>
          <t>Russian Federation</t>
        </is>
      </c>
      <c r="C886" t="inlineStr">
        <is>
          <t>456</t>
        </is>
      </c>
      <c r="D886" t="n">
        <v>26.3</v>
      </c>
      <c r="E886" t="n">
        <v>16.6</v>
      </c>
      <c r="F886" t="n">
        <v>23.6</v>
      </c>
      <c r="G886" t="n">
        <v>94.59999999999999</v>
      </c>
      <c r="H886" t="n">
        <v>12</v>
      </c>
      <c r="I886" t="n">
        <v>31.1</v>
      </c>
      <c r="J886" t="n">
        <v>45.5</v>
      </c>
      <c r="K886" t="n">
        <v>41.7</v>
      </c>
      <c r="L886" t="n">
        <v>17.6</v>
      </c>
      <c r="M886" t="n">
        <v>1</v>
      </c>
      <c r="N886" t="inlineStr">
        <is>
          <t>201–250</t>
        </is>
      </c>
      <c r="O886" t="inlineStr">
        <is>
          <t>55.9–58.6</t>
        </is>
      </c>
      <c r="P886" t="n">
        <v>63.5</v>
      </c>
      <c r="Q886" t="n">
        <v>48.8</v>
      </c>
      <c r="R886" t="n">
        <v>55.1</v>
      </c>
      <c r="S886" t="n">
        <v>68.59999999999999</v>
      </c>
      <c r="T886" t="n">
        <v>72.7</v>
      </c>
      <c r="U886" t="inlineStr">
        <is>
          <t>6,111</t>
        </is>
      </c>
      <c r="V886" t="n">
        <v>11.6</v>
      </c>
      <c r="W886" t="inlineStr">
        <is>
          <t>21%</t>
        </is>
      </c>
      <c r="X886" t="inlineStr"/>
      <c r="Y886" t="n">
        <v>456</v>
      </c>
      <c r="Z886" t="n">
        <v>201</v>
      </c>
      <c r="AA886" t="n">
        <v>57.25</v>
      </c>
      <c r="AB886" t="inlineStr">
        <is>
          <t>U0885</t>
        </is>
      </c>
      <c r="AC886" t="inlineStr">
        <is>
          <t>RU</t>
        </is>
      </c>
      <c r="AD886" t="n">
        <v>26.3</v>
      </c>
      <c r="AE886" t="n">
        <v>12</v>
      </c>
      <c r="AF886" t="n">
        <v>11.6</v>
      </c>
      <c r="AG886" t="inlineStr">
        <is>
          <t>1:11.6</t>
        </is>
      </c>
      <c r="AH886" t="inlineStr">
        <is>
          <t>21%</t>
        </is>
      </c>
      <c r="AI886" t="n">
        <v>16.6</v>
      </c>
      <c r="AJ886" t="n">
        <v>40.19</v>
      </c>
    </row>
    <row r="887">
      <c r="A887" t="inlineStr">
        <is>
          <t>Moscow Pedagogical State University</t>
        </is>
      </c>
      <c r="B887" t="inlineStr">
        <is>
          <t>Russian Federation</t>
        </is>
      </c>
      <c r="C887" t="inlineStr">
        <is>
          <t>1201-1400</t>
        </is>
      </c>
      <c r="D887" t="inlineStr"/>
      <c r="E887" t="n">
        <v>7.8</v>
      </c>
      <c r="F887" t="n">
        <v>3.6</v>
      </c>
      <c r="G887" t="n">
        <v>7.2</v>
      </c>
      <c r="H887" t="n">
        <v>1.3</v>
      </c>
      <c r="I887" t="n">
        <v>1.2</v>
      </c>
      <c r="J887" t="n">
        <v>23.8</v>
      </c>
      <c r="K887" t="n">
        <v>6.8</v>
      </c>
      <c r="L887" t="n">
        <v>1.8</v>
      </c>
      <c r="M887" t="n">
        <v>1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n">
        <v>1201</v>
      </c>
      <c r="Z887" t="inlineStr"/>
      <c r="AA887" t="inlineStr"/>
      <c r="AB887" t="inlineStr">
        <is>
          <t>U0886</t>
        </is>
      </c>
      <c r="AC887" t="inlineStr">
        <is>
          <t>RU</t>
        </is>
      </c>
      <c r="AD887" t="inlineStr"/>
      <c r="AE887" t="n">
        <v>1.3</v>
      </c>
      <c r="AF887" t="inlineStr"/>
      <c r="AG887" t="inlineStr"/>
      <c r="AH887" t="inlineStr"/>
      <c r="AI887" t="n">
        <v>7.8</v>
      </c>
      <c r="AJ887" t="n">
        <v>13.78</v>
      </c>
    </row>
    <row r="888">
      <c r="A888" t="inlineStr">
        <is>
          <t>Moscow Polytechnic University</t>
        </is>
      </c>
      <c r="B888" t="inlineStr">
        <is>
          <t>Russian Federation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>
        <is>
          <t>1501+</t>
        </is>
      </c>
      <c r="O888" t="inlineStr">
        <is>
          <t>9.7–22.7</t>
        </is>
      </c>
      <c r="P888" t="n">
        <v>17</v>
      </c>
      <c r="Q888" t="n">
        <v>10.3</v>
      </c>
      <c r="R888" t="n">
        <v>11</v>
      </c>
      <c r="S888" t="n">
        <v>19</v>
      </c>
      <c r="T888" t="n">
        <v>32.3</v>
      </c>
      <c r="U888" t="inlineStr">
        <is>
          <t>10,148</t>
        </is>
      </c>
      <c r="V888" t="n">
        <v>16</v>
      </c>
      <c r="W888" t="inlineStr">
        <is>
          <t>13%</t>
        </is>
      </c>
      <c r="X888" t="inlineStr">
        <is>
          <t>39 : 61</t>
        </is>
      </c>
      <c r="Y888" t="inlineStr"/>
      <c r="Z888" t="n">
        <v>1501</v>
      </c>
      <c r="AA888" t="n">
        <v>16.2</v>
      </c>
      <c r="AB888" t="inlineStr">
        <is>
          <t>U0887</t>
        </is>
      </c>
      <c r="AC888" t="inlineStr">
        <is>
          <t>RU</t>
        </is>
      </c>
      <c r="AD888" t="n">
        <v>16.2</v>
      </c>
      <c r="AE888" t="n">
        <v>11</v>
      </c>
      <c r="AF888" t="n">
        <v>16</v>
      </c>
      <c r="AG888" t="inlineStr">
        <is>
          <t>1:16.0</t>
        </is>
      </c>
      <c r="AH888" t="inlineStr">
        <is>
          <t>13%</t>
        </is>
      </c>
      <c r="AI888" t="inlineStr"/>
      <c r="AJ888" t="n">
        <v>9.94</v>
      </c>
    </row>
    <row r="889">
      <c r="A889" t="inlineStr">
        <is>
          <t>Moscow Power Engineering Institute</t>
        </is>
      </c>
      <c r="B889" t="inlineStr">
        <is>
          <t>Russian Federation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>
        <is>
          <t>1201–1500</t>
        </is>
      </c>
      <c r="O889" t="inlineStr">
        <is>
          <t>22.8–28.2</t>
        </is>
      </c>
      <c r="P889" t="n">
        <v>23.6</v>
      </c>
      <c r="Q889" t="n">
        <v>18.3</v>
      </c>
      <c r="R889" t="n">
        <v>20.4</v>
      </c>
      <c r="S889" t="n">
        <v>51.4</v>
      </c>
      <c r="T889" t="n">
        <v>39.9</v>
      </c>
      <c r="U889" t="inlineStr">
        <is>
          <t>14,248</t>
        </is>
      </c>
      <c r="V889" t="n">
        <v>20.7</v>
      </c>
      <c r="W889" t="inlineStr">
        <is>
          <t>14%</t>
        </is>
      </c>
      <c r="X889" t="inlineStr">
        <is>
          <t>33 : 67</t>
        </is>
      </c>
      <c r="Y889" t="inlineStr"/>
      <c r="Z889" t="n">
        <v>1201</v>
      </c>
      <c r="AA889" t="n">
        <v>25.5</v>
      </c>
      <c r="AB889" t="inlineStr">
        <is>
          <t>U0888</t>
        </is>
      </c>
      <c r="AC889" t="inlineStr">
        <is>
          <t>RU</t>
        </is>
      </c>
      <c r="AD889" t="n">
        <v>25.5</v>
      </c>
      <c r="AE889" t="n">
        <v>20.4</v>
      </c>
      <c r="AF889" t="n">
        <v>20.7</v>
      </c>
      <c r="AG889" t="inlineStr">
        <is>
          <t>1:20.7</t>
        </is>
      </c>
      <c r="AH889" t="inlineStr">
        <is>
          <t>14%</t>
        </is>
      </c>
      <c r="AI889" t="inlineStr"/>
      <c r="AJ889" t="n">
        <v>18.81</v>
      </c>
    </row>
    <row r="890">
      <c r="A890" t="inlineStr">
        <is>
          <t>Moscow State University of Civil Engineering</t>
        </is>
      </c>
      <c r="B890" t="inlineStr">
        <is>
          <t>Russian Federation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>
        <is>
          <t>1501+</t>
        </is>
      </c>
      <c r="O890" t="inlineStr">
        <is>
          <t>9.7–22.7</t>
        </is>
      </c>
      <c r="P890" t="n">
        <v>20.3</v>
      </c>
      <c r="Q890" t="n">
        <v>11.6</v>
      </c>
      <c r="R890" t="n">
        <v>25.3</v>
      </c>
      <c r="S890" t="n">
        <v>39.6</v>
      </c>
      <c r="T890" t="n">
        <v>25</v>
      </c>
      <c r="U890" t="inlineStr">
        <is>
          <t>12,468</t>
        </is>
      </c>
      <c r="V890" t="n">
        <v>13.3</v>
      </c>
      <c r="W890" t="inlineStr">
        <is>
          <t>7%</t>
        </is>
      </c>
      <c r="X890" t="inlineStr"/>
      <c r="Y890" t="inlineStr"/>
      <c r="Z890" t="n">
        <v>1501</v>
      </c>
      <c r="AA890" t="n">
        <v>16.2</v>
      </c>
      <c r="AB890" t="inlineStr">
        <is>
          <t>U0889</t>
        </is>
      </c>
      <c r="AC890" t="inlineStr">
        <is>
          <t>RU</t>
        </is>
      </c>
      <c r="AD890" t="n">
        <v>16.2</v>
      </c>
      <c r="AE890" t="n">
        <v>25.3</v>
      </c>
      <c r="AF890" t="n">
        <v>13.3</v>
      </c>
      <c r="AG890" t="inlineStr">
        <is>
          <t>1:13.3</t>
        </is>
      </c>
      <c r="AH890" t="inlineStr">
        <is>
          <t>7%</t>
        </is>
      </c>
      <c r="AI890" t="inlineStr"/>
      <c r="AJ890" t="n">
        <v>13.18</v>
      </c>
    </row>
    <row r="891">
      <c r="A891" t="inlineStr">
        <is>
          <t>Moulay Ismail University</t>
        </is>
      </c>
      <c r="B891" t="inlineStr">
        <is>
          <t>Morocco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>
        <is>
          <t>1501+</t>
        </is>
      </c>
      <c r="O891" t="inlineStr">
        <is>
          <t>9.7–22.7</t>
        </is>
      </c>
      <c r="P891" t="n">
        <v>9.6</v>
      </c>
      <c r="Q891" t="n">
        <v>9.1</v>
      </c>
      <c r="R891" t="n">
        <v>40.9</v>
      </c>
      <c r="S891" t="n">
        <v>16.5</v>
      </c>
      <c r="T891" t="n">
        <v>25.9</v>
      </c>
      <c r="U891" t="inlineStr">
        <is>
          <t>80,390</t>
        </is>
      </c>
      <c r="V891" t="n">
        <v>71</v>
      </c>
      <c r="W891" t="inlineStr">
        <is>
          <t>0%</t>
        </is>
      </c>
      <c r="X891" t="inlineStr">
        <is>
          <t>54 : 46</t>
        </is>
      </c>
      <c r="Y891" t="inlineStr"/>
      <c r="Z891" t="n">
        <v>1501</v>
      </c>
      <c r="AA891" t="n">
        <v>16.2</v>
      </c>
      <c r="AB891" t="inlineStr">
        <is>
          <t>U0890</t>
        </is>
      </c>
      <c r="AC891" t="inlineStr">
        <is>
          <t>MO</t>
        </is>
      </c>
      <c r="AD891" t="n">
        <v>16.2</v>
      </c>
      <c r="AE891" t="n">
        <v>40.9</v>
      </c>
      <c r="AF891" t="n">
        <v>71</v>
      </c>
      <c r="AG891" t="inlineStr">
        <is>
          <t>1:71.0</t>
        </is>
      </c>
      <c r="AH891" t="inlineStr">
        <is>
          <t>0%</t>
        </is>
      </c>
      <c r="AI891" t="inlineStr"/>
      <c r="AJ891" t="n">
        <v>16.82</v>
      </c>
    </row>
    <row r="892">
      <c r="A892" t="inlineStr">
        <is>
          <t>Muhimbili University of Health and Allied Sciences</t>
        </is>
      </c>
      <c r="B892" t="inlineStr">
        <is>
          <t>Tanzania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>
        <is>
          <t>1001–1200</t>
        </is>
      </c>
      <c r="O892" t="inlineStr">
        <is>
          <t>28.3–32.6</t>
        </is>
      </c>
      <c r="P892" t="n">
        <v>18</v>
      </c>
      <c r="Q892" t="n">
        <v>13.1</v>
      </c>
      <c r="R892" t="n">
        <v>55.3</v>
      </c>
      <c r="S892" t="n">
        <v>23.5</v>
      </c>
      <c r="T892" t="n">
        <v>50.5</v>
      </c>
      <c r="U892" t="inlineStr">
        <is>
          <t>4,833</t>
        </is>
      </c>
      <c r="V892" t="n">
        <v>14</v>
      </c>
      <c r="W892" t="inlineStr">
        <is>
          <t>2%</t>
        </is>
      </c>
      <c r="X892" t="inlineStr">
        <is>
          <t>33 : 67</t>
        </is>
      </c>
      <c r="Y892" t="inlineStr"/>
      <c r="Z892" t="n">
        <v>1001</v>
      </c>
      <c r="AA892" t="n">
        <v>30.45</v>
      </c>
      <c r="AB892" t="inlineStr">
        <is>
          <t>U0891</t>
        </is>
      </c>
      <c r="AC892" t="inlineStr">
        <is>
          <t>TA</t>
        </is>
      </c>
      <c r="AD892" t="n">
        <v>30.45</v>
      </c>
      <c r="AE892" t="n">
        <v>55.3</v>
      </c>
      <c r="AF892" t="n">
        <v>14</v>
      </c>
      <c r="AG892" t="inlineStr">
        <is>
          <t>1:14.0</t>
        </is>
      </c>
      <c r="AH892" t="inlineStr">
        <is>
          <t>2%</t>
        </is>
      </c>
      <c r="AI892" t="inlineStr"/>
      <c r="AJ892" t="n">
        <v>29.23</v>
      </c>
    </row>
    <row r="893">
      <c r="A893" t="inlineStr">
        <is>
          <t>Multimedia University (MMU)</t>
        </is>
      </c>
      <c r="B893" t="inlineStr">
        <is>
          <t>Malaysia</t>
        </is>
      </c>
      <c r="C893" t="inlineStr">
        <is>
          <t>1001-1200</t>
        </is>
      </c>
      <c r="D893" t="inlineStr"/>
      <c r="E893" t="n">
        <v>11</v>
      </c>
      <c r="F893" t="n">
        <v>15.4</v>
      </c>
      <c r="G893" t="n">
        <v>10.9</v>
      </c>
      <c r="H893" t="n">
        <v>4.7</v>
      </c>
      <c r="I893" t="n">
        <v>28.5</v>
      </c>
      <c r="J893" t="n">
        <v>30.3</v>
      </c>
      <c r="K893" t="n">
        <v>19.6</v>
      </c>
      <c r="L893" t="n">
        <v>3.8</v>
      </c>
      <c r="M893" t="n">
        <v>3.7</v>
      </c>
      <c r="N893" t="inlineStr">
        <is>
          <t>1201–1500</t>
        </is>
      </c>
      <c r="O893" t="inlineStr">
        <is>
          <t>22.8–28.2</t>
        </is>
      </c>
      <c r="P893" t="n">
        <v>19.5</v>
      </c>
      <c r="Q893" t="n">
        <v>13</v>
      </c>
      <c r="R893" t="n">
        <v>29</v>
      </c>
      <c r="S893" t="n">
        <v>62.2</v>
      </c>
      <c r="T893" t="n">
        <v>41.2</v>
      </c>
      <c r="U893" t="inlineStr">
        <is>
          <t>8,893</t>
        </is>
      </c>
      <c r="V893" t="n">
        <v>16.3</v>
      </c>
      <c r="W893" t="inlineStr">
        <is>
          <t>9%</t>
        </is>
      </c>
      <c r="X893" t="inlineStr">
        <is>
          <t>45 : 55</t>
        </is>
      </c>
      <c r="Y893" t="n">
        <v>1001</v>
      </c>
      <c r="Z893" t="n">
        <v>1201</v>
      </c>
      <c r="AA893" t="n">
        <v>25.5</v>
      </c>
      <c r="AB893" t="inlineStr">
        <is>
          <t>U0892</t>
        </is>
      </c>
      <c r="AC893" t="inlineStr">
        <is>
          <t>MA</t>
        </is>
      </c>
      <c r="AD893" t="n">
        <v>25.5</v>
      </c>
      <c r="AE893" t="n">
        <v>4.7</v>
      </c>
      <c r="AF893" t="n">
        <v>16.3</v>
      </c>
      <c r="AG893" t="inlineStr">
        <is>
          <t>1:16.3</t>
        </is>
      </c>
      <c r="AH893" t="inlineStr">
        <is>
          <t>9%</t>
        </is>
      </c>
      <c r="AI893" t="n">
        <v>11</v>
      </c>
      <c r="AJ893" t="n">
        <v>11.59</v>
      </c>
    </row>
    <row r="894">
      <c r="A894" t="inlineStr">
        <is>
          <t>Murdoch University</t>
        </is>
      </c>
      <c r="B894" t="inlineStr">
        <is>
          <t>Australia</t>
        </is>
      </c>
      <c r="C894" t="inlineStr">
        <is>
          <t>436</t>
        </is>
      </c>
      <c r="D894" t="n">
        <v>27.2</v>
      </c>
      <c r="E894" t="n">
        <v>8</v>
      </c>
      <c r="F894" t="n">
        <v>4.5</v>
      </c>
      <c r="G894" t="n">
        <v>5.2</v>
      </c>
      <c r="H894" t="n">
        <v>57.3</v>
      </c>
      <c r="I894" t="n">
        <v>85.59999999999999</v>
      </c>
      <c r="J894" t="n">
        <v>73.90000000000001</v>
      </c>
      <c r="K894" t="n">
        <v>74.90000000000001</v>
      </c>
      <c r="L894" t="n">
        <v>14.8</v>
      </c>
      <c r="M894" t="n">
        <v>11.3</v>
      </c>
      <c r="N894" t="inlineStr">
        <is>
          <t>351–400</t>
        </is>
      </c>
      <c r="O894" t="inlineStr">
        <is>
          <t>49.1–51.0</t>
        </is>
      </c>
      <c r="P894" t="n">
        <v>23.2</v>
      </c>
      <c r="Q894" t="n">
        <v>29.6</v>
      </c>
      <c r="R894" t="n">
        <v>81.40000000000001</v>
      </c>
      <c r="S894" t="n">
        <v>67.2</v>
      </c>
      <c r="T894" t="n">
        <v>94.2</v>
      </c>
      <c r="U894" t="inlineStr">
        <is>
          <t>14,816</t>
        </is>
      </c>
      <c r="V894" t="n">
        <v>34</v>
      </c>
      <c r="W894" t="inlineStr">
        <is>
          <t>38%</t>
        </is>
      </c>
      <c r="X894" t="inlineStr">
        <is>
          <t>62 : 38</t>
        </is>
      </c>
      <c r="Y894" t="n">
        <v>436</v>
      </c>
      <c r="Z894" t="n">
        <v>351</v>
      </c>
      <c r="AA894" t="n">
        <v>50.05</v>
      </c>
      <c r="AB894" t="inlineStr">
        <is>
          <t>U0893</t>
        </is>
      </c>
      <c r="AC894" t="inlineStr">
        <is>
          <t>AU</t>
        </is>
      </c>
      <c r="AD894" t="n">
        <v>27.2</v>
      </c>
      <c r="AE894" t="n">
        <v>57.3</v>
      </c>
      <c r="AF894" t="n">
        <v>34</v>
      </c>
      <c r="AG894" t="inlineStr">
        <is>
          <t>1:34.0</t>
        </is>
      </c>
      <c r="AH894" t="inlineStr">
        <is>
          <t>38%</t>
        </is>
      </c>
      <c r="AI894" t="n">
        <v>8</v>
      </c>
      <c r="AJ894" t="n">
        <v>49.05</v>
      </c>
    </row>
    <row r="895">
      <c r="A895" t="inlineStr">
        <is>
          <t>Muroran Institute of Technology</t>
        </is>
      </c>
      <c r="B895" t="inlineStr">
        <is>
          <t>Japan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>
        <is>
          <t>1501+</t>
        </is>
      </c>
      <c r="O895" t="inlineStr">
        <is>
          <t>9.7–22.7</t>
        </is>
      </c>
      <c r="P895" t="n">
        <v>21.7</v>
      </c>
      <c r="Q895" t="n">
        <v>10.6</v>
      </c>
      <c r="R895" t="n">
        <v>22.9</v>
      </c>
      <c r="S895" t="n">
        <v>33.5</v>
      </c>
      <c r="T895" t="n">
        <v>40</v>
      </c>
      <c r="U895" t="inlineStr">
        <is>
          <t>3,364</t>
        </is>
      </c>
      <c r="V895" t="n">
        <v>20.5</v>
      </c>
      <c r="W895" t="inlineStr">
        <is>
          <t>6%</t>
        </is>
      </c>
      <c r="X895" t="inlineStr">
        <is>
          <t>14 : 86</t>
        </is>
      </c>
      <c r="Y895" t="inlineStr"/>
      <c r="Z895" t="n">
        <v>1501</v>
      </c>
      <c r="AA895" t="n">
        <v>16.2</v>
      </c>
      <c r="AB895" t="inlineStr">
        <is>
          <t>U0894</t>
        </is>
      </c>
      <c r="AC895" t="inlineStr">
        <is>
          <t>JA</t>
        </is>
      </c>
      <c r="AD895" t="n">
        <v>16.2</v>
      </c>
      <c r="AE895" t="n">
        <v>22.9</v>
      </c>
      <c r="AF895" t="n">
        <v>20.5</v>
      </c>
      <c r="AG895" t="inlineStr">
        <is>
          <t>1:20.5</t>
        </is>
      </c>
      <c r="AH895" t="inlineStr">
        <is>
          <t>6%</t>
        </is>
      </c>
      <c r="AI895" t="inlineStr"/>
      <c r="AJ895" t="n">
        <v>15.56</v>
      </c>
    </row>
    <row r="896">
      <c r="A896" t="inlineStr">
        <is>
          <t>Mustansiriyah University</t>
        </is>
      </c>
      <c r="B896" t="inlineStr">
        <is>
          <t>Iraq</t>
        </is>
      </c>
      <c r="C896" t="inlineStr">
        <is>
          <t>1001-1200</t>
        </is>
      </c>
      <c r="D896" t="inlineStr"/>
      <c r="E896" t="n">
        <v>5</v>
      </c>
      <c r="F896" t="n">
        <v>8.4</v>
      </c>
      <c r="G896" t="n">
        <v>51.2</v>
      </c>
      <c r="H896" t="n">
        <v>1.3</v>
      </c>
      <c r="I896" t="n">
        <v>35.7</v>
      </c>
      <c r="J896" t="n">
        <v>3.6</v>
      </c>
      <c r="K896" t="n">
        <v>14</v>
      </c>
      <c r="L896" t="n">
        <v>4.2</v>
      </c>
      <c r="M896" t="n">
        <v>1.1</v>
      </c>
      <c r="N896" t="inlineStr">
        <is>
          <t>1501+</t>
        </is>
      </c>
      <c r="O896" t="inlineStr">
        <is>
          <t>9.7–22.7</t>
        </is>
      </c>
      <c r="P896" t="n">
        <v>25.3</v>
      </c>
      <c r="Q896" t="n">
        <v>8.4</v>
      </c>
      <c r="R896" t="n">
        <v>16</v>
      </c>
      <c r="S896" t="n">
        <v>19.1</v>
      </c>
      <c r="T896" t="n">
        <v>32.5</v>
      </c>
      <c r="U896" t="inlineStr">
        <is>
          <t>30,964</t>
        </is>
      </c>
      <c r="V896" t="n">
        <v>6.5</v>
      </c>
      <c r="W896" t="inlineStr">
        <is>
          <t>1%</t>
        </is>
      </c>
      <c r="X896" t="inlineStr">
        <is>
          <t>52 : 48</t>
        </is>
      </c>
      <c r="Y896" t="n">
        <v>1001</v>
      </c>
      <c r="Z896" t="n">
        <v>1501</v>
      </c>
      <c r="AA896" t="n">
        <v>16.2</v>
      </c>
      <c r="AB896" t="inlineStr">
        <is>
          <t>U0895</t>
        </is>
      </c>
      <c r="AC896" t="inlineStr">
        <is>
          <t>IR</t>
        </is>
      </c>
      <c r="AD896" t="n">
        <v>16.2</v>
      </c>
      <c r="AE896" t="n">
        <v>1.3</v>
      </c>
      <c r="AF896" t="n">
        <v>6.5</v>
      </c>
      <c r="AG896" t="inlineStr">
        <is>
          <t>1:6.5</t>
        </is>
      </c>
      <c r="AH896" t="inlineStr">
        <is>
          <t>1%</t>
        </is>
      </c>
      <c r="AI896" t="n">
        <v>5</v>
      </c>
      <c r="AJ896" t="n">
        <v>6.05</v>
      </c>
    </row>
    <row r="897">
      <c r="A897" t="inlineStr">
        <is>
          <t>Mutah University</t>
        </is>
      </c>
      <c r="B897" t="inlineStr">
        <is>
          <t>Jordan</t>
        </is>
      </c>
      <c r="C897" t="inlineStr">
        <is>
          <t>1001-1200</t>
        </is>
      </c>
      <c r="D897" t="inlineStr"/>
      <c r="E897" t="n">
        <v>9.1</v>
      </c>
      <c r="F897" t="n">
        <v>11</v>
      </c>
      <c r="G897" t="n">
        <v>11</v>
      </c>
      <c r="H897" t="n">
        <v>1.8</v>
      </c>
      <c r="I897" t="n">
        <v>10.1</v>
      </c>
      <c r="J897" t="n">
        <v>32.5</v>
      </c>
      <c r="K897" t="n">
        <v>25.7</v>
      </c>
      <c r="L897" t="n">
        <v>7.3</v>
      </c>
      <c r="M897" t="n">
        <v>1.6</v>
      </c>
      <c r="N897" t="inlineStr">
        <is>
          <t>1201–1500</t>
        </is>
      </c>
      <c r="O897" t="inlineStr">
        <is>
          <t>22.8–28.2</t>
        </is>
      </c>
      <c r="P897" t="n">
        <v>29.7</v>
      </c>
      <c r="Q897" t="n">
        <v>11.5</v>
      </c>
      <c r="R897" t="n">
        <v>27.6</v>
      </c>
      <c r="S897" t="n">
        <v>20.9</v>
      </c>
      <c r="T897" t="n">
        <v>61.2</v>
      </c>
      <c r="U897" t="inlineStr">
        <is>
          <t>11,348</t>
        </is>
      </c>
      <c r="V897" t="n">
        <v>15.5</v>
      </c>
      <c r="W897" t="inlineStr">
        <is>
          <t>18%</t>
        </is>
      </c>
      <c r="X897" t="inlineStr">
        <is>
          <t>44 : 56</t>
        </is>
      </c>
      <c r="Y897" t="n">
        <v>1001</v>
      </c>
      <c r="Z897" t="n">
        <v>1201</v>
      </c>
      <c r="AA897" t="n">
        <v>25.5</v>
      </c>
      <c r="AB897" t="inlineStr">
        <is>
          <t>U0896</t>
        </is>
      </c>
      <c r="AC897" t="inlineStr">
        <is>
          <t>JO</t>
        </is>
      </c>
      <c r="AD897" t="n">
        <v>25.5</v>
      </c>
      <c r="AE897" t="n">
        <v>1.8</v>
      </c>
      <c r="AF897" t="n">
        <v>15.5</v>
      </c>
      <c r="AG897" t="inlineStr">
        <is>
          <t>1:15.5</t>
        </is>
      </c>
      <c r="AH897" t="inlineStr">
        <is>
          <t>18%</t>
        </is>
      </c>
      <c r="AI897" t="n">
        <v>9.1</v>
      </c>
      <c r="AJ897" t="n">
        <v>14.77</v>
      </c>
    </row>
    <row r="898">
      <c r="A898" t="inlineStr">
        <is>
          <t>Mykolas Romeris University</t>
        </is>
      </c>
      <c r="B898" t="inlineStr">
        <is>
          <t>Lithuania</t>
        </is>
      </c>
      <c r="C898" t="inlineStr">
        <is>
          <t>1001-1200</t>
        </is>
      </c>
      <c r="D898" t="inlineStr"/>
      <c r="E898" t="n">
        <v>6.2</v>
      </c>
      <c r="F898" t="n">
        <v>8.699999999999999</v>
      </c>
      <c r="G898" t="n">
        <v>13.9</v>
      </c>
      <c r="H898" t="n">
        <v>4.5</v>
      </c>
      <c r="I898" t="n">
        <v>14</v>
      </c>
      <c r="J898" t="n">
        <v>35.3</v>
      </c>
      <c r="K898" t="n">
        <v>15</v>
      </c>
      <c r="L898" t="n">
        <v>47.2</v>
      </c>
      <c r="M898" t="n">
        <v>11.8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n">
        <v>1001</v>
      </c>
      <c r="Z898" t="inlineStr"/>
      <c r="AA898" t="inlineStr"/>
      <c r="AB898" t="inlineStr">
        <is>
          <t>U0897</t>
        </is>
      </c>
      <c r="AC898" t="inlineStr">
        <is>
          <t>LI</t>
        </is>
      </c>
      <c r="AD898" t="inlineStr"/>
      <c r="AE898" t="n">
        <v>4.5</v>
      </c>
      <c r="AF898" t="inlineStr"/>
      <c r="AG898" t="inlineStr"/>
      <c r="AH898" t="inlineStr"/>
      <c r="AI898" t="n">
        <v>6.2</v>
      </c>
      <c r="AJ898" t="n">
        <v>14.75</v>
      </c>
    </row>
    <row r="899">
      <c r="A899" t="inlineStr">
        <is>
          <t>Nagaoka University of Technology</t>
        </is>
      </c>
      <c r="B899" t="inlineStr">
        <is>
          <t>Japan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>
        <is>
          <t>1201–1500</t>
        </is>
      </c>
      <c r="O899" t="inlineStr">
        <is>
          <t>22.8–28.2</t>
        </is>
      </c>
      <c r="P899" t="n">
        <v>34.3</v>
      </c>
      <c r="Q899" t="n">
        <v>16.4</v>
      </c>
      <c r="R899" t="n">
        <v>19.9</v>
      </c>
      <c r="S899" t="n">
        <v>62.1</v>
      </c>
      <c r="T899" t="n">
        <v>43.2</v>
      </c>
      <c r="U899" t="inlineStr">
        <is>
          <t>2,127</t>
        </is>
      </c>
      <c r="V899" t="n">
        <v>10.2</v>
      </c>
      <c r="W899" t="inlineStr">
        <is>
          <t>12%</t>
        </is>
      </c>
      <c r="X899" t="inlineStr">
        <is>
          <t>12 : 88</t>
        </is>
      </c>
      <c r="Y899" t="inlineStr"/>
      <c r="Z899" t="n">
        <v>1201</v>
      </c>
      <c r="AA899" t="n">
        <v>25.5</v>
      </c>
      <c r="AB899" t="inlineStr">
        <is>
          <t>U0898</t>
        </is>
      </c>
      <c r="AC899" t="inlineStr">
        <is>
          <t>JA</t>
        </is>
      </c>
      <c r="AD899" t="n">
        <v>25.5</v>
      </c>
      <c r="AE899" t="n">
        <v>19.9</v>
      </c>
      <c r="AF899" t="n">
        <v>10.2</v>
      </c>
      <c r="AG899" t="inlineStr">
        <is>
          <t>1:10.2</t>
        </is>
      </c>
      <c r="AH899" t="inlineStr">
        <is>
          <t>12%</t>
        </is>
      </c>
      <c r="AI899" t="inlineStr"/>
      <c r="AJ899" t="n">
        <v>18.47</v>
      </c>
    </row>
    <row r="900">
      <c r="A900" t="inlineStr">
        <is>
          <t>Nagasaki University</t>
        </is>
      </c>
      <c r="B900" t="inlineStr">
        <is>
          <t>Japan</t>
        </is>
      </c>
      <c r="C900" t="inlineStr">
        <is>
          <t>851-900</t>
        </is>
      </c>
      <c r="D900" t="inlineStr"/>
      <c r="E900" t="n">
        <v>6.9</v>
      </c>
      <c r="F900" t="n">
        <v>2.3</v>
      </c>
      <c r="G900" t="n">
        <v>81</v>
      </c>
      <c r="H900" t="n">
        <v>6.3</v>
      </c>
      <c r="I900" t="n">
        <v>5.8</v>
      </c>
      <c r="J900" t="n">
        <v>4.7</v>
      </c>
      <c r="K900" t="n">
        <v>49.2</v>
      </c>
      <c r="L900" t="n">
        <v>3</v>
      </c>
      <c r="M900" t="n">
        <v>2.1</v>
      </c>
      <c r="N900" t="inlineStr">
        <is>
          <t>1201–1500</t>
        </is>
      </c>
      <c r="O900" t="inlineStr">
        <is>
          <t>22.8–28.2</t>
        </is>
      </c>
      <c r="P900" t="n">
        <v>29.4</v>
      </c>
      <c r="Q900" t="n">
        <v>14.8</v>
      </c>
      <c r="R900" t="n">
        <v>28.5</v>
      </c>
      <c r="S900" t="n">
        <v>48.4</v>
      </c>
      <c r="T900" t="n">
        <v>40.3</v>
      </c>
      <c r="U900" t="inlineStr">
        <is>
          <t>8,782</t>
        </is>
      </c>
      <c r="V900" t="n">
        <v>6.7</v>
      </c>
      <c r="W900" t="inlineStr">
        <is>
          <t>5%</t>
        </is>
      </c>
      <c r="X900" t="inlineStr">
        <is>
          <t>39 : 61</t>
        </is>
      </c>
      <c r="Y900" t="n">
        <v>851</v>
      </c>
      <c r="Z900" t="n">
        <v>1201</v>
      </c>
      <c r="AA900" t="n">
        <v>25.5</v>
      </c>
      <c r="AB900" t="inlineStr">
        <is>
          <t>U0899</t>
        </is>
      </c>
      <c r="AC900" t="inlineStr">
        <is>
          <t>JA</t>
        </is>
      </c>
      <c r="AD900" t="n">
        <v>25.5</v>
      </c>
      <c r="AE900" t="n">
        <v>6.3</v>
      </c>
      <c r="AF900" t="n">
        <v>6.7</v>
      </c>
      <c r="AG900" t="inlineStr">
        <is>
          <t>1:6.7</t>
        </is>
      </c>
      <c r="AH900" t="inlineStr">
        <is>
          <t>5%</t>
        </is>
      </c>
      <c r="AI900" t="n">
        <v>6.9</v>
      </c>
      <c r="AJ900" t="n">
        <v>12.8</v>
      </c>
    </row>
    <row r="901">
      <c r="A901" t="inlineStr">
        <is>
          <t>Nagoya City University</t>
        </is>
      </c>
      <c r="B901" t="inlineStr">
        <is>
          <t>Japan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1001–1200</t>
        </is>
      </c>
      <c r="O901" t="inlineStr">
        <is>
          <t>28.3–32.6</t>
        </is>
      </c>
      <c r="P901" t="n">
        <v>30.4</v>
      </c>
      <c r="Q901" t="n">
        <v>17.5</v>
      </c>
      <c r="R901" t="n">
        <v>32.6</v>
      </c>
      <c r="S901" t="n">
        <v>73.2</v>
      </c>
      <c r="T901" t="n">
        <v>23.6</v>
      </c>
      <c r="U901" t="inlineStr">
        <is>
          <t>4,540</t>
        </is>
      </c>
      <c r="V901" t="n">
        <v>7.4</v>
      </c>
      <c r="W901" t="inlineStr">
        <is>
          <t>3%</t>
        </is>
      </c>
      <c r="X901" t="inlineStr">
        <is>
          <t>53 : 47</t>
        </is>
      </c>
      <c r="Y901" t="inlineStr"/>
      <c r="Z901" t="n">
        <v>1001</v>
      </c>
      <c r="AA901" t="n">
        <v>30.45</v>
      </c>
      <c r="AB901" t="inlineStr">
        <is>
          <t>U0900</t>
        </is>
      </c>
      <c r="AC901" t="inlineStr">
        <is>
          <t>JA</t>
        </is>
      </c>
      <c r="AD901" t="n">
        <v>30.45</v>
      </c>
      <c r="AE901" t="n">
        <v>32.6</v>
      </c>
      <c r="AF901" t="n">
        <v>7.4</v>
      </c>
      <c r="AG901" t="inlineStr">
        <is>
          <t>1:7.4</t>
        </is>
      </c>
      <c r="AH901" t="inlineStr">
        <is>
          <t>3%</t>
        </is>
      </c>
      <c r="AI901" t="inlineStr"/>
      <c r="AJ901" t="n">
        <v>18.15</v>
      </c>
    </row>
    <row r="902">
      <c r="A902" t="inlineStr">
        <is>
          <t>Nagoya Institute of Technology (NIT)</t>
        </is>
      </c>
      <c r="B902" t="inlineStr">
        <is>
          <t>Japan</t>
        </is>
      </c>
      <c r="C902" t="inlineStr">
        <is>
          <t>1201-1400</t>
        </is>
      </c>
      <c r="D902" t="inlineStr"/>
      <c r="E902" t="n">
        <v>5.7</v>
      </c>
      <c r="F902" t="n">
        <v>2.6</v>
      </c>
      <c r="G902" t="n">
        <v>7.5</v>
      </c>
      <c r="H902" t="n">
        <v>14.5</v>
      </c>
      <c r="I902" t="n">
        <v>5.1</v>
      </c>
      <c r="J902" t="n">
        <v>4.1</v>
      </c>
      <c r="K902" t="n">
        <v>18.3</v>
      </c>
      <c r="L902" t="n">
        <v>6</v>
      </c>
      <c r="M902" t="n">
        <v>1</v>
      </c>
      <c r="N902" t="inlineStr">
        <is>
          <t>1201–1500</t>
        </is>
      </c>
      <c r="O902" t="inlineStr">
        <is>
          <t>22.8–28.2</t>
        </is>
      </c>
      <c r="P902" t="n">
        <v>21.5</v>
      </c>
      <c r="Q902" t="n">
        <v>20.3</v>
      </c>
      <c r="R902" t="n">
        <v>23</v>
      </c>
      <c r="S902" t="n">
        <v>73.2</v>
      </c>
      <c r="T902" t="n">
        <v>31.4</v>
      </c>
      <c r="U902" t="inlineStr">
        <is>
          <t>5,760</t>
        </is>
      </c>
      <c r="V902" t="n">
        <v>16.1</v>
      </c>
      <c r="W902" t="inlineStr">
        <is>
          <t>5%</t>
        </is>
      </c>
      <c r="X902" t="inlineStr">
        <is>
          <t>17 : 83</t>
        </is>
      </c>
      <c r="Y902" t="n">
        <v>1201</v>
      </c>
      <c r="Z902" t="n">
        <v>1201</v>
      </c>
      <c r="AA902" t="n">
        <v>25.5</v>
      </c>
      <c r="AB902" t="inlineStr">
        <is>
          <t>U0901</t>
        </is>
      </c>
      <c r="AC902" t="inlineStr">
        <is>
          <t>JA</t>
        </is>
      </c>
      <c r="AD902" t="n">
        <v>25.5</v>
      </c>
      <c r="AE902" t="n">
        <v>14.5</v>
      </c>
      <c r="AF902" t="n">
        <v>16.1</v>
      </c>
      <c r="AG902" t="inlineStr">
        <is>
          <t>1:16.1</t>
        </is>
      </c>
      <c r="AH902" t="inlineStr">
        <is>
          <t>5%</t>
        </is>
      </c>
      <c r="AI902" t="n">
        <v>5.7</v>
      </c>
      <c r="AJ902" t="n">
        <v>16.02</v>
      </c>
    </row>
    <row r="903">
      <c r="A903" t="inlineStr">
        <is>
          <t>Nagoya University</t>
        </is>
      </c>
      <c r="B903" t="inlineStr">
        <is>
          <t>Japan</t>
        </is>
      </c>
      <c r="C903" t="inlineStr">
        <is>
          <t>152</t>
        </is>
      </c>
      <c r="D903" t="n">
        <v>51.9</v>
      </c>
      <c r="E903" t="n">
        <v>63.2</v>
      </c>
      <c r="F903" t="n">
        <v>65.8</v>
      </c>
      <c r="G903" t="n">
        <v>84.7</v>
      </c>
      <c r="H903" t="n">
        <v>25.4</v>
      </c>
      <c r="I903" t="n">
        <v>14.5</v>
      </c>
      <c r="J903" t="n">
        <v>19.6</v>
      </c>
      <c r="K903" t="n">
        <v>64.8</v>
      </c>
      <c r="L903" t="n">
        <v>21.5</v>
      </c>
      <c r="M903" t="n">
        <v>75</v>
      </c>
      <c r="N903" t="inlineStr">
        <is>
          <t>201–250</t>
        </is>
      </c>
      <c r="O903" t="inlineStr">
        <is>
          <t>55.9–58.6</t>
        </is>
      </c>
      <c r="P903" t="n">
        <v>55.3</v>
      </c>
      <c r="Q903" t="n">
        <v>55.7</v>
      </c>
      <c r="R903" t="n">
        <v>54.3</v>
      </c>
      <c r="S903" t="n">
        <v>99.5</v>
      </c>
      <c r="T903" t="n">
        <v>41.9</v>
      </c>
      <c r="U903" t="inlineStr">
        <is>
          <t>15,224</t>
        </is>
      </c>
      <c r="V903" t="n">
        <v>13</v>
      </c>
      <c r="W903" t="inlineStr">
        <is>
          <t>12%</t>
        </is>
      </c>
      <c r="X903" t="inlineStr">
        <is>
          <t>30 : 70</t>
        </is>
      </c>
      <c r="Y903" t="n">
        <v>152</v>
      </c>
      <c r="Z903" t="n">
        <v>201</v>
      </c>
      <c r="AA903" t="n">
        <v>57.25</v>
      </c>
      <c r="AB903" t="inlineStr">
        <is>
          <t>U0902</t>
        </is>
      </c>
      <c r="AC903" t="inlineStr">
        <is>
          <t>JA</t>
        </is>
      </c>
      <c r="AD903" t="n">
        <v>51.9</v>
      </c>
      <c r="AE903" t="n">
        <v>25.4</v>
      </c>
      <c r="AF903" t="n">
        <v>13</v>
      </c>
      <c r="AG903" t="inlineStr">
        <is>
          <t>1:13.0</t>
        </is>
      </c>
      <c r="AH903" t="inlineStr">
        <is>
          <t>12%</t>
        </is>
      </c>
      <c r="AI903" t="n">
        <v>63.2</v>
      </c>
      <c r="AJ903" t="n">
        <v>40.42</v>
      </c>
    </row>
    <row r="904">
      <c r="A904" t="inlineStr">
        <is>
          <t>Najran University</t>
        </is>
      </c>
      <c r="B904" t="inlineStr">
        <is>
          <t>Saudi Arabia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1001–1200</t>
        </is>
      </c>
      <c r="O904" t="inlineStr">
        <is>
          <t>28.3–32.6</t>
        </is>
      </c>
      <c r="P904" t="n">
        <v>13</v>
      </c>
      <c r="Q904" t="n">
        <v>9.800000000000001</v>
      </c>
      <c r="R904" t="n">
        <v>63.4</v>
      </c>
      <c r="S904" t="n">
        <v>16.1</v>
      </c>
      <c r="T904" t="n">
        <v>76.09999999999999</v>
      </c>
      <c r="U904" t="inlineStr">
        <is>
          <t>21,759</t>
        </is>
      </c>
      <c r="V904" t="n">
        <v>18.2</v>
      </c>
      <c r="W904" t="inlineStr">
        <is>
          <t>2%</t>
        </is>
      </c>
      <c r="X904" t="inlineStr">
        <is>
          <t>62 : 38</t>
        </is>
      </c>
      <c r="Y904" t="inlineStr"/>
      <c r="Z904" t="n">
        <v>1001</v>
      </c>
      <c r="AA904" t="n">
        <v>30.45</v>
      </c>
      <c r="AB904" t="inlineStr">
        <is>
          <t>U0903</t>
        </is>
      </c>
      <c r="AC904" t="inlineStr">
        <is>
          <t>SA</t>
        </is>
      </c>
      <c r="AD904" t="n">
        <v>30.45</v>
      </c>
      <c r="AE904" t="n">
        <v>63.4</v>
      </c>
      <c r="AF904" t="n">
        <v>18.2</v>
      </c>
      <c r="AG904" t="inlineStr">
        <is>
          <t>1:18.2</t>
        </is>
      </c>
      <c r="AH904" t="inlineStr">
        <is>
          <t>2%</t>
        </is>
      </c>
      <c r="AI904" t="inlineStr"/>
      <c r="AJ904" t="n">
        <v>36.14</v>
      </c>
    </row>
    <row r="905">
      <c r="A905" t="inlineStr">
        <is>
          <t>Nanjing Agricultural University</t>
        </is>
      </c>
      <c r="B905" t="inlineStr">
        <is>
          <t>China</t>
        </is>
      </c>
      <c r="C905" t="inlineStr">
        <is>
          <t>711-720</t>
        </is>
      </c>
      <c r="D905" t="inlineStr"/>
      <c r="E905" t="n">
        <v>5</v>
      </c>
      <c r="F905" t="n">
        <v>1.9</v>
      </c>
      <c r="G905" t="n">
        <v>7.5</v>
      </c>
      <c r="H905" t="n">
        <v>67.59999999999999</v>
      </c>
      <c r="I905" t="inlineStr"/>
      <c r="J905" t="n">
        <v>1.5</v>
      </c>
      <c r="K905" t="n">
        <v>48.2</v>
      </c>
      <c r="L905" t="n">
        <v>1.4</v>
      </c>
      <c r="M905" t="n">
        <v>2.2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n">
        <v>711</v>
      </c>
      <c r="Z905" t="inlineStr"/>
      <c r="AA905" t="inlineStr"/>
      <c r="AB905" t="inlineStr">
        <is>
          <t>U0904</t>
        </is>
      </c>
      <c r="AC905" t="inlineStr">
        <is>
          <t>CH</t>
        </is>
      </c>
      <c r="AD905" t="inlineStr"/>
      <c r="AE905" t="n">
        <v>67.59999999999999</v>
      </c>
      <c r="AF905" t="inlineStr"/>
      <c r="AG905" t="inlineStr"/>
      <c r="AH905" t="inlineStr"/>
      <c r="AI905" t="n">
        <v>5</v>
      </c>
      <c r="AJ905" t="n">
        <v>33.87</v>
      </c>
    </row>
    <row r="906">
      <c r="A906" t="inlineStr">
        <is>
          <t>Nanjing Forestry University</t>
        </is>
      </c>
      <c r="B906" t="inlineStr">
        <is>
          <t>China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>
        <is>
          <t>601–800</t>
        </is>
      </c>
      <c r="O906" t="inlineStr">
        <is>
          <t>37.0–41.8</t>
        </is>
      </c>
      <c r="P906" t="n">
        <v>22.6</v>
      </c>
      <c r="Q906" t="n">
        <v>21.2</v>
      </c>
      <c r="R906" t="n">
        <v>79.40000000000001</v>
      </c>
      <c r="S906" t="n">
        <v>28.7</v>
      </c>
      <c r="T906" t="n">
        <v>28</v>
      </c>
      <c r="U906" t="inlineStr">
        <is>
          <t>32,345</t>
        </is>
      </c>
      <c r="V906" t="n">
        <v>16.5</v>
      </c>
      <c r="W906" t="inlineStr">
        <is>
          <t>1%</t>
        </is>
      </c>
      <c r="X906" t="inlineStr"/>
      <c r="Y906" t="inlineStr"/>
      <c r="Z906" t="n">
        <v>601</v>
      </c>
      <c r="AA906" t="n">
        <v>39.4</v>
      </c>
      <c r="AB906" t="inlineStr">
        <is>
          <t>U0905</t>
        </is>
      </c>
      <c r="AC906" t="inlineStr">
        <is>
          <t>CH</t>
        </is>
      </c>
      <c r="AD906" t="n">
        <v>39.4</v>
      </c>
      <c r="AE906" t="n">
        <v>79.40000000000001</v>
      </c>
      <c r="AF906" t="n">
        <v>16.5</v>
      </c>
      <c r="AG906" t="inlineStr">
        <is>
          <t>1:16.5</t>
        </is>
      </c>
      <c r="AH906" t="inlineStr">
        <is>
          <t>1%</t>
        </is>
      </c>
      <c r="AI906" t="inlineStr"/>
      <c r="AJ906" t="n">
        <v>35.34</v>
      </c>
    </row>
    <row r="907">
      <c r="A907" t="inlineStr">
        <is>
          <t>Nanjing Medical University</t>
        </is>
      </c>
      <c r="B907" t="inlineStr">
        <is>
          <t>China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>
        <is>
          <t>801–1000</t>
        </is>
      </c>
      <c r="O907" t="inlineStr">
        <is>
          <t>32.7–36.9</t>
        </is>
      </c>
      <c r="P907" t="n">
        <v>36.3</v>
      </c>
      <c r="Q907" t="n">
        <v>16.5</v>
      </c>
      <c r="R907" t="n">
        <v>58.1</v>
      </c>
      <c r="S907" t="n">
        <v>41.2</v>
      </c>
      <c r="T907" t="n">
        <v>25.8</v>
      </c>
      <c r="U907" t="inlineStr">
        <is>
          <t>22,378</t>
        </is>
      </c>
      <c r="V907" t="n">
        <v>9.300000000000001</v>
      </c>
      <c r="W907" t="inlineStr">
        <is>
          <t>4%</t>
        </is>
      </c>
      <c r="X907" t="inlineStr"/>
      <c r="Y907" t="inlineStr"/>
      <c r="Z907" t="n">
        <v>801</v>
      </c>
      <c r="AA907" t="n">
        <v>34.8</v>
      </c>
      <c r="AB907" t="inlineStr">
        <is>
          <t>U0906</t>
        </is>
      </c>
      <c r="AC907" t="inlineStr">
        <is>
          <t>CH</t>
        </is>
      </c>
      <c r="AD907" t="n">
        <v>34.8</v>
      </c>
      <c r="AE907" t="n">
        <v>58.1</v>
      </c>
      <c r="AF907" t="n">
        <v>9.300000000000001</v>
      </c>
      <c r="AG907" t="inlineStr">
        <is>
          <t>1:9.3</t>
        </is>
      </c>
      <c r="AH907" t="inlineStr">
        <is>
          <t>4%</t>
        </is>
      </c>
      <c r="AI907" t="inlineStr"/>
      <c r="AJ907" t="n">
        <v>25.89</v>
      </c>
    </row>
    <row r="908">
      <c r="A908" t="inlineStr">
        <is>
          <t>Nanjing Normal University</t>
        </is>
      </c>
      <c r="B908" t="inlineStr">
        <is>
          <t>China</t>
        </is>
      </c>
      <c r="C908" t="inlineStr">
        <is>
          <t>1001-1200</t>
        </is>
      </c>
      <c r="D908" t="inlineStr"/>
      <c r="E908" t="n">
        <v>5</v>
      </c>
      <c r="F908" t="n">
        <v>1.8</v>
      </c>
      <c r="G908" t="n">
        <v>15.8</v>
      </c>
      <c r="H908" t="n">
        <v>26.8</v>
      </c>
      <c r="I908" t="inlineStr"/>
      <c r="J908" t="n">
        <v>4.2</v>
      </c>
      <c r="K908" t="n">
        <v>53.3</v>
      </c>
      <c r="L908" t="n">
        <v>4.4</v>
      </c>
      <c r="M908" t="n">
        <v>2.9</v>
      </c>
      <c r="N908" t="inlineStr">
        <is>
          <t>801–1000</t>
        </is>
      </c>
      <c r="O908" t="inlineStr">
        <is>
          <t>32.7–36.9</t>
        </is>
      </c>
      <c r="P908" t="n">
        <v>25.1</v>
      </c>
      <c r="Q908" t="n">
        <v>15.1</v>
      </c>
      <c r="R908" t="n">
        <v>66.5</v>
      </c>
      <c r="S908" t="n">
        <v>50.7</v>
      </c>
      <c r="T908" t="n">
        <v>29.8</v>
      </c>
      <c r="U908" t="inlineStr">
        <is>
          <t>32,700</t>
        </is>
      </c>
      <c r="V908" t="n">
        <v>13.5</v>
      </c>
      <c r="W908" t="inlineStr">
        <is>
          <t>2%</t>
        </is>
      </c>
      <c r="X908" t="inlineStr">
        <is>
          <t>69 : 31</t>
        </is>
      </c>
      <c r="Y908" t="n">
        <v>1001</v>
      </c>
      <c r="Z908" t="n">
        <v>801</v>
      </c>
      <c r="AA908" t="n">
        <v>34.8</v>
      </c>
      <c r="AB908" t="inlineStr">
        <is>
          <t>U0907</t>
        </is>
      </c>
      <c r="AC908" t="inlineStr">
        <is>
          <t>CH</t>
        </is>
      </c>
      <c r="AD908" t="n">
        <v>34.8</v>
      </c>
      <c r="AE908" t="n">
        <v>26.8</v>
      </c>
      <c r="AF908" t="n">
        <v>13.5</v>
      </c>
      <c r="AG908" t="inlineStr">
        <is>
          <t>1:13.5</t>
        </is>
      </c>
      <c r="AH908" t="inlineStr">
        <is>
          <t>2%</t>
        </is>
      </c>
      <c r="AI908" t="n">
        <v>5</v>
      </c>
      <c r="AJ908" t="n">
        <v>16.63</v>
      </c>
    </row>
    <row r="909">
      <c r="A909" t="inlineStr">
        <is>
          <t>Nanjing Tech University</t>
        </is>
      </c>
      <c r="B909" t="inlineStr">
        <is>
          <t>China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>
        <is>
          <t>601–800</t>
        </is>
      </c>
      <c r="O909" t="inlineStr">
        <is>
          <t>37.0–41.8</t>
        </is>
      </c>
      <c r="P909" t="n">
        <v>21.8</v>
      </c>
      <c r="Q909" t="n">
        <v>16.2</v>
      </c>
      <c r="R909" t="n">
        <v>69.09999999999999</v>
      </c>
      <c r="S909" t="n">
        <v>68.09999999999999</v>
      </c>
      <c r="T909" t="n">
        <v>37.1</v>
      </c>
      <c r="U909" t="inlineStr">
        <is>
          <t>38,866</t>
        </is>
      </c>
      <c r="V909" t="n">
        <v>13.5</v>
      </c>
      <c r="W909" t="inlineStr">
        <is>
          <t>3%</t>
        </is>
      </c>
      <c r="X909" t="inlineStr"/>
      <c r="Y909" t="inlineStr"/>
      <c r="Z909" t="n">
        <v>601</v>
      </c>
      <c r="AA909" t="n">
        <v>39.4</v>
      </c>
      <c r="AB909" t="inlineStr">
        <is>
          <t>U0908</t>
        </is>
      </c>
      <c r="AC909" t="inlineStr">
        <is>
          <t>CH</t>
        </is>
      </c>
      <c r="AD909" t="n">
        <v>39.4</v>
      </c>
      <c r="AE909" t="n">
        <v>69.09999999999999</v>
      </c>
      <c r="AF909" t="n">
        <v>13.5</v>
      </c>
      <c r="AG909" t="inlineStr">
        <is>
          <t>1:13.5</t>
        </is>
      </c>
      <c r="AH909" t="inlineStr">
        <is>
          <t>3%</t>
        </is>
      </c>
      <c r="AI909" t="inlineStr"/>
      <c r="AJ909" t="n">
        <v>31.79</v>
      </c>
    </row>
    <row r="910">
      <c r="A910" t="inlineStr">
        <is>
          <t>Nanjing University</t>
        </is>
      </c>
      <c r="B910" t="inlineStr">
        <is>
          <t>China</t>
        </is>
      </c>
      <c r="C910" t="inlineStr">
        <is>
          <t>145</t>
        </is>
      </c>
      <c r="D910" t="n">
        <v>53</v>
      </c>
      <c r="E910" t="n">
        <v>57.1</v>
      </c>
      <c r="F910" t="n">
        <v>32.5</v>
      </c>
      <c r="G910" t="n">
        <v>35.6</v>
      </c>
      <c r="H910" t="n">
        <v>93</v>
      </c>
      <c r="I910" t="n">
        <v>61.9</v>
      </c>
      <c r="J910" t="n">
        <v>7.6</v>
      </c>
      <c r="K910" t="n">
        <v>67.09999999999999</v>
      </c>
      <c r="L910" t="n">
        <v>29</v>
      </c>
      <c r="M910" t="n">
        <v>16.5</v>
      </c>
      <c r="N910" t="inlineStr">
        <is>
          <t>73</t>
        </is>
      </c>
      <c r="O910" t="inlineStr">
        <is>
          <t>70.9</t>
        </is>
      </c>
      <c r="P910" t="n">
        <v>64</v>
      </c>
      <c r="Q910" t="n">
        <v>61.7</v>
      </c>
      <c r="R910" t="n">
        <v>85.3</v>
      </c>
      <c r="S910" t="n">
        <v>96.8</v>
      </c>
      <c r="T910" t="n">
        <v>61.8</v>
      </c>
      <c r="U910" t="inlineStr">
        <is>
          <t>36,711</t>
        </is>
      </c>
      <c r="V910" t="n">
        <v>16.7</v>
      </c>
      <c r="W910" t="inlineStr">
        <is>
          <t>8%</t>
        </is>
      </c>
      <c r="X910" t="inlineStr">
        <is>
          <t>54 : 46</t>
        </is>
      </c>
      <c r="Y910" t="n">
        <v>145</v>
      </c>
      <c r="Z910" t="n">
        <v>73</v>
      </c>
      <c r="AA910" t="n">
        <v>70.90000000000001</v>
      </c>
      <c r="AB910" t="inlineStr">
        <is>
          <t>U0909</t>
        </is>
      </c>
      <c r="AC910" t="inlineStr">
        <is>
          <t>CH</t>
        </is>
      </c>
      <c r="AD910" t="n">
        <v>53</v>
      </c>
      <c r="AE910" t="n">
        <v>93</v>
      </c>
      <c r="AF910" t="n">
        <v>16.7</v>
      </c>
      <c r="AG910" t="inlineStr">
        <is>
          <t>1:16.7</t>
        </is>
      </c>
      <c r="AH910" t="inlineStr">
        <is>
          <t>8%</t>
        </is>
      </c>
      <c r="AI910" t="n">
        <v>57.1</v>
      </c>
      <c r="AJ910" t="n">
        <v>68.86</v>
      </c>
    </row>
    <row r="911">
      <c r="A911" t="inlineStr">
        <is>
          <t>Nanjing University of Aeronautics and Astronautics</t>
        </is>
      </c>
      <c r="B911" t="inlineStr">
        <is>
          <t>China</t>
        </is>
      </c>
      <c r="C911" t="inlineStr">
        <is>
          <t>761-770</t>
        </is>
      </c>
      <c r="D911" t="inlineStr"/>
      <c r="E911" t="n">
        <v>5.5</v>
      </c>
      <c r="F911" t="n">
        <v>3.4</v>
      </c>
      <c r="G911" t="n">
        <v>12.4</v>
      </c>
      <c r="H911" t="n">
        <v>57.8</v>
      </c>
      <c r="I911" t="n">
        <v>5.3</v>
      </c>
      <c r="J911" t="n">
        <v>3</v>
      </c>
      <c r="K911" t="n">
        <v>39.7</v>
      </c>
      <c r="L911" t="n">
        <v>1.4</v>
      </c>
      <c r="M911" t="n">
        <v>1.6</v>
      </c>
      <c r="N911" t="inlineStr">
        <is>
          <t>601–800</t>
        </is>
      </c>
      <c r="O911" t="inlineStr">
        <is>
          <t>37.0–41.8</t>
        </is>
      </c>
      <c r="P911" t="n">
        <v>28.2</v>
      </c>
      <c r="Q911" t="n">
        <v>31.6</v>
      </c>
      <c r="R911" t="n">
        <v>50.1</v>
      </c>
      <c r="S911" t="n">
        <v>71.40000000000001</v>
      </c>
      <c r="T911" t="n">
        <v>24.7</v>
      </c>
      <c r="U911" t="inlineStr">
        <is>
          <t>33,883</t>
        </is>
      </c>
      <c r="V911" t="n">
        <v>15.4</v>
      </c>
      <c r="W911" t="inlineStr">
        <is>
          <t>3%</t>
        </is>
      </c>
      <c r="X911" t="inlineStr"/>
      <c r="Y911" t="n">
        <v>761</v>
      </c>
      <c r="Z911" t="n">
        <v>601</v>
      </c>
      <c r="AA911" t="n">
        <v>39.4</v>
      </c>
      <c r="AB911" t="inlineStr">
        <is>
          <t>U0910</t>
        </is>
      </c>
      <c r="AC911" t="inlineStr">
        <is>
          <t>CH</t>
        </is>
      </c>
      <c r="AD911" t="n">
        <v>39.4</v>
      </c>
      <c r="AE911" t="n">
        <v>57.8</v>
      </c>
      <c r="AF911" t="n">
        <v>15.4</v>
      </c>
      <c r="AG911" t="inlineStr">
        <is>
          <t>1:15.4</t>
        </is>
      </c>
      <c r="AH911" t="inlineStr">
        <is>
          <t>3%</t>
        </is>
      </c>
      <c r="AI911" t="n">
        <v>5.5</v>
      </c>
      <c r="AJ911" t="n">
        <v>33.44</v>
      </c>
    </row>
    <row r="912">
      <c r="A912" t="inlineStr">
        <is>
          <t>Nanjing University of Information Science and Technology</t>
        </is>
      </c>
      <c r="B912" t="inlineStr">
        <is>
          <t>China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>
        <is>
          <t>801–1000</t>
        </is>
      </c>
      <c r="O912" t="inlineStr">
        <is>
          <t>32.7–36.9</t>
        </is>
      </c>
      <c r="P912" t="n">
        <v>18</v>
      </c>
      <c r="Q912" t="n">
        <v>18.3</v>
      </c>
      <c r="R912" t="n">
        <v>68.59999999999999</v>
      </c>
      <c r="S912" t="n">
        <v>42</v>
      </c>
      <c r="T912" t="n">
        <v>42.4</v>
      </c>
      <c r="U912" t="inlineStr">
        <is>
          <t>35,807</t>
        </is>
      </c>
      <c r="V912" t="n">
        <v>16.8</v>
      </c>
      <c r="W912" t="inlineStr">
        <is>
          <t>4%</t>
        </is>
      </c>
      <c r="X912" t="inlineStr"/>
      <c r="Y912" t="inlineStr"/>
      <c r="Z912" t="n">
        <v>801</v>
      </c>
      <c r="AA912" t="n">
        <v>34.8</v>
      </c>
      <c r="AB912" t="inlineStr">
        <is>
          <t>U0911</t>
        </is>
      </c>
      <c r="AC912" t="inlineStr">
        <is>
          <t>CH</t>
        </is>
      </c>
      <c r="AD912" t="n">
        <v>34.8</v>
      </c>
      <c r="AE912" t="n">
        <v>68.59999999999999</v>
      </c>
      <c r="AF912" t="n">
        <v>16.8</v>
      </c>
      <c r="AG912" t="inlineStr">
        <is>
          <t>1:16.8</t>
        </is>
      </c>
      <c r="AH912" t="inlineStr">
        <is>
          <t>4%</t>
        </is>
      </c>
      <c r="AI912" t="inlineStr"/>
      <c r="AJ912" t="n">
        <v>34.03</v>
      </c>
    </row>
    <row r="913">
      <c r="A913" t="inlineStr">
        <is>
          <t>Nanjing University of Science and Technology</t>
        </is>
      </c>
      <c r="B913" t="inlineStr">
        <is>
          <t>China</t>
        </is>
      </c>
      <c r="C913" t="inlineStr">
        <is>
          <t>565</t>
        </is>
      </c>
      <c r="D913" t="n">
        <v>22</v>
      </c>
      <c r="E913" t="n">
        <v>5.7</v>
      </c>
      <c r="F913" t="n">
        <v>2.5</v>
      </c>
      <c r="G913" t="n">
        <v>8.9</v>
      </c>
      <c r="H913" t="n">
        <v>89.3</v>
      </c>
      <c r="I913" t="inlineStr"/>
      <c r="J913" t="inlineStr"/>
      <c r="K913" t="n">
        <v>38.7</v>
      </c>
      <c r="L913" t="n">
        <v>3.7</v>
      </c>
      <c r="M913" t="n">
        <v>2.3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n">
        <v>565</v>
      </c>
      <c r="Z913" t="inlineStr"/>
      <c r="AA913" t="inlineStr"/>
      <c r="AB913" t="inlineStr">
        <is>
          <t>U0912</t>
        </is>
      </c>
      <c r="AC913" t="inlineStr">
        <is>
          <t>CH</t>
        </is>
      </c>
      <c r="AD913" t="n">
        <v>22</v>
      </c>
      <c r="AE913" t="n">
        <v>89.3</v>
      </c>
      <c r="AF913" t="inlineStr"/>
      <c r="AG913" t="inlineStr"/>
      <c r="AH913" t="inlineStr"/>
      <c r="AI913" t="n">
        <v>5.7</v>
      </c>
      <c r="AJ913" t="n">
        <v>40.45</v>
      </c>
    </row>
    <row r="914">
      <c r="A914" t="inlineStr">
        <is>
          <t>Nankai University</t>
        </is>
      </c>
      <c r="B914" t="inlineStr">
        <is>
          <t>China</t>
        </is>
      </c>
      <c r="C914" t="inlineStr">
        <is>
          <t>377</t>
        </is>
      </c>
      <c r="D914" t="n">
        <v>31.1</v>
      </c>
      <c r="E914" t="n">
        <v>18.5</v>
      </c>
      <c r="F914" t="n">
        <v>9.800000000000001</v>
      </c>
      <c r="G914" t="n">
        <v>25.4</v>
      </c>
      <c r="H914" t="n">
        <v>82.90000000000001</v>
      </c>
      <c r="I914" t="n">
        <v>12.3</v>
      </c>
      <c r="J914" t="n">
        <v>2.7</v>
      </c>
      <c r="K914" t="n">
        <v>51.1</v>
      </c>
      <c r="L914" t="n">
        <v>37.9</v>
      </c>
      <c r="M914" t="n">
        <v>11.5</v>
      </c>
      <c r="N914" t="inlineStr">
        <is>
          <t>251–300</t>
        </is>
      </c>
      <c r="O914" t="inlineStr">
        <is>
          <t>53.1–55.8</t>
        </is>
      </c>
      <c r="P914" t="n">
        <v>48.8</v>
      </c>
      <c r="Q914" t="n">
        <v>31.4</v>
      </c>
      <c r="R914" t="n">
        <v>85.3</v>
      </c>
      <c r="S914" t="n">
        <v>66.5</v>
      </c>
      <c r="T914" t="n">
        <v>49.3</v>
      </c>
      <c r="U914" t="inlineStr">
        <is>
          <t>31,416</t>
        </is>
      </c>
      <c r="V914" t="n">
        <v>11.7</v>
      </c>
      <c r="W914" t="inlineStr">
        <is>
          <t>7%</t>
        </is>
      </c>
      <c r="X914" t="inlineStr"/>
      <c r="Y914" t="n">
        <v>377</v>
      </c>
      <c r="Z914" t="n">
        <v>251</v>
      </c>
      <c r="AA914" t="n">
        <v>54.45</v>
      </c>
      <c r="AB914" t="inlineStr">
        <is>
          <t>U0913</t>
        </is>
      </c>
      <c r="AC914" t="inlineStr">
        <is>
          <t>CH</t>
        </is>
      </c>
      <c r="AD914" t="n">
        <v>31.1</v>
      </c>
      <c r="AE914" t="n">
        <v>82.90000000000001</v>
      </c>
      <c r="AF914" t="n">
        <v>11.7</v>
      </c>
      <c r="AG914" t="inlineStr">
        <is>
          <t>1:11.7</t>
        </is>
      </c>
      <c r="AH914" t="inlineStr">
        <is>
          <t>7%</t>
        </is>
      </c>
      <c r="AI914" t="n">
        <v>18.5</v>
      </c>
      <c r="AJ914" t="n">
        <v>46.89</v>
      </c>
    </row>
    <row r="915">
      <c r="A915" t="inlineStr">
        <is>
          <t>Nantes Université</t>
        </is>
      </c>
      <c r="B915" t="inlineStr">
        <is>
          <t>France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>501–600</t>
        </is>
      </c>
      <c r="O915" t="inlineStr">
        <is>
          <t>41.9–45.3</t>
        </is>
      </c>
      <c r="P915" t="n">
        <v>29.2</v>
      </c>
      <c r="Q915" t="n">
        <v>25.2</v>
      </c>
      <c r="R915" t="n">
        <v>67.2</v>
      </c>
      <c r="S915" t="n">
        <v>64.09999999999999</v>
      </c>
      <c r="T915" t="n">
        <v>55</v>
      </c>
      <c r="U915" t="inlineStr">
        <is>
          <t>36,654</t>
        </is>
      </c>
      <c r="V915" t="n">
        <v>24.5</v>
      </c>
      <c r="W915" t="inlineStr">
        <is>
          <t>9%</t>
        </is>
      </c>
      <c r="X915" t="inlineStr">
        <is>
          <t>56 : 44</t>
        </is>
      </c>
      <c r="Y915" t="inlineStr"/>
      <c r="Z915" t="n">
        <v>501</v>
      </c>
      <c r="AA915" t="n">
        <v>43.59999999999999</v>
      </c>
      <c r="AB915" t="inlineStr">
        <is>
          <t>U0914</t>
        </is>
      </c>
      <c r="AC915" t="inlineStr">
        <is>
          <t>FR</t>
        </is>
      </c>
      <c r="AD915" t="n">
        <v>43.59999999999999</v>
      </c>
      <c r="AE915" t="n">
        <v>67.2</v>
      </c>
      <c r="AF915" t="n">
        <v>24.5</v>
      </c>
      <c r="AG915" t="inlineStr">
        <is>
          <t>1:24.5</t>
        </is>
      </c>
      <c r="AH915" t="inlineStr">
        <is>
          <t>9%</t>
        </is>
      </c>
      <c r="AI915" t="inlineStr"/>
      <c r="AJ915" t="n">
        <v>40.26</v>
      </c>
    </row>
    <row r="916">
      <c r="A916" t="inlineStr">
        <is>
          <t>Nanyang Technological University, Singapore (NTU)</t>
        </is>
      </c>
      <c r="B916" t="inlineStr">
        <is>
          <t>Singapore</t>
        </is>
      </c>
      <c r="C916" t="inlineStr">
        <is>
          <t>15</t>
        </is>
      </c>
      <c r="D916" t="n">
        <v>88.40000000000001</v>
      </c>
      <c r="E916" t="n">
        <v>91.90000000000001</v>
      </c>
      <c r="F916" t="n">
        <v>73.3</v>
      </c>
      <c r="G916" t="n">
        <v>80.59999999999999</v>
      </c>
      <c r="H916" t="n">
        <v>92.40000000000001</v>
      </c>
      <c r="I916" t="n">
        <v>100</v>
      </c>
      <c r="J916" t="n">
        <v>83.5</v>
      </c>
      <c r="K916" t="n">
        <v>89.40000000000001</v>
      </c>
      <c r="L916" t="n">
        <v>83.90000000000001</v>
      </c>
      <c r="M916" t="n">
        <v>95.59999999999999</v>
      </c>
      <c r="N916" t="inlineStr">
        <is>
          <t>32</t>
        </is>
      </c>
      <c r="O916" t="inlineStr">
        <is>
          <t>82.3</t>
        </is>
      </c>
      <c r="P916" t="n">
        <v>66.2</v>
      </c>
      <c r="Q916" t="n">
        <v>80.90000000000001</v>
      </c>
      <c r="R916" t="n">
        <v>94.5</v>
      </c>
      <c r="S916" t="n">
        <v>99.7</v>
      </c>
      <c r="T916" t="n">
        <v>93.3</v>
      </c>
      <c r="U916" t="inlineStr">
        <is>
          <t>25,895</t>
        </is>
      </c>
      <c r="V916" t="n">
        <v>16.7</v>
      </c>
      <c r="W916" t="inlineStr">
        <is>
          <t>27%</t>
        </is>
      </c>
      <c r="X916" t="inlineStr">
        <is>
          <t>49 : 51</t>
        </is>
      </c>
      <c r="Y916" t="n">
        <v>15</v>
      </c>
      <c r="Z916" t="n">
        <v>32</v>
      </c>
      <c r="AA916" t="n">
        <v>82.3</v>
      </c>
      <c r="AB916" t="inlineStr">
        <is>
          <t>U0915</t>
        </is>
      </c>
      <c r="AC916" t="inlineStr">
        <is>
          <t>SI</t>
        </is>
      </c>
      <c r="AD916" t="n">
        <v>88.40000000000001</v>
      </c>
      <c r="AE916" t="n">
        <v>92.40000000000001</v>
      </c>
      <c r="AF916" t="n">
        <v>16.7</v>
      </c>
      <c r="AG916" t="inlineStr">
        <is>
          <t>1:16.7</t>
        </is>
      </c>
      <c r="AH916" t="inlineStr">
        <is>
          <t>27%</t>
        </is>
      </c>
      <c r="AI916" t="n">
        <v>91.90000000000001</v>
      </c>
      <c r="AJ916" t="n">
        <v>86.36</v>
      </c>
    </row>
    <row r="917">
      <c r="A917" t="inlineStr">
        <is>
          <t>Nara Women’s University</t>
        </is>
      </c>
      <c r="B917" t="inlineStr">
        <is>
          <t>Japan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>
        <is>
          <t>1501+</t>
        </is>
      </c>
      <c r="O917" t="inlineStr">
        <is>
          <t>9.7–22.7</t>
        </is>
      </c>
      <c r="P917" t="n">
        <v>24.3</v>
      </c>
      <c r="Q917" t="n">
        <v>8.699999999999999</v>
      </c>
      <c r="R917" t="n">
        <v>17.3</v>
      </c>
      <c r="S917" t="n">
        <v>22.4</v>
      </c>
      <c r="T917" t="n">
        <v>41.4</v>
      </c>
      <c r="U917" t="inlineStr">
        <is>
          <t>2,592</t>
        </is>
      </c>
      <c r="V917" t="n">
        <v>8.699999999999999</v>
      </c>
      <c r="W917" t="inlineStr">
        <is>
          <t>5%</t>
        </is>
      </c>
      <c r="X917" t="inlineStr">
        <is>
          <t>100 : 0</t>
        </is>
      </c>
      <c r="Y917" t="inlineStr"/>
      <c r="Z917" t="n">
        <v>1501</v>
      </c>
      <c r="AA917" t="n">
        <v>16.2</v>
      </c>
      <c r="AB917" t="inlineStr">
        <is>
          <t>U0916</t>
        </is>
      </c>
      <c r="AC917" t="inlineStr">
        <is>
          <t>JA</t>
        </is>
      </c>
      <c r="AD917" t="n">
        <v>16.2</v>
      </c>
      <c r="AE917" t="n">
        <v>17.3</v>
      </c>
      <c r="AF917" t="n">
        <v>8.699999999999999</v>
      </c>
      <c r="AG917" t="inlineStr">
        <is>
          <t>1:8.7</t>
        </is>
      </c>
      <c r="AH917" t="inlineStr">
        <is>
          <t>5%</t>
        </is>
      </c>
      <c r="AI917" t="inlineStr"/>
      <c r="AJ917" t="n">
        <v>13.21</v>
      </c>
    </row>
    <row r="918">
      <c r="A918" t="inlineStr">
        <is>
          <t>Naresuan University</t>
        </is>
      </c>
      <c r="B918" t="inlineStr">
        <is>
          <t>Thailand</t>
        </is>
      </c>
      <c r="C918" t="inlineStr">
        <is>
          <t>1401+</t>
        </is>
      </c>
      <c r="D918" t="inlineStr"/>
      <c r="E918" t="n">
        <v>6.6</v>
      </c>
      <c r="F918" t="n">
        <v>2.8</v>
      </c>
      <c r="G918" t="n">
        <v>6.6</v>
      </c>
      <c r="H918" t="n">
        <v>1.9</v>
      </c>
      <c r="I918" t="n">
        <v>7.3</v>
      </c>
      <c r="J918" t="n">
        <v>1.2</v>
      </c>
      <c r="K918" t="n">
        <v>10.1</v>
      </c>
      <c r="L918" t="n">
        <v>2.5</v>
      </c>
      <c r="M918" t="n">
        <v>1.7</v>
      </c>
      <c r="N918" t="inlineStr">
        <is>
          <t>1501+</t>
        </is>
      </c>
      <c r="O918" t="inlineStr">
        <is>
          <t>9.7–22.7</t>
        </is>
      </c>
      <c r="P918" t="n">
        <v>15.8</v>
      </c>
      <c r="Q918" t="n">
        <v>10.5</v>
      </c>
      <c r="R918" t="n">
        <v>14.8</v>
      </c>
      <c r="S918" t="n">
        <v>28.3</v>
      </c>
      <c r="T918" t="n">
        <v>33.1</v>
      </c>
      <c r="U918" t="inlineStr">
        <is>
          <t>27,234</t>
        </is>
      </c>
      <c r="V918" t="n">
        <v>18.3</v>
      </c>
      <c r="W918" t="inlineStr">
        <is>
          <t>1%</t>
        </is>
      </c>
      <c r="X918" t="inlineStr">
        <is>
          <t>68 : 32</t>
        </is>
      </c>
      <c r="Y918" t="n">
        <v>1401</v>
      </c>
      <c r="Z918" t="n">
        <v>1501</v>
      </c>
      <c r="AA918" t="n">
        <v>16.2</v>
      </c>
      <c r="AB918" t="inlineStr">
        <is>
          <t>U0917</t>
        </is>
      </c>
      <c r="AC918" t="inlineStr">
        <is>
          <t>TH</t>
        </is>
      </c>
      <c r="AD918" t="n">
        <v>16.2</v>
      </c>
      <c r="AE918" t="n">
        <v>1.9</v>
      </c>
      <c r="AF918" t="n">
        <v>18.3</v>
      </c>
      <c r="AG918" t="inlineStr">
        <is>
          <t>1:18.3</t>
        </is>
      </c>
      <c r="AH918" t="inlineStr">
        <is>
          <t>1%</t>
        </is>
      </c>
      <c r="AI918" t="n">
        <v>6.6</v>
      </c>
      <c r="AJ918" t="n">
        <v>7.48</v>
      </c>
    </row>
    <row r="919">
      <c r="A919" t="inlineStr">
        <is>
          <t>Narxoz University</t>
        </is>
      </c>
      <c r="B919" t="inlineStr">
        <is>
          <t>Kazakhstan</t>
        </is>
      </c>
      <c r="C919" t="inlineStr">
        <is>
          <t>1001-1200</t>
        </is>
      </c>
      <c r="D919" t="inlineStr"/>
      <c r="E919" t="n">
        <v>9.6</v>
      </c>
      <c r="F919" t="n">
        <v>7.5</v>
      </c>
      <c r="G919" t="n">
        <v>12.9</v>
      </c>
      <c r="H919" t="n">
        <v>1.3</v>
      </c>
      <c r="I919" t="n">
        <v>14.9</v>
      </c>
      <c r="J919" t="n">
        <v>6.2</v>
      </c>
      <c r="K919" t="n">
        <v>1</v>
      </c>
      <c r="L919" t="n">
        <v>60.3</v>
      </c>
      <c r="M919" t="n">
        <v>1.4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n">
        <v>1001</v>
      </c>
      <c r="Z919" t="inlineStr"/>
      <c r="AA919" t="inlineStr"/>
      <c r="AB919" t="inlineStr">
        <is>
          <t>U0918</t>
        </is>
      </c>
      <c r="AC919" t="inlineStr">
        <is>
          <t>KA</t>
        </is>
      </c>
      <c r="AD919" t="inlineStr"/>
      <c r="AE919" t="n">
        <v>1.3</v>
      </c>
      <c r="AF919" t="inlineStr"/>
      <c r="AG919" t="inlineStr"/>
      <c r="AH919" t="inlineStr"/>
      <c r="AI919" t="n">
        <v>9.6</v>
      </c>
      <c r="AJ919" t="n">
        <v>13.78</v>
      </c>
    </row>
    <row r="920">
      <c r="A920" t="inlineStr">
        <is>
          <t>National and Kapodistrian University of Athens</t>
        </is>
      </c>
      <c r="B920" t="inlineStr">
        <is>
          <t>Greece</t>
        </is>
      </c>
      <c r="C920" t="inlineStr">
        <is>
          <t>393</t>
        </is>
      </c>
      <c r="D920" t="n">
        <v>29.9</v>
      </c>
      <c r="E920" t="n">
        <v>26.7</v>
      </c>
      <c r="F920" t="n">
        <v>33.2</v>
      </c>
      <c r="G920" t="n">
        <v>2.1</v>
      </c>
      <c r="H920" t="n">
        <v>31</v>
      </c>
      <c r="I920" t="n">
        <v>9.9</v>
      </c>
      <c r="J920" t="n">
        <v>15.9</v>
      </c>
      <c r="K920" t="n">
        <v>86.59999999999999</v>
      </c>
      <c r="L920" t="n">
        <v>85.8</v>
      </c>
      <c r="M920" t="n">
        <v>29.3</v>
      </c>
      <c r="N920" t="inlineStr">
        <is>
          <t>501–600</t>
        </is>
      </c>
      <c r="O920" t="inlineStr">
        <is>
          <t>41.9–45.3</t>
        </is>
      </c>
      <c r="P920" t="n">
        <v>22.6</v>
      </c>
      <c r="Q920" t="n">
        <v>23.9</v>
      </c>
      <c r="R920" t="n">
        <v>77.3</v>
      </c>
      <c r="S920" t="n">
        <v>89.8</v>
      </c>
      <c r="T920" t="n">
        <v>56.6</v>
      </c>
      <c r="U920" t="inlineStr">
        <is>
          <t>67,934</t>
        </is>
      </c>
      <c r="V920" t="n">
        <v>34</v>
      </c>
      <c r="W920" t="inlineStr">
        <is>
          <t>11%</t>
        </is>
      </c>
      <c r="X920" t="inlineStr">
        <is>
          <t>59 : 41</t>
        </is>
      </c>
      <c r="Y920" t="n">
        <v>393</v>
      </c>
      <c r="Z920" t="n">
        <v>501</v>
      </c>
      <c r="AA920" t="n">
        <v>43.59999999999999</v>
      </c>
      <c r="AB920" t="inlineStr">
        <is>
          <t>U0919</t>
        </is>
      </c>
      <c r="AC920" t="inlineStr">
        <is>
          <t>GR</t>
        </is>
      </c>
      <c r="AD920" t="n">
        <v>29.9</v>
      </c>
      <c r="AE920" t="n">
        <v>31</v>
      </c>
      <c r="AF920" t="n">
        <v>34</v>
      </c>
      <c r="AG920" t="inlineStr">
        <is>
          <t>1:34.0</t>
        </is>
      </c>
      <c r="AH920" t="inlineStr">
        <is>
          <t>11%</t>
        </is>
      </c>
      <c r="AI920" t="n">
        <v>26.7</v>
      </c>
      <c r="AJ920" t="n">
        <v>29</v>
      </c>
    </row>
    <row r="921">
      <c r="A921" t="inlineStr">
        <is>
          <t>National Autonomous University of Mexico</t>
        </is>
      </c>
      <c r="B921" t="inlineStr">
        <is>
          <t>Mexico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>
        <is>
          <t>801–1000</t>
        </is>
      </c>
      <c r="O921" t="inlineStr">
        <is>
          <t>32.7–36.9</t>
        </is>
      </c>
      <c r="P921" t="n">
        <v>29.9</v>
      </c>
      <c r="Q921" t="n">
        <v>30.4</v>
      </c>
      <c r="R921" t="n">
        <v>34.4</v>
      </c>
      <c r="S921" t="n">
        <v>62.5</v>
      </c>
      <c r="T921" t="n">
        <v>58.4</v>
      </c>
      <c r="U921" t="inlineStr">
        <is>
          <t>175,561</t>
        </is>
      </c>
      <c r="V921" t="n">
        <v>17.1</v>
      </c>
      <c r="W921" t="inlineStr">
        <is>
          <t>4%</t>
        </is>
      </c>
      <c r="X921" t="inlineStr">
        <is>
          <t>52 : 48</t>
        </is>
      </c>
      <c r="Y921" t="inlineStr"/>
      <c r="Z921" t="n">
        <v>801</v>
      </c>
      <c r="AA921" t="n">
        <v>34.8</v>
      </c>
      <c r="AB921" t="inlineStr">
        <is>
          <t>U0920</t>
        </is>
      </c>
      <c r="AC921" t="inlineStr">
        <is>
          <t>ME</t>
        </is>
      </c>
      <c r="AD921" t="n">
        <v>34.8</v>
      </c>
      <c r="AE921" t="n">
        <v>34.4</v>
      </c>
      <c r="AF921" t="n">
        <v>17.1</v>
      </c>
      <c r="AG921" t="inlineStr">
        <is>
          <t>1:17.1</t>
        </is>
      </c>
      <c r="AH921" t="inlineStr">
        <is>
          <t>4%</t>
        </is>
      </c>
      <c r="AI921" t="inlineStr"/>
      <c r="AJ921" t="n">
        <v>33.87</v>
      </c>
    </row>
    <row r="922">
      <c r="A922" t="inlineStr">
        <is>
          <t>National Aviation University</t>
        </is>
      </c>
      <c r="B922" t="inlineStr">
        <is>
          <t>Ukraine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1501+</t>
        </is>
      </c>
      <c r="O922" t="inlineStr">
        <is>
          <t>9.7–22.7</t>
        </is>
      </c>
      <c r="P922" t="n">
        <v>22.2</v>
      </c>
      <c r="Q922" t="n">
        <v>8.699999999999999</v>
      </c>
      <c r="R922" t="n">
        <v>35.2</v>
      </c>
      <c r="S922" t="n">
        <v>16.4</v>
      </c>
      <c r="T922" t="n">
        <v>23.8</v>
      </c>
      <c r="U922" t="inlineStr">
        <is>
          <t>13,080</t>
        </is>
      </c>
      <c r="V922" t="n">
        <v>9.800000000000001</v>
      </c>
      <c r="W922" t="inlineStr">
        <is>
          <t>5%</t>
        </is>
      </c>
      <c r="X922" t="inlineStr">
        <is>
          <t>39 : 61</t>
        </is>
      </c>
      <c r="Y922" t="inlineStr"/>
      <c r="Z922" t="n">
        <v>1501</v>
      </c>
      <c r="AA922" t="n">
        <v>16.2</v>
      </c>
      <c r="AB922" t="inlineStr">
        <is>
          <t>U0921</t>
        </is>
      </c>
      <c r="AC922" t="inlineStr">
        <is>
          <t>UK</t>
        </is>
      </c>
      <c r="AD922" t="n">
        <v>16.2</v>
      </c>
      <c r="AE922" t="n">
        <v>35.2</v>
      </c>
      <c r="AF922" t="n">
        <v>9.800000000000001</v>
      </c>
      <c r="AG922" t="inlineStr">
        <is>
          <t>1:9.8</t>
        </is>
      </c>
      <c r="AH922" t="inlineStr">
        <is>
          <t>5%</t>
        </is>
      </c>
      <c r="AI922" t="inlineStr"/>
      <c r="AJ922" t="n">
        <v>14.37</v>
      </c>
    </row>
    <row r="923">
      <c r="A923" t="inlineStr">
        <is>
          <t>National Central University</t>
        </is>
      </c>
      <c r="B923" t="inlineStr">
        <is>
          <t>Taiwan</t>
        </is>
      </c>
      <c r="C923" t="inlineStr">
        <is>
          <t>641-650</t>
        </is>
      </c>
      <c r="D923" t="inlineStr"/>
      <c r="E923" t="n">
        <v>21.5</v>
      </c>
      <c r="F923" t="n">
        <v>28.2</v>
      </c>
      <c r="G923" t="n">
        <v>22.9</v>
      </c>
      <c r="H923" t="n">
        <v>14.4</v>
      </c>
      <c r="I923" t="n">
        <v>11.6</v>
      </c>
      <c r="J923" t="n">
        <v>10</v>
      </c>
      <c r="K923" t="n">
        <v>30.4</v>
      </c>
      <c r="L923" t="n">
        <v>10.2</v>
      </c>
      <c r="M923" t="n">
        <v>27.9</v>
      </c>
      <c r="N923" t="inlineStr">
        <is>
          <t>1001–1200</t>
        </is>
      </c>
      <c r="O923" t="inlineStr">
        <is>
          <t>28.3–32.6</t>
        </is>
      </c>
      <c r="P923" t="n">
        <v>30.8</v>
      </c>
      <c r="Q923" t="n">
        <v>24.9</v>
      </c>
      <c r="R923" t="n">
        <v>29.7</v>
      </c>
      <c r="S923" t="n">
        <v>88.8</v>
      </c>
      <c r="T923" t="n">
        <v>44.4</v>
      </c>
      <c r="U923" t="inlineStr">
        <is>
          <t>11,001</t>
        </is>
      </c>
      <c r="V923" t="n">
        <v>9.5</v>
      </c>
      <c r="W923" t="inlineStr">
        <is>
          <t>7%</t>
        </is>
      </c>
      <c r="X923" t="inlineStr">
        <is>
          <t>35 : 65</t>
        </is>
      </c>
      <c r="Y923" t="n">
        <v>641</v>
      </c>
      <c r="Z923" t="n">
        <v>1001</v>
      </c>
      <c r="AA923" t="n">
        <v>30.45</v>
      </c>
      <c r="AB923" t="inlineStr">
        <is>
          <t>U0922</t>
        </is>
      </c>
      <c r="AC923" t="inlineStr">
        <is>
          <t>TA</t>
        </is>
      </c>
      <c r="AD923" t="n">
        <v>30.45</v>
      </c>
      <c r="AE923" t="n">
        <v>14.4</v>
      </c>
      <c r="AF923" t="n">
        <v>9.5</v>
      </c>
      <c r="AG923" t="inlineStr">
        <is>
          <t>1:9.5</t>
        </is>
      </c>
      <c r="AH923" t="inlineStr">
        <is>
          <t>7%</t>
        </is>
      </c>
      <c r="AI923" t="n">
        <v>21.5</v>
      </c>
      <c r="AJ923" t="n">
        <v>21.54</v>
      </c>
    </row>
    <row r="924">
      <c r="A924" t="inlineStr">
        <is>
          <t>National Changhua University of Education</t>
        </is>
      </c>
      <c r="B924" t="inlineStr">
        <is>
          <t>Taiwan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>1201–1500</t>
        </is>
      </c>
      <c r="O924" t="inlineStr">
        <is>
          <t>22.8–28.2</t>
        </is>
      </c>
      <c r="P924" t="n">
        <v>22.2</v>
      </c>
      <c r="Q924" t="n">
        <v>17.8</v>
      </c>
      <c r="R924" t="n">
        <v>20.6</v>
      </c>
      <c r="S924" t="n">
        <v>74.5</v>
      </c>
      <c r="T924" t="n">
        <v>28.8</v>
      </c>
      <c r="U924" t="inlineStr">
        <is>
          <t>8,459</t>
        </is>
      </c>
      <c r="V924" t="n">
        <v>15</v>
      </c>
      <c r="W924" t="inlineStr">
        <is>
          <t>8%</t>
        </is>
      </c>
      <c r="X924" t="inlineStr">
        <is>
          <t>51 : 49</t>
        </is>
      </c>
      <c r="Y924" t="inlineStr"/>
      <c r="Z924" t="n">
        <v>1201</v>
      </c>
      <c r="AA924" t="n">
        <v>25.5</v>
      </c>
      <c r="AB924" t="inlineStr">
        <is>
          <t>U0923</t>
        </is>
      </c>
      <c r="AC924" t="inlineStr">
        <is>
          <t>TA</t>
        </is>
      </c>
      <c r="AD924" t="n">
        <v>25.5</v>
      </c>
      <c r="AE924" t="n">
        <v>20.6</v>
      </c>
      <c r="AF924" t="n">
        <v>15</v>
      </c>
      <c r="AG924" t="inlineStr">
        <is>
          <t>1:15.0</t>
        </is>
      </c>
      <c r="AH924" t="inlineStr">
        <is>
          <t>8%</t>
        </is>
      </c>
      <c r="AI924" t="inlineStr"/>
      <c r="AJ924" t="n">
        <v>15.93</v>
      </c>
    </row>
    <row r="925">
      <c r="A925" t="inlineStr">
        <is>
          <t>National Cheng Kung University (NCKU)</t>
        </is>
      </c>
      <c r="B925" t="inlineStr">
        <is>
          <t>Taiwan</t>
        </is>
      </c>
      <c r="C925" t="inlineStr">
        <is>
          <t>215</t>
        </is>
      </c>
      <c r="D925" t="n">
        <v>44.2</v>
      </c>
      <c r="E925" t="n">
        <v>51.5</v>
      </c>
      <c r="F925" t="n">
        <v>74</v>
      </c>
      <c r="G925" t="n">
        <v>33.4</v>
      </c>
      <c r="H925" t="n">
        <v>20.3</v>
      </c>
      <c r="I925" t="n">
        <v>16.3</v>
      </c>
      <c r="J925" t="n">
        <v>13.9</v>
      </c>
      <c r="K925" t="n">
        <v>58.7</v>
      </c>
      <c r="L925" t="n">
        <v>42.4</v>
      </c>
      <c r="M925" t="n">
        <v>83.8</v>
      </c>
      <c r="N925" t="inlineStr">
        <is>
          <t>501–600</t>
        </is>
      </c>
      <c r="O925" t="inlineStr">
        <is>
          <t>41.9–45.3</t>
        </is>
      </c>
      <c r="P925" t="n">
        <v>35.4</v>
      </c>
      <c r="Q925" t="n">
        <v>39.2</v>
      </c>
      <c r="R925" t="n">
        <v>47.2</v>
      </c>
      <c r="S925" t="n">
        <v>100</v>
      </c>
      <c r="T925" t="n">
        <v>40.8</v>
      </c>
      <c r="U925" t="inlineStr">
        <is>
          <t>20,971</t>
        </is>
      </c>
      <c r="V925" t="n">
        <v>15.9</v>
      </c>
      <c r="W925" t="inlineStr">
        <is>
          <t>11%</t>
        </is>
      </c>
      <c r="X925" t="inlineStr">
        <is>
          <t>37 : 63</t>
        </is>
      </c>
      <c r="Y925" t="n">
        <v>215</v>
      </c>
      <c r="Z925" t="n">
        <v>501</v>
      </c>
      <c r="AA925" t="n">
        <v>43.59999999999999</v>
      </c>
      <c r="AB925" t="inlineStr">
        <is>
          <t>U0924</t>
        </is>
      </c>
      <c r="AC925" t="inlineStr">
        <is>
          <t>TA</t>
        </is>
      </c>
      <c r="AD925" t="n">
        <v>44.2</v>
      </c>
      <c r="AE925" t="n">
        <v>20.3</v>
      </c>
      <c r="AF925" t="n">
        <v>15.9</v>
      </c>
      <c r="AG925" t="inlineStr">
        <is>
          <t>1:15.9</t>
        </is>
      </c>
      <c r="AH925" t="inlineStr">
        <is>
          <t>11%</t>
        </is>
      </c>
      <c r="AI925" t="n">
        <v>51.5</v>
      </c>
      <c r="AJ925" t="n">
        <v>29.96</v>
      </c>
    </row>
    <row r="926">
      <c r="A926" t="inlineStr">
        <is>
          <t>National Chengchi University</t>
        </is>
      </c>
      <c r="B926" t="inlineStr">
        <is>
          <t>Taiwan</t>
        </is>
      </c>
      <c r="C926" t="inlineStr">
        <is>
          <t>601-610</t>
        </is>
      </c>
      <c r="D926" t="inlineStr"/>
      <c r="E926" t="n">
        <v>20.1</v>
      </c>
      <c r="F926" t="n">
        <v>37.8</v>
      </c>
      <c r="G926" t="n">
        <v>17.1</v>
      </c>
      <c r="H926" t="n">
        <v>2.2</v>
      </c>
      <c r="I926" t="n">
        <v>26.5</v>
      </c>
      <c r="J926" t="n">
        <v>21.8</v>
      </c>
      <c r="K926" t="n">
        <v>13.3</v>
      </c>
      <c r="L926" t="n">
        <v>91.09999999999999</v>
      </c>
      <c r="M926" t="n">
        <v>1.6</v>
      </c>
      <c r="N926" t="inlineStr">
        <is>
          <t>1001–1200</t>
        </is>
      </c>
      <c r="O926" t="inlineStr">
        <is>
          <t>28.3–32.6</t>
        </is>
      </c>
      <c r="P926" t="n">
        <v>27.6</v>
      </c>
      <c r="Q926" t="n">
        <v>27.8</v>
      </c>
      <c r="R926" t="n">
        <v>24.8</v>
      </c>
      <c r="S926" t="n">
        <v>60.6</v>
      </c>
      <c r="T926" t="n">
        <v>48.8</v>
      </c>
      <c r="U926" t="inlineStr">
        <is>
          <t>12,329</t>
        </is>
      </c>
      <c r="V926" t="n">
        <v>14.9</v>
      </c>
      <c r="W926" t="inlineStr">
        <is>
          <t>12%</t>
        </is>
      </c>
      <c r="X926" t="inlineStr">
        <is>
          <t>56 : 44</t>
        </is>
      </c>
      <c r="Y926" t="n">
        <v>601</v>
      </c>
      <c r="Z926" t="n">
        <v>1001</v>
      </c>
      <c r="AA926" t="n">
        <v>30.45</v>
      </c>
      <c r="AB926" t="inlineStr">
        <is>
          <t>U0925</t>
        </is>
      </c>
      <c r="AC926" t="inlineStr">
        <is>
          <t>TA</t>
        </is>
      </c>
      <c r="AD926" t="n">
        <v>30.45</v>
      </c>
      <c r="AE926" t="n">
        <v>2.2</v>
      </c>
      <c r="AF926" t="n">
        <v>14.9</v>
      </c>
      <c r="AG926" t="inlineStr">
        <is>
          <t>1:14.9</t>
        </is>
      </c>
      <c r="AH926" t="inlineStr">
        <is>
          <t>12%</t>
        </is>
      </c>
      <c r="AI926" t="n">
        <v>20.1</v>
      </c>
      <c r="AJ926" t="n">
        <v>20.43</v>
      </c>
    </row>
    <row r="927">
      <c r="A927" t="inlineStr">
        <is>
          <t>National Chi Nan University</t>
        </is>
      </c>
      <c r="B927" t="inlineStr">
        <is>
          <t>Taiwan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>
        <is>
          <t>1501+</t>
        </is>
      </c>
      <c r="O927" t="inlineStr">
        <is>
          <t>9.7–22.7</t>
        </is>
      </c>
      <c r="P927" t="n">
        <v>20</v>
      </c>
      <c r="Q927" t="n">
        <v>18.4</v>
      </c>
      <c r="R927" t="n">
        <v>13.3</v>
      </c>
      <c r="S927" t="n">
        <v>72.09999999999999</v>
      </c>
      <c r="T927" t="n">
        <v>32.1</v>
      </c>
      <c r="U927" t="inlineStr">
        <is>
          <t>5,853</t>
        </is>
      </c>
      <c r="V927" t="n">
        <v>14.7</v>
      </c>
      <c r="W927" t="inlineStr">
        <is>
          <t>9%</t>
        </is>
      </c>
      <c r="X927" t="inlineStr">
        <is>
          <t>53 : 47</t>
        </is>
      </c>
      <c r="Y927" t="inlineStr"/>
      <c r="Z927" t="n">
        <v>1501</v>
      </c>
      <c r="AA927" t="n">
        <v>16.2</v>
      </c>
      <c r="AB927" t="inlineStr">
        <is>
          <t>U0926</t>
        </is>
      </c>
      <c r="AC927" t="inlineStr">
        <is>
          <t>TA</t>
        </is>
      </c>
      <c r="AD927" t="n">
        <v>16.2</v>
      </c>
      <c r="AE927" t="n">
        <v>13.3</v>
      </c>
      <c r="AF927" t="n">
        <v>14.7</v>
      </c>
      <c r="AG927" t="inlineStr">
        <is>
          <t>1:14.7</t>
        </is>
      </c>
      <c r="AH927" t="inlineStr">
        <is>
          <t>9%</t>
        </is>
      </c>
      <c r="AI927" t="inlineStr"/>
      <c r="AJ927" t="n">
        <v>14.83</v>
      </c>
    </row>
    <row r="928">
      <c r="A928" t="inlineStr">
        <is>
          <t>National Chiayi University</t>
        </is>
      </c>
      <c r="B928" t="inlineStr">
        <is>
          <t>Taiwan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>1501+</t>
        </is>
      </c>
      <c r="O928" t="inlineStr">
        <is>
          <t>9.7–22.7</t>
        </is>
      </c>
      <c r="P928" t="n">
        <v>14.4</v>
      </c>
      <c r="Q928" t="n">
        <v>14.1</v>
      </c>
      <c r="R928" t="n">
        <v>21</v>
      </c>
      <c r="S928" t="n">
        <v>56.7</v>
      </c>
      <c r="T928" t="n">
        <v>21.8</v>
      </c>
      <c r="U928" t="inlineStr">
        <is>
          <t>11,251</t>
        </is>
      </c>
      <c r="V928" t="n">
        <v>22.5</v>
      </c>
      <c r="W928" t="inlineStr">
        <is>
          <t>3%</t>
        </is>
      </c>
      <c r="X928" t="inlineStr">
        <is>
          <t>49 : 51</t>
        </is>
      </c>
      <c r="Y928" t="inlineStr"/>
      <c r="Z928" t="n">
        <v>1501</v>
      </c>
      <c r="AA928" t="n">
        <v>16.2</v>
      </c>
      <c r="AB928" t="inlineStr">
        <is>
          <t>U0927</t>
        </is>
      </c>
      <c r="AC928" t="inlineStr">
        <is>
          <t>TA</t>
        </is>
      </c>
      <c r="AD928" t="n">
        <v>16.2</v>
      </c>
      <c r="AE928" t="n">
        <v>21</v>
      </c>
      <c r="AF928" t="n">
        <v>22.5</v>
      </c>
      <c r="AG928" t="inlineStr">
        <is>
          <t>1:22.5</t>
        </is>
      </c>
      <c r="AH928" t="inlineStr">
        <is>
          <t>3%</t>
        </is>
      </c>
      <c r="AI928" t="inlineStr"/>
      <c r="AJ928" t="n">
        <v>12.42</v>
      </c>
    </row>
    <row r="929">
      <c r="A929" t="inlineStr">
        <is>
          <t>National Chin-Yi University of Technology</t>
        </is>
      </c>
      <c r="B929" t="inlineStr">
        <is>
          <t>Taiwan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>
        <is>
          <t>1201–1500</t>
        </is>
      </c>
      <c r="O929" t="inlineStr">
        <is>
          <t>22.8–28.2</t>
        </is>
      </c>
      <c r="P929" t="n">
        <v>13.9</v>
      </c>
      <c r="Q929" t="n">
        <v>25.1</v>
      </c>
      <c r="R929" t="n">
        <v>27.4</v>
      </c>
      <c r="S929" t="n">
        <v>42.1</v>
      </c>
      <c r="T929" t="n">
        <v>28.7</v>
      </c>
      <c r="U929" t="inlineStr">
        <is>
          <t>7,618</t>
        </is>
      </c>
      <c r="V929" t="n">
        <v>22.7</v>
      </c>
      <c r="W929" t="inlineStr">
        <is>
          <t>6%</t>
        </is>
      </c>
      <c r="X929" t="inlineStr">
        <is>
          <t>30 : 70</t>
        </is>
      </c>
      <c r="Y929" t="inlineStr"/>
      <c r="Z929" t="n">
        <v>1201</v>
      </c>
      <c r="AA929" t="n">
        <v>25.5</v>
      </c>
      <c r="AB929" t="inlineStr">
        <is>
          <t>U0928</t>
        </is>
      </c>
      <c r="AC929" t="inlineStr">
        <is>
          <t>TA</t>
        </is>
      </c>
      <c r="AD929" t="n">
        <v>25.5</v>
      </c>
      <c r="AE929" t="n">
        <v>27.4</v>
      </c>
      <c r="AF929" t="n">
        <v>22.7</v>
      </c>
      <c r="AG929" t="inlineStr">
        <is>
          <t>1:22.7</t>
        </is>
      </c>
      <c r="AH929" t="inlineStr">
        <is>
          <t>6%</t>
        </is>
      </c>
      <c r="AI929" t="inlineStr"/>
      <c r="AJ929" t="n">
        <v>21.79</v>
      </c>
    </row>
    <row r="930">
      <c r="A930" t="inlineStr">
        <is>
          <t>National Chung Cheng University</t>
        </is>
      </c>
      <c r="B930" t="inlineStr">
        <is>
          <t>Taiwan</t>
        </is>
      </c>
      <c r="C930" t="inlineStr">
        <is>
          <t>1001-1200</t>
        </is>
      </c>
      <c r="D930" t="inlineStr"/>
      <c r="E930" t="n">
        <v>12.5</v>
      </c>
      <c r="F930" t="n">
        <v>24.9</v>
      </c>
      <c r="G930" t="n">
        <v>14.5</v>
      </c>
      <c r="H930" t="n">
        <v>4.9</v>
      </c>
      <c r="I930" t="n">
        <v>4.7</v>
      </c>
      <c r="J930" t="n">
        <v>3.5</v>
      </c>
      <c r="K930" t="n">
        <v>21.4</v>
      </c>
      <c r="L930" t="n">
        <v>2.7</v>
      </c>
      <c r="M930" t="n">
        <v>9.9</v>
      </c>
      <c r="N930" t="inlineStr">
        <is>
          <t>1201–1500</t>
        </is>
      </c>
      <c r="O930" t="inlineStr">
        <is>
          <t>22.8–28.2</t>
        </is>
      </c>
      <c r="P930" t="n">
        <v>23.5</v>
      </c>
      <c r="Q930" t="n">
        <v>22.2</v>
      </c>
      <c r="R930" t="n">
        <v>25</v>
      </c>
      <c r="S930" t="n">
        <v>72.90000000000001</v>
      </c>
      <c r="T930" t="n">
        <v>26.5</v>
      </c>
      <c r="U930" t="inlineStr">
        <is>
          <t>8,748</t>
        </is>
      </c>
      <c r="V930" t="n">
        <v>15.6</v>
      </c>
      <c r="W930" t="inlineStr">
        <is>
          <t>4%</t>
        </is>
      </c>
      <c r="X930" t="inlineStr">
        <is>
          <t>44 : 56</t>
        </is>
      </c>
      <c r="Y930" t="n">
        <v>1001</v>
      </c>
      <c r="Z930" t="n">
        <v>1201</v>
      </c>
      <c r="AA930" t="n">
        <v>25.5</v>
      </c>
      <c r="AB930" t="inlineStr">
        <is>
          <t>U0929</t>
        </is>
      </c>
      <c r="AC930" t="inlineStr">
        <is>
          <t>TA</t>
        </is>
      </c>
      <c r="AD930" t="n">
        <v>25.5</v>
      </c>
      <c r="AE930" t="n">
        <v>4.9</v>
      </c>
      <c r="AF930" t="n">
        <v>15.6</v>
      </c>
      <c r="AG930" t="inlineStr">
        <is>
          <t>1:15.6</t>
        </is>
      </c>
      <c r="AH930" t="inlineStr">
        <is>
          <t>4%</t>
        </is>
      </c>
      <c r="AI930" t="n">
        <v>12.5</v>
      </c>
      <c r="AJ930" t="n">
        <v>12.92</v>
      </c>
    </row>
    <row r="931">
      <c r="A931" t="inlineStr">
        <is>
          <t>National Chung Hsing University</t>
        </is>
      </c>
      <c r="B931" t="inlineStr">
        <is>
          <t>Taiwan</t>
        </is>
      </c>
      <c r="C931" t="inlineStr">
        <is>
          <t>661-670</t>
        </is>
      </c>
      <c r="D931" t="inlineStr"/>
      <c r="E931" t="n">
        <v>21.1</v>
      </c>
      <c r="F931" t="n">
        <v>23</v>
      </c>
      <c r="G931" t="n">
        <v>25.3</v>
      </c>
      <c r="H931" t="n">
        <v>11.5</v>
      </c>
      <c r="I931" t="n">
        <v>8.800000000000001</v>
      </c>
      <c r="J931" t="n">
        <v>8.4</v>
      </c>
      <c r="K931" t="n">
        <v>32.2</v>
      </c>
      <c r="L931" t="n">
        <v>28.4</v>
      </c>
      <c r="M931" t="n">
        <v>32.1</v>
      </c>
      <c r="N931" t="inlineStr">
        <is>
          <t>1001–1200</t>
        </is>
      </c>
      <c r="O931" t="inlineStr">
        <is>
          <t>28.3–32.6</t>
        </is>
      </c>
      <c r="P931" t="n">
        <v>23.8</v>
      </c>
      <c r="Q931" t="n">
        <v>25.2</v>
      </c>
      <c r="R931" t="n">
        <v>33.8</v>
      </c>
      <c r="S931" t="n">
        <v>78.8</v>
      </c>
      <c r="T931" t="n">
        <v>32.5</v>
      </c>
      <c r="U931" t="inlineStr">
        <is>
          <t>14,394</t>
        </is>
      </c>
      <c r="V931" t="n">
        <v>15.5</v>
      </c>
      <c r="W931" t="inlineStr">
        <is>
          <t>6%</t>
        </is>
      </c>
      <c r="X931" t="inlineStr">
        <is>
          <t>42 : 58</t>
        </is>
      </c>
      <c r="Y931" t="n">
        <v>661</v>
      </c>
      <c r="Z931" t="n">
        <v>1001</v>
      </c>
      <c r="AA931" t="n">
        <v>30.45</v>
      </c>
      <c r="AB931" t="inlineStr">
        <is>
          <t>U0930</t>
        </is>
      </c>
      <c r="AC931" t="inlineStr">
        <is>
          <t>TA</t>
        </is>
      </c>
      <c r="AD931" t="n">
        <v>30.45</v>
      </c>
      <c r="AE931" t="n">
        <v>11.5</v>
      </c>
      <c r="AF931" t="n">
        <v>15.5</v>
      </c>
      <c r="AG931" t="inlineStr">
        <is>
          <t>1:15.5</t>
        </is>
      </c>
      <c r="AH931" t="inlineStr">
        <is>
          <t>6%</t>
        </is>
      </c>
      <c r="AI931" t="n">
        <v>21.1</v>
      </c>
      <c r="AJ931" t="n">
        <v>17.94</v>
      </c>
    </row>
    <row r="932">
      <c r="A932" t="inlineStr">
        <is>
          <t>National Dong Hwa University</t>
        </is>
      </c>
      <c r="B932" t="inlineStr">
        <is>
          <t>Taiwan</t>
        </is>
      </c>
      <c r="C932" t="inlineStr">
        <is>
          <t>1201-1400</t>
        </is>
      </c>
      <c r="D932" t="inlineStr"/>
      <c r="E932" t="n">
        <v>9.199999999999999</v>
      </c>
      <c r="F932" t="n">
        <v>4.5</v>
      </c>
      <c r="G932" t="n">
        <v>6.3</v>
      </c>
      <c r="H932" t="n">
        <v>5.4</v>
      </c>
      <c r="I932" t="n">
        <v>4.9</v>
      </c>
      <c r="J932" t="n">
        <v>10.2</v>
      </c>
      <c r="K932" t="n">
        <v>9.699999999999999</v>
      </c>
      <c r="L932" t="n">
        <v>2</v>
      </c>
      <c r="M932" t="n">
        <v>1.3</v>
      </c>
      <c r="N932" t="inlineStr">
        <is>
          <t>1201–1500</t>
        </is>
      </c>
      <c r="O932" t="inlineStr">
        <is>
          <t>22.8–28.2</t>
        </is>
      </c>
      <c r="P932" t="n">
        <v>19.1</v>
      </c>
      <c r="Q932" t="n">
        <v>23.8</v>
      </c>
      <c r="R932" t="n">
        <v>26.3</v>
      </c>
      <c r="S932" t="n">
        <v>33.5</v>
      </c>
      <c r="T932" t="n">
        <v>48.6</v>
      </c>
      <c r="U932" t="inlineStr">
        <is>
          <t>9,970</t>
        </is>
      </c>
      <c r="V932" t="n">
        <v>18.6</v>
      </c>
      <c r="W932" t="inlineStr">
        <is>
          <t>9%</t>
        </is>
      </c>
      <c r="X932" t="inlineStr">
        <is>
          <t>52 : 48</t>
        </is>
      </c>
      <c r="Y932" t="n">
        <v>1201</v>
      </c>
      <c r="Z932" t="n">
        <v>1201</v>
      </c>
      <c r="AA932" t="n">
        <v>25.5</v>
      </c>
      <c r="AB932" t="inlineStr">
        <is>
          <t>U0931</t>
        </is>
      </c>
      <c r="AC932" t="inlineStr">
        <is>
          <t>TA</t>
        </is>
      </c>
      <c r="AD932" t="n">
        <v>25.5</v>
      </c>
      <c r="AE932" t="n">
        <v>5.4</v>
      </c>
      <c r="AF932" t="n">
        <v>18.6</v>
      </c>
      <c r="AG932" t="inlineStr">
        <is>
          <t>1:18.6</t>
        </is>
      </c>
      <c r="AH932" t="inlineStr">
        <is>
          <t>9%</t>
        </is>
      </c>
      <c r="AI932" t="n">
        <v>9.199999999999999</v>
      </c>
      <c r="AJ932" t="n">
        <v>19.26</v>
      </c>
    </row>
    <row r="933">
      <c r="A933" t="inlineStr">
        <is>
          <t>National Formosa University</t>
        </is>
      </c>
      <c r="B933" t="inlineStr">
        <is>
          <t>Taiwan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>
        <is>
          <t>1501+</t>
        </is>
      </c>
      <c r="O933" t="inlineStr">
        <is>
          <t>9.7–22.7</t>
        </is>
      </c>
      <c r="P933" t="n">
        <v>14.1</v>
      </c>
      <c r="Q933" t="n">
        <v>11.7</v>
      </c>
      <c r="R933" t="n">
        <v>8.4</v>
      </c>
      <c r="S933" t="n">
        <v>38.7</v>
      </c>
      <c r="T933" t="n">
        <v>18.5</v>
      </c>
      <c r="U933" t="inlineStr">
        <is>
          <t>11,134</t>
        </is>
      </c>
      <c r="V933" t="n">
        <v>19.5</v>
      </c>
      <c r="W933" t="inlineStr">
        <is>
          <t>1%</t>
        </is>
      </c>
      <c r="X933" t="inlineStr">
        <is>
          <t>22 : 78</t>
        </is>
      </c>
      <c r="Y933" t="inlineStr"/>
      <c r="Z933" t="n">
        <v>1501</v>
      </c>
      <c r="AA933" t="n">
        <v>16.2</v>
      </c>
      <c r="AB933" t="inlineStr">
        <is>
          <t>U0932</t>
        </is>
      </c>
      <c r="AC933" t="inlineStr">
        <is>
          <t>TA</t>
        </is>
      </c>
      <c r="AD933" t="n">
        <v>16.2</v>
      </c>
      <c r="AE933" t="n">
        <v>8.4</v>
      </c>
      <c r="AF933" t="n">
        <v>19.5</v>
      </c>
      <c r="AG933" t="inlineStr">
        <is>
          <t>1:19.5</t>
        </is>
      </c>
      <c r="AH933" t="inlineStr">
        <is>
          <t>1%</t>
        </is>
      </c>
      <c r="AI933" t="inlineStr"/>
      <c r="AJ933" t="n">
        <v>6.54</v>
      </c>
    </row>
    <row r="934">
      <c r="A934" t="inlineStr">
        <is>
          <t>National Ilan University</t>
        </is>
      </c>
      <c r="B934" t="inlineStr">
        <is>
          <t>Taiwan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>
        <is>
          <t>1501+</t>
        </is>
      </c>
      <c r="O934" t="inlineStr">
        <is>
          <t>9.7–22.7</t>
        </is>
      </c>
      <c r="P934" t="n">
        <v>13.9</v>
      </c>
      <c r="Q934" t="n">
        <v>14.6</v>
      </c>
      <c r="R934" t="n">
        <v>23.1</v>
      </c>
      <c r="S934" t="n">
        <v>37.1</v>
      </c>
      <c r="T934" t="n">
        <v>32.3</v>
      </c>
      <c r="U934" t="inlineStr">
        <is>
          <t>5,637</t>
        </is>
      </c>
      <c r="V934" t="n">
        <v>23.8</v>
      </c>
      <c r="W934" t="inlineStr">
        <is>
          <t>2%</t>
        </is>
      </c>
      <c r="X934" t="inlineStr">
        <is>
          <t>36 : 64</t>
        </is>
      </c>
      <c r="Y934" t="inlineStr"/>
      <c r="Z934" t="n">
        <v>1501</v>
      </c>
      <c r="AA934" t="n">
        <v>16.2</v>
      </c>
      <c r="AB934" t="inlineStr">
        <is>
          <t>U0933</t>
        </is>
      </c>
      <c r="AC934" t="inlineStr">
        <is>
          <t>TA</t>
        </is>
      </c>
      <c r="AD934" t="n">
        <v>16.2</v>
      </c>
      <c r="AE934" t="n">
        <v>23.1</v>
      </c>
      <c r="AF934" t="n">
        <v>23.8</v>
      </c>
      <c r="AG934" t="inlineStr">
        <is>
          <t>1:23.8</t>
        </is>
      </c>
      <c r="AH934" t="inlineStr">
        <is>
          <t>2%</t>
        </is>
      </c>
      <c r="AI934" t="inlineStr"/>
      <c r="AJ934" t="n">
        <v>15.86</v>
      </c>
    </row>
    <row r="935">
      <c r="A935" t="inlineStr">
        <is>
          <t>National Institute of Applied Sciences of Lyon (INSA Lyon)</t>
        </is>
      </c>
      <c r="B935" t="inlineStr">
        <is>
          <t>France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>
        <is>
          <t>601–800</t>
        </is>
      </c>
      <c r="O935" t="inlineStr">
        <is>
          <t>37.0–41.8</t>
        </is>
      </c>
      <c r="P935" t="n">
        <v>37.2</v>
      </c>
      <c r="Q935" t="n">
        <v>27</v>
      </c>
      <c r="R935" t="n">
        <v>38.3</v>
      </c>
      <c r="S935" t="n">
        <v>93.8</v>
      </c>
      <c r="T935" t="n">
        <v>75.09999999999999</v>
      </c>
      <c r="U935" t="inlineStr">
        <is>
          <t>6,130</t>
        </is>
      </c>
      <c r="V935" t="n">
        <v>18.7</v>
      </c>
      <c r="W935" t="inlineStr">
        <is>
          <t>29%</t>
        </is>
      </c>
      <c r="X935" t="inlineStr">
        <is>
          <t>36 : 64</t>
        </is>
      </c>
      <c r="Y935" t="inlineStr"/>
      <c r="Z935" t="n">
        <v>601</v>
      </c>
      <c r="AA935" t="n">
        <v>39.4</v>
      </c>
      <c r="AB935" t="inlineStr">
        <is>
          <t>U0934</t>
        </is>
      </c>
      <c r="AC935" t="inlineStr">
        <is>
          <t>FR</t>
        </is>
      </c>
      <c r="AD935" t="n">
        <v>39.4</v>
      </c>
      <c r="AE935" t="n">
        <v>38.3</v>
      </c>
      <c r="AF935" t="n">
        <v>18.7</v>
      </c>
      <c r="AG935" t="inlineStr">
        <is>
          <t>1:18.7</t>
        </is>
      </c>
      <c r="AH935" t="inlineStr">
        <is>
          <t>29%</t>
        </is>
      </c>
      <c r="AI935" t="inlineStr"/>
      <c r="AJ935" t="n">
        <v>37.31</v>
      </c>
    </row>
    <row r="936">
      <c r="A936" t="inlineStr">
        <is>
          <t>National Institute of Technology Rourkela</t>
        </is>
      </c>
      <c r="B936" t="inlineStr">
        <is>
          <t>India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>
        <is>
          <t>601–800</t>
        </is>
      </c>
      <c r="O936" t="inlineStr">
        <is>
          <t>37.0–41.8</t>
        </is>
      </c>
      <c r="P936" t="n">
        <v>30.6</v>
      </c>
      <c r="Q936" t="n">
        <v>20.2</v>
      </c>
      <c r="R936" t="n">
        <v>64.7</v>
      </c>
      <c r="S936" t="n">
        <v>29.9</v>
      </c>
      <c r="T936" t="n">
        <v>23.1</v>
      </c>
      <c r="U936" t="inlineStr">
        <is>
          <t>7,661</t>
        </is>
      </c>
      <c r="V936" t="n">
        <v>20.6</v>
      </c>
      <c r="W936" t="inlineStr">
        <is>
          <t>4%</t>
        </is>
      </c>
      <c r="X936" t="inlineStr">
        <is>
          <t>22 : 78</t>
        </is>
      </c>
      <c r="Y936" t="inlineStr"/>
      <c r="Z936" t="n">
        <v>601</v>
      </c>
      <c r="AA936" t="n">
        <v>39.4</v>
      </c>
      <c r="AB936" t="inlineStr">
        <is>
          <t>U0935</t>
        </is>
      </c>
      <c r="AC936" t="inlineStr">
        <is>
          <t>IN</t>
        </is>
      </c>
      <c r="AD936" t="n">
        <v>39.4</v>
      </c>
      <c r="AE936" t="n">
        <v>64.7</v>
      </c>
      <c r="AF936" t="n">
        <v>20.6</v>
      </c>
      <c r="AG936" t="inlineStr">
        <is>
          <t>1:20.6</t>
        </is>
      </c>
      <c r="AH936" t="inlineStr">
        <is>
          <t>4%</t>
        </is>
      </c>
      <c r="AI936" t="inlineStr"/>
      <c r="AJ936" t="n">
        <v>29.17</v>
      </c>
    </row>
    <row r="937">
      <c r="A937" t="inlineStr">
        <is>
          <t>National Institute of Technology Silchar</t>
        </is>
      </c>
      <c r="B937" t="inlineStr">
        <is>
          <t>India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>
        <is>
          <t>601–800</t>
        </is>
      </c>
      <c r="O937" t="inlineStr">
        <is>
          <t>37.0–41.8</t>
        </is>
      </c>
      <c r="P937" t="n">
        <v>32.4</v>
      </c>
      <c r="Q937" t="n">
        <v>19.5</v>
      </c>
      <c r="R937" t="n">
        <v>71.7</v>
      </c>
      <c r="S937" t="n">
        <v>18.4</v>
      </c>
      <c r="T937" t="n">
        <v>20.5</v>
      </c>
      <c r="U937" t="inlineStr">
        <is>
          <t>4,704</t>
        </is>
      </c>
      <c r="V937" t="n">
        <v>16.3</v>
      </c>
      <c r="W937" t="inlineStr">
        <is>
          <t>2%</t>
        </is>
      </c>
      <c r="X937" t="inlineStr">
        <is>
          <t>20 : 80</t>
        </is>
      </c>
      <c r="Y937" t="inlineStr"/>
      <c r="Z937" t="n">
        <v>601</v>
      </c>
      <c r="AA937" t="n">
        <v>39.4</v>
      </c>
      <c r="AB937" t="inlineStr">
        <is>
          <t>U0936</t>
        </is>
      </c>
      <c r="AC937" t="inlineStr">
        <is>
          <t>IN</t>
        </is>
      </c>
      <c r="AD937" t="n">
        <v>39.4</v>
      </c>
      <c r="AE937" t="n">
        <v>71.7</v>
      </c>
      <c r="AF937" t="n">
        <v>16.3</v>
      </c>
      <c r="AG937" t="inlineStr">
        <is>
          <t>1:16.3</t>
        </is>
      </c>
      <c r="AH937" t="inlineStr">
        <is>
          <t>2%</t>
        </is>
      </c>
      <c r="AI937" t="inlineStr"/>
      <c r="AJ937" t="n">
        <v>30.3</v>
      </c>
    </row>
    <row r="938">
      <c r="A938" t="inlineStr">
        <is>
          <t>National Institute of Technology Srinagar</t>
        </is>
      </c>
      <c r="B938" t="inlineStr">
        <is>
          <t>India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>
        <is>
          <t>1201–1500</t>
        </is>
      </c>
      <c r="O938" t="inlineStr">
        <is>
          <t>22.8–28.2</t>
        </is>
      </c>
      <c r="P938" t="n">
        <v>23.1</v>
      </c>
      <c r="Q938" t="n">
        <v>10.7</v>
      </c>
      <c r="R938" t="n">
        <v>45.7</v>
      </c>
      <c r="S938" t="n">
        <v>16.7</v>
      </c>
      <c r="T938" t="n">
        <v>19.8</v>
      </c>
      <c r="U938" t="inlineStr">
        <is>
          <t>3,820</t>
        </is>
      </c>
      <c r="V938" t="n">
        <v>15.9</v>
      </c>
      <c r="W938" t="inlineStr">
        <is>
          <t>0%</t>
        </is>
      </c>
      <c r="X938" t="inlineStr">
        <is>
          <t>0 : 100</t>
        </is>
      </c>
      <c r="Y938" t="inlineStr"/>
      <c r="Z938" t="n">
        <v>1201</v>
      </c>
      <c r="AA938" t="n">
        <v>25.5</v>
      </c>
      <c r="AB938" t="inlineStr">
        <is>
          <t>U0937</t>
        </is>
      </c>
      <c r="AC938" t="inlineStr">
        <is>
          <t>IN</t>
        </is>
      </c>
      <c r="AD938" t="n">
        <v>25.5</v>
      </c>
      <c r="AE938" t="n">
        <v>45.7</v>
      </c>
      <c r="AF938" t="n">
        <v>15.9</v>
      </c>
      <c r="AG938" t="inlineStr">
        <is>
          <t>1:15.9</t>
        </is>
      </c>
      <c r="AH938" t="inlineStr">
        <is>
          <t>0%</t>
        </is>
      </c>
      <c r="AI938" t="inlineStr"/>
      <c r="AJ938" t="n">
        <v>17.64</v>
      </c>
    </row>
    <row r="939">
      <c r="A939" t="inlineStr">
        <is>
          <t>National Institute of Technology Tiruchirappalli</t>
        </is>
      </c>
      <c r="B939" t="inlineStr">
        <is>
          <t>India</t>
        </is>
      </c>
      <c r="C939" t="inlineStr">
        <is>
          <t>701-710</t>
        </is>
      </c>
      <c r="D939" t="inlineStr"/>
      <c r="E939" t="n">
        <v>4.1</v>
      </c>
      <c r="F939" t="n">
        <v>2.8</v>
      </c>
      <c r="G939" t="n">
        <v>9.1</v>
      </c>
      <c r="H939" t="n">
        <v>71</v>
      </c>
      <c r="I939" t="inlineStr"/>
      <c r="J939" t="n">
        <v>1.8</v>
      </c>
      <c r="K939" t="n">
        <v>34.5</v>
      </c>
      <c r="L939" t="n">
        <v>3</v>
      </c>
      <c r="M939" t="n">
        <v>5.2</v>
      </c>
      <c r="N939" t="inlineStr">
        <is>
          <t>801–1000</t>
        </is>
      </c>
      <c r="O939" t="inlineStr">
        <is>
          <t>32.7–36.9</t>
        </is>
      </c>
      <c r="P939" t="n">
        <v>33.8</v>
      </c>
      <c r="Q939" t="n">
        <v>17.1</v>
      </c>
      <c r="R939" t="n">
        <v>60.2</v>
      </c>
      <c r="S939" t="n">
        <v>27.1</v>
      </c>
      <c r="T939" t="n">
        <v>21.2</v>
      </c>
      <c r="U939" t="inlineStr">
        <is>
          <t>7,462</t>
        </is>
      </c>
      <c r="V939" t="n">
        <v>20.4</v>
      </c>
      <c r="W939" t="inlineStr">
        <is>
          <t>2%</t>
        </is>
      </c>
      <c r="X939" t="inlineStr">
        <is>
          <t>24 : 76</t>
        </is>
      </c>
      <c r="Y939" t="n">
        <v>701</v>
      </c>
      <c r="Z939" t="n">
        <v>801</v>
      </c>
      <c r="AA939" t="n">
        <v>34.8</v>
      </c>
      <c r="AB939" t="inlineStr">
        <is>
          <t>U0938</t>
        </is>
      </c>
      <c r="AC939" t="inlineStr">
        <is>
          <t>IN</t>
        </is>
      </c>
      <c r="AD939" t="n">
        <v>34.8</v>
      </c>
      <c r="AE939" t="n">
        <v>71</v>
      </c>
      <c r="AF939" t="n">
        <v>20.4</v>
      </c>
      <c r="AG939" t="inlineStr">
        <is>
          <t>1:20.4</t>
        </is>
      </c>
      <c r="AH939" t="inlineStr">
        <is>
          <t>2%</t>
        </is>
      </c>
      <c r="AI939" t="n">
        <v>4.1</v>
      </c>
      <c r="AJ939" t="n">
        <v>29</v>
      </c>
    </row>
    <row r="940">
      <c r="A940" t="inlineStr">
        <is>
          <t>National Institute of Technology Warangal</t>
        </is>
      </c>
      <c r="B940" t="inlineStr">
        <is>
          <t>India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>
        <is>
          <t>1001–1200</t>
        </is>
      </c>
      <c r="O940" t="inlineStr">
        <is>
          <t>28.3–32.6</t>
        </is>
      </c>
      <c r="P940" t="n">
        <v>25.1</v>
      </c>
      <c r="Q940" t="n">
        <v>13.6</v>
      </c>
      <c r="R940" t="n">
        <v>50.8</v>
      </c>
      <c r="S940" t="n">
        <v>18.4</v>
      </c>
      <c r="T940" t="n">
        <v>24.1</v>
      </c>
      <c r="U940" t="inlineStr">
        <is>
          <t>6,643</t>
        </is>
      </c>
      <c r="V940" t="n">
        <v>19.8</v>
      </c>
      <c r="W940" t="inlineStr">
        <is>
          <t>5%</t>
        </is>
      </c>
      <c r="X940" t="inlineStr">
        <is>
          <t>21 : 79</t>
        </is>
      </c>
      <c r="Y940" t="inlineStr"/>
      <c r="Z940" t="n">
        <v>1001</v>
      </c>
      <c r="AA940" t="n">
        <v>30.45</v>
      </c>
      <c r="AB940" t="inlineStr">
        <is>
          <t>U0939</t>
        </is>
      </c>
      <c r="AC940" t="inlineStr">
        <is>
          <t>IN</t>
        </is>
      </c>
      <c r="AD940" t="n">
        <v>30.45</v>
      </c>
      <c r="AE940" t="n">
        <v>50.8</v>
      </c>
      <c r="AF940" t="n">
        <v>19.8</v>
      </c>
      <c r="AG940" t="inlineStr">
        <is>
          <t>1:19.8</t>
        </is>
      </c>
      <c r="AH940" t="inlineStr">
        <is>
          <t>5%</t>
        </is>
      </c>
      <c r="AI940" t="inlineStr"/>
      <c r="AJ940" t="n">
        <v>21.74</v>
      </c>
    </row>
    <row r="941">
      <c r="A941" t="inlineStr">
        <is>
          <t>National Kaohsiung University of Science and Technology</t>
        </is>
      </c>
      <c r="B941" t="inlineStr">
        <is>
          <t>Taiwan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1201–1500</t>
        </is>
      </c>
      <c r="O941" t="inlineStr">
        <is>
          <t>22.8–28.2</t>
        </is>
      </c>
      <c r="P941" t="n">
        <v>15.2</v>
      </c>
      <c r="Q941" t="n">
        <v>20.3</v>
      </c>
      <c r="R941" t="n">
        <v>35</v>
      </c>
      <c r="S941" t="n">
        <v>61.6</v>
      </c>
      <c r="T941" t="n">
        <v>26.8</v>
      </c>
      <c r="U941" t="inlineStr">
        <is>
          <t>28,128</t>
        </is>
      </c>
      <c r="V941" t="n">
        <v>33.1</v>
      </c>
      <c r="W941" t="inlineStr">
        <is>
          <t>3%</t>
        </is>
      </c>
      <c r="X941" t="inlineStr">
        <is>
          <t>39 : 61</t>
        </is>
      </c>
      <c r="Y941" t="inlineStr"/>
      <c r="Z941" t="n">
        <v>1201</v>
      </c>
      <c r="AA941" t="n">
        <v>25.5</v>
      </c>
      <c r="AB941" t="inlineStr">
        <is>
          <t>U0940</t>
        </is>
      </c>
      <c r="AC941" t="inlineStr">
        <is>
          <t>TA</t>
        </is>
      </c>
      <c r="AD941" t="n">
        <v>25.5</v>
      </c>
      <c r="AE941" t="n">
        <v>35</v>
      </c>
      <c r="AF941" t="n">
        <v>33.1</v>
      </c>
      <c r="AG941" t="inlineStr">
        <is>
          <t>1:33.1</t>
        </is>
      </c>
      <c r="AH941" t="inlineStr">
        <is>
          <t>3%</t>
        </is>
      </c>
      <c r="AI941" t="inlineStr"/>
      <c r="AJ941" t="n">
        <v>21.12</v>
      </c>
    </row>
    <row r="942">
      <c r="A942" t="inlineStr">
        <is>
          <t>National Research Nuclear University MEPhI (Moscow Engineering Physics Institute)</t>
        </is>
      </c>
      <c r="B942" t="inlineStr">
        <is>
          <t>Russian Federation</t>
        </is>
      </c>
      <c r="C942" t="inlineStr">
        <is>
          <t>497</t>
        </is>
      </c>
      <c r="D942" t="n">
        <v>24.2</v>
      </c>
      <c r="E942" t="n">
        <v>9.199999999999999</v>
      </c>
      <c r="F942" t="n">
        <v>11.8</v>
      </c>
      <c r="G942" t="n">
        <v>98.90000000000001</v>
      </c>
      <c r="H942" t="n">
        <v>8.1</v>
      </c>
      <c r="I942" t="n">
        <v>45.8</v>
      </c>
      <c r="J942" t="n">
        <v>89.5</v>
      </c>
      <c r="K942" t="n">
        <v>32.9</v>
      </c>
      <c r="L942" t="n">
        <v>14.6</v>
      </c>
      <c r="M942" t="n">
        <v>1.1</v>
      </c>
      <c r="N942" t="inlineStr">
        <is>
          <t>401–500</t>
        </is>
      </c>
      <c r="O942" t="inlineStr">
        <is>
          <t>45.4–49.0</t>
        </is>
      </c>
      <c r="P942" t="n">
        <v>53.1</v>
      </c>
      <c r="Q942" t="n">
        <v>41</v>
      </c>
      <c r="R942" t="n">
        <v>42.4</v>
      </c>
      <c r="S942" t="n">
        <v>57.5</v>
      </c>
      <c r="T942" t="n">
        <v>78.8</v>
      </c>
      <c r="U942" t="inlineStr">
        <is>
          <t>4,993</t>
        </is>
      </c>
      <c r="V942" t="n">
        <v>9.199999999999999</v>
      </c>
      <c r="W942" t="inlineStr">
        <is>
          <t>28%</t>
        </is>
      </c>
      <c r="X942" t="inlineStr">
        <is>
          <t>39 : 61</t>
        </is>
      </c>
      <c r="Y942" t="n">
        <v>497</v>
      </c>
      <c r="Z942" t="n">
        <v>401</v>
      </c>
      <c r="AA942" t="n">
        <v>47.2</v>
      </c>
      <c r="AB942" t="inlineStr">
        <is>
          <t>U0941</t>
        </is>
      </c>
      <c r="AC942" t="inlineStr">
        <is>
          <t>RU</t>
        </is>
      </c>
      <c r="AD942" t="n">
        <v>24.2</v>
      </c>
      <c r="AE942" t="n">
        <v>8.1</v>
      </c>
      <c r="AF942" t="n">
        <v>9.199999999999999</v>
      </c>
      <c r="AG942" t="inlineStr">
        <is>
          <t>1:9.2</t>
        </is>
      </c>
      <c r="AH942" t="inlineStr">
        <is>
          <t>28%</t>
        </is>
      </c>
      <c r="AI942" t="n">
        <v>9.199999999999999</v>
      </c>
      <c r="AJ942" t="n">
        <v>36.39</v>
      </c>
    </row>
    <row r="943">
      <c r="A943" t="inlineStr">
        <is>
          <t>National Research Saratov State University</t>
        </is>
      </c>
      <c r="B943" t="inlineStr">
        <is>
          <t>Russian Federation</t>
        </is>
      </c>
      <c r="C943" t="inlineStr">
        <is>
          <t>901-950</t>
        </is>
      </c>
      <c r="D943" t="inlineStr"/>
      <c r="E943" t="n">
        <v>5</v>
      </c>
      <c r="F943" t="n">
        <v>2.7</v>
      </c>
      <c r="G943" t="n">
        <v>96.7</v>
      </c>
      <c r="H943" t="n">
        <v>1.7</v>
      </c>
      <c r="I943" t="n">
        <v>3</v>
      </c>
      <c r="J943" t="n">
        <v>16.6</v>
      </c>
      <c r="K943" t="n">
        <v>19.1</v>
      </c>
      <c r="L943" t="n">
        <v>1.8</v>
      </c>
      <c r="M943" t="n">
        <v>1</v>
      </c>
      <c r="N943" t="inlineStr">
        <is>
          <t>1501+</t>
        </is>
      </c>
      <c r="O943" t="inlineStr">
        <is>
          <t>9.7–22.7</t>
        </is>
      </c>
      <c r="P943" t="n">
        <v>26.8</v>
      </c>
      <c r="Q943" t="n">
        <v>16.1</v>
      </c>
      <c r="R943" t="n">
        <v>17.6</v>
      </c>
      <c r="S943" t="n">
        <v>39.1</v>
      </c>
      <c r="T943" t="n">
        <v>38</v>
      </c>
      <c r="U943" t="inlineStr">
        <is>
          <t>9,664</t>
        </is>
      </c>
      <c r="V943" t="n">
        <v>9.300000000000001</v>
      </c>
      <c r="W943" t="inlineStr">
        <is>
          <t>11%</t>
        </is>
      </c>
      <c r="X943" t="inlineStr">
        <is>
          <t>58 : 42</t>
        </is>
      </c>
      <c r="Y943" t="n">
        <v>901</v>
      </c>
      <c r="Z943" t="n">
        <v>1501</v>
      </c>
      <c r="AA943" t="n">
        <v>16.2</v>
      </c>
      <c r="AB943" t="inlineStr">
        <is>
          <t>U0942</t>
        </is>
      </c>
      <c r="AC943" t="inlineStr">
        <is>
          <t>RU</t>
        </is>
      </c>
      <c r="AD943" t="n">
        <v>16.2</v>
      </c>
      <c r="AE943" t="n">
        <v>1.7</v>
      </c>
      <c r="AF943" t="n">
        <v>9.300000000000001</v>
      </c>
      <c r="AG943" t="inlineStr">
        <is>
          <t>1:9.3</t>
        </is>
      </c>
      <c r="AH943" t="inlineStr">
        <is>
          <t>11%</t>
        </is>
      </c>
      <c r="AI943" t="n">
        <v>5</v>
      </c>
      <c r="AJ943" t="n">
        <v>11.54</v>
      </c>
    </row>
    <row r="944">
      <c r="A944" t="inlineStr">
        <is>
          <t>National Research Tomsk Polytechnic University</t>
        </is>
      </c>
      <c r="B944" t="inlineStr">
        <is>
          <t>Russian Federation</t>
        </is>
      </c>
      <c r="C944" t="inlineStr">
        <is>
          <t>576</t>
        </is>
      </c>
      <c r="D944" t="n">
        <v>21.4</v>
      </c>
      <c r="E944" t="n">
        <v>8.9</v>
      </c>
      <c r="F944" t="n">
        <v>8.4</v>
      </c>
      <c r="G944" t="n">
        <v>95.09999999999999</v>
      </c>
      <c r="H944" t="n">
        <v>3.7</v>
      </c>
      <c r="I944" t="n">
        <v>10.9</v>
      </c>
      <c r="J944" t="n">
        <v>82.8</v>
      </c>
      <c r="K944" t="n">
        <v>62.7</v>
      </c>
      <c r="L944" t="n">
        <v>2</v>
      </c>
      <c r="M944" t="n">
        <v>7.1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n">
        <v>576</v>
      </c>
      <c r="Z944" t="inlineStr"/>
      <c r="AA944" t="inlineStr"/>
      <c r="AB944" t="inlineStr">
        <is>
          <t>U0943</t>
        </is>
      </c>
      <c r="AC944" t="inlineStr">
        <is>
          <t>RU</t>
        </is>
      </c>
      <c r="AD944" t="n">
        <v>21.4</v>
      </c>
      <c r="AE944" t="n">
        <v>3.7</v>
      </c>
      <c r="AF944" t="inlineStr"/>
      <c r="AG944" t="inlineStr"/>
      <c r="AH944" t="inlineStr"/>
      <c r="AI944" t="n">
        <v>8.9</v>
      </c>
      <c r="AJ944" t="n">
        <v>14.51</v>
      </c>
    </row>
    <row r="945">
      <c r="A945" t="inlineStr">
        <is>
          <t>The National Research University "Belgorod State University"</t>
        </is>
      </c>
      <c r="B945" t="inlineStr">
        <is>
          <t>Russian Federation</t>
        </is>
      </c>
      <c r="C945" t="inlineStr">
        <is>
          <t>1201-1400</t>
        </is>
      </c>
      <c r="D945" t="inlineStr"/>
      <c r="E945" t="n">
        <v>3.5</v>
      </c>
      <c r="F945" t="n">
        <v>1.3</v>
      </c>
      <c r="G945" t="n">
        <v>15.6</v>
      </c>
      <c r="H945" t="n">
        <v>1.9</v>
      </c>
      <c r="I945" t="n">
        <v>2.2</v>
      </c>
      <c r="J945" t="n">
        <v>49.8</v>
      </c>
      <c r="K945" t="n">
        <v>21.4</v>
      </c>
      <c r="L945" t="n">
        <v>2</v>
      </c>
      <c r="M945" t="n">
        <v>1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n">
        <v>1201</v>
      </c>
      <c r="Z945" t="inlineStr"/>
      <c r="AA945" t="inlineStr"/>
      <c r="AB945" t="inlineStr">
        <is>
          <t>U0944</t>
        </is>
      </c>
      <c r="AC945" t="inlineStr">
        <is>
          <t>RU</t>
        </is>
      </c>
      <c r="AD945" t="inlineStr"/>
      <c r="AE945" t="n">
        <v>1.9</v>
      </c>
      <c r="AF945" t="inlineStr"/>
      <c r="AG945" t="inlineStr"/>
      <c r="AH945" t="inlineStr"/>
      <c r="AI945" t="n">
        <v>3.5</v>
      </c>
      <c r="AJ945" t="n">
        <v>13.96</v>
      </c>
    </row>
    <row r="946">
      <c r="A946" t="inlineStr">
        <is>
          <t>National Research University Moscow Power Engineering Institute (MPEI)</t>
        </is>
      </c>
      <c r="B946" t="inlineStr">
        <is>
          <t>Russian Federation</t>
        </is>
      </c>
      <c r="C946" t="inlineStr">
        <is>
          <t>1201-1400</t>
        </is>
      </c>
      <c r="D946" t="inlineStr"/>
      <c r="E946" t="n">
        <v>6.9</v>
      </c>
      <c r="F946" t="n">
        <v>4</v>
      </c>
      <c r="G946" t="n">
        <v>12.8</v>
      </c>
      <c r="H946" t="n">
        <v>1.9</v>
      </c>
      <c r="I946" t="n">
        <v>6.8</v>
      </c>
      <c r="J946" t="n">
        <v>41.6</v>
      </c>
      <c r="K946" t="n">
        <v>21</v>
      </c>
      <c r="L946" t="n">
        <v>9.5</v>
      </c>
      <c r="M946" t="n">
        <v>1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n">
        <v>1201</v>
      </c>
      <c r="Z946" t="inlineStr"/>
      <c r="AA946" t="inlineStr"/>
      <c r="AB946" t="inlineStr">
        <is>
          <t>U0945</t>
        </is>
      </c>
      <c r="AC946" t="inlineStr">
        <is>
          <t>RU</t>
        </is>
      </c>
      <c r="AD946" t="inlineStr"/>
      <c r="AE946" t="n">
        <v>1.9</v>
      </c>
      <c r="AF946" t="inlineStr"/>
      <c r="AG946" t="inlineStr"/>
      <c r="AH946" t="inlineStr"/>
      <c r="AI946" t="n">
        <v>6.9</v>
      </c>
      <c r="AJ946" t="n">
        <v>13.96</v>
      </c>
    </row>
    <row r="947">
      <c r="A947" t="inlineStr">
        <is>
          <t>National Research University of Electronic Technology (MIET)</t>
        </is>
      </c>
      <c r="B947" t="inlineStr">
        <is>
          <t>Russian Federation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>
        <is>
          <t>1201–1500</t>
        </is>
      </c>
      <c r="O947" t="inlineStr">
        <is>
          <t>22.8–28.2</t>
        </is>
      </c>
      <c r="P947" t="n">
        <v>43.8</v>
      </c>
      <c r="Q947" t="n">
        <v>14.9</v>
      </c>
      <c r="R947" t="n">
        <v>10.7</v>
      </c>
      <c r="S947" t="n">
        <v>50.2</v>
      </c>
      <c r="T947" t="n">
        <v>25.5</v>
      </c>
      <c r="U947" t="inlineStr">
        <is>
          <t>5,032</t>
        </is>
      </c>
      <c r="V947" t="n">
        <v>9.5</v>
      </c>
      <c r="W947" t="inlineStr">
        <is>
          <t>7%</t>
        </is>
      </c>
      <c r="X947" t="inlineStr">
        <is>
          <t>25 : 75</t>
        </is>
      </c>
      <c r="Y947" t="inlineStr"/>
      <c r="Z947" t="n">
        <v>1201</v>
      </c>
      <c r="AA947" t="n">
        <v>25.5</v>
      </c>
      <c r="AB947" t="inlineStr">
        <is>
          <t>U0946</t>
        </is>
      </c>
      <c r="AC947" t="inlineStr">
        <is>
          <t>RU</t>
        </is>
      </c>
      <c r="AD947" t="n">
        <v>25.5</v>
      </c>
      <c r="AE947" t="n">
        <v>10.7</v>
      </c>
      <c r="AF947" t="n">
        <v>9.5</v>
      </c>
      <c r="AG947" t="inlineStr">
        <is>
          <t>1:9.5</t>
        </is>
      </c>
      <c r="AH947" t="inlineStr">
        <is>
          <t>7%</t>
        </is>
      </c>
      <c r="AI947" t="inlineStr"/>
      <c r="AJ947" t="n">
        <v>10.61</v>
      </c>
    </row>
    <row r="948">
      <c r="A948" t="inlineStr">
        <is>
          <t>National Sun Yat-sen University</t>
        </is>
      </c>
      <c r="B948" t="inlineStr">
        <is>
          <t>Taiwan</t>
        </is>
      </c>
      <c r="C948" t="inlineStr">
        <is>
          <t>485</t>
        </is>
      </c>
      <c r="D948" t="n">
        <v>24.8</v>
      </c>
      <c r="E948" t="n">
        <v>26.5</v>
      </c>
      <c r="F948" t="n">
        <v>24.9</v>
      </c>
      <c r="G948" t="n">
        <v>32</v>
      </c>
      <c r="H948" t="n">
        <v>22.1</v>
      </c>
      <c r="I948" t="n">
        <v>22.7</v>
      </c>
      <c r="J948" t="n">
        <v>10.8</v>
      </c>
      <c r="K948" t="n">
        <v>35.6</v>
      </c>
      <c r="L948" t="n">
        <v>11.4</v>
      </c>
      <c r="M948" t="n">
        <v>48.9</v>
      </c>
      <c r="N948" t="inlineStr">
        <is>
          <t>601–800</t>
        </is>
      </c>
      <c r="O948" t="inlineStr">
        <is>
          <t>37.0–41.8</t>
        </is>
      </c>
      <c r="P948" t="n">
        <v>28.2</v>
      </c>
      <c r="Q948" t="n">
        <v>33.7</v>
      </c>
      <c r="R948" t="n">
        <v>43.8</v>
      </c>
      <c r="S948" t="n">
        <v>79.09999999999999</v>
      </c>
      <c r="T948" t="n">
        <v>47.2</v>
      </c>
      <c r="U948" t="inlineStr">
        <is>
          <t>8,497</t>
        </is>
      </c>
      <c r="V948" t="n">
        <v>12.6</v>
      </c>
      <c r="W948" t="inlineStr">
        <is>
          <t>9%</t>
        </is>
      </c>
      <c r="X948" t="inlineStr">
        <is>
          <t>42 : 58</t>
        </is>
      </c>
      <c r="Y948" t="n">
        <v>485</v>
      </c>
      <c r="Z948" t="n">
        <v>601</v>
      </c>
      <c r="AA948" t="n">
        <v>39.4</v>
      </c>
      <c r="AB948" t="inlineStr">
        <is>
          <t>U0947</t>
        </is>
      </c>
      <c r="AC948" t="inlineStr">
        <is>
          <t>TA</t>
        </is>
      </c>
      <c r="AD948" t="n">
        <v>24.8</v>
      </c>
      <c r="AE948" t="n">
        <v>22.1</v>
      </c>
      <c r="AF948" t="n">
        <v>12.6</v>
      </c>
      <c r="AG948" t="inlineStr">
        <is>
          <t>1:12.6</t>
        </is>
      </c>
      <c r="AH948" t="inlineStr">
        <is>
          <t>9%</t>
        </is>
      </c>
      <c r="AI948" t="n">
        <v>26.5</v>
      </c>
      <c r="AJ948" t="n">
        <v>29.17</v>
      </c>
    </row>
    <row r="949">
      <c r="A949" t="inlineStr">
        <is>
          <t>National Taichung University of Science and Technology</t>
        </is>
      </c>
      <c r="B949" t="inlineStr">
        <is>
          <t>Taiwan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1501+</t>
        </is>
      </c>
      <c r="O949" t="inlineStr">
        <is>
          <t>9.7–22.7</t>
        </is>
      </c>
      <c r="P949" t="n">
        <v>18.2</v>
      </c>
      <c r="Q949" t="n">
        <v>11.5</v>
      </c>
      <c r="R949" t="n">
        <v>27.5</v>
      </c>
      <c r="S949" t="n">
        <v>24.1</v>
      </c>
      <c r="T949" t="n">
        <v>20.6</v>
      </c>
      <c r="U949" t="inlineStr">
        <is>
          <t>16,191</t>
        </is>
      </c>
      <c r="V949" t="n">
        <v>12.3</v>
      </c>
      <c r="W949" t="inlineStr">
        <is>
          <t>1%</t>
        </is>
      </c>
      <c r="X949" t="inlineStr">
        <is>
          <t>69 : 31</t>
        </is>
      </c>
      <c r="Y949" t="inlineStr"/>
      <c r="Z949" t="n">
        <v>1501</v>
      </c>
      <c r="AA949" t="n">
        <v>16.2</v>
      </c>
      <c r="AB949" t="inlineStr">
        <is>
          <t>U0948</t>
        </is>
      </c>
      <c r="AC949" t="inlineStr">
        <is>
          <t>TA</t>
        </is>
      </c>
      <c r="AD949" t="n">
        <v>16.2</v>
      </c>
      <c r="AE949" t="n">
        <v>27.5</v>
      </c>
      <c r="AF949" t="n">
        <v>12.3</v>
      </c>
      <c r="AG949" t="inlineStr">
        <is>
          <t>1:12.3</t>
        </is>
      </c>
      <c r="AH949" t="inlineStr">
        <is>
          <t>1%</t>
        </is>
      </c>
      <c r="AI949" t="inlineStr"/>
      <c r="AJ949" t="n">
        <v>12.73</v>
      </c>
    </row>
    <row r="950">
      <c r="A950" t="inlineStr">
        <is>
          <t>National Taipei University</t>
        </is>
      </c>
      <c r="B950" t="inlineStr">
        <is>
          <t>Taiwan</t>
        </is>
      </c>
      <c r="C950" t="inlineStr">
        <is>
          <t>1201-1400</t>
        </is>
      </c>
      <c r="D950" t="inlineStr"/>
      <c r="E950" t="n">
        <v>7.6</v>
      </c>
      <c r="F950" t="n">
        <v>4.5</v>
      </c>
      <c r="G950" t="n">
        <v>7.8</v>
      </c>
      <c r="H950" t="n">
        <v>2.8</v>
      </c>
      <c r="I950" t="n">
        <v>2.6</v>
      </c>
      <c r="J950" t="n">
        <v>4.5</v>
      </c>
      <c r="K950" t="n">
        <v>5</v>
      </c>
      <c r="L950" t="n">
        <v>18.9</v>
      </c>
      <c r="M950" t="n">
        <v>1.1</v>
      </c>
      <c r="N950" t="inlineStr">
        <is>
          <t>1501+</t>
        </is>
      </c>
      <c r="O950" t="inlineStr">
        <is>
          <t>9.7–22.7</t>
        </is>
      </c>
      <c r="P950" t="n">
        <v>20.6</v>
      </c>
      <c r="Q950" t="n">
        <v>15.1</v>
      </c>
      <c r="R950" t="n">
        <v>22.4</v>
      </c>
      <c r="S950" t="n">
        <v>23.3</v>
      </c>
      <c r="T950" t="n">
        <v>30.5</v>
      </c>
      <c r="U950" t="inlineStr">
        <is>
          <t>8,386</t>
        </is>
      </c>
      <c r="V950" t="n">
        <v>15.7</v>
      </c>
      <c r="W950" t="inlineStr">
        <is>
          <t>6%</t>
        </is>
      </c>
      <c r="X950" t="inlineStr">
        <is>
          <t>55 : 45</t>
        </is>
      </c>
      <c r="Y950" t="n">
        <v>1201</v>
      </c>
      <c r="Z950" t="n">
        <v>1501</v>
      </c>
      <c r="AA950" t="n">
        <v>16.2</v>
      </c>
      <c r="AB950" t="inlineStr">
        <is>
          <t>U0949</t>
        </is>
      </c>
      <c r="AC950" t="inlineStr">
        <is>
          <t>TA</t>
        </is>
      </c>
      <c r="AD950" t="n">
        <v>16.2</v>
      </c>
      <c r="AE950" t="n">
        <v>2.8</v>
      </c>
      <c r="AF950" t="n">
        <v>15.7</v>
      </c>
      <c r="AG950" t="inlineStr">
        <is>
          <t>1:15.7</t>
        </is>
      </c>
      <c r="AH950" t="inlineStr">
        <is>
          <t>6%</t>
        </is>
      </c>
      <c r="AI950" t="n">
        <v>7.6</v>
      </c>
      <c r="AJ950" t="n">
        <v>9.529999999999999</v>
      </c>
    </row>
    <row r="951">
      <c r="A951" t="inlineStr">
        <is>
          <t>National Taipei University of Technology</t>
        </is>
      </c>
      <c r="B951" t="inlineStr">
        <is>
          <t>Taiwan</t>
        </is>
      </c>
      <c r="C951" t="inlineStr">
        <is>
          <t>425</t>
        </is>
      </c>
      <c r="D951" t="n">
        <v>28</v>
      </c>
      <c r="E951" t="n">
        <v>13.9</v>
      </c>
      <c r="F951" t="n">
        <v>54.7</v>
      </c>
      <c r="G951" t="n">
        <v>24.3</v>
      </c>
      <c r="H951" t="n">
        <v>41.6</v>
      </c>
      <c r="I951" t="n">
        <v>19.8</v>
      </c>
      <c r="J951" t="n">
        <v>20.6</v>
      </c>
      <c r="K951" t="n">
        <v>21.3</v>
      </c>
      <c r="L951" t="n">
        <v>22.5</v>
      </c>
      <c r="M951" t="n">
        <v>31.3</v>
      </c>
      <c r="N951" t="inlineStr">
        <is>
          <t>801–1000</t>
        </is>
      </c>
      <c r="O951" t="inlineStr">
        <is>
          <t>32.7–36.9</t>
        </is>
      </c>
      <c r="P951" t="n">
        <v>27.3</v>
      </c>
      <c r="Q951" t="n">
        <v>25</v>
      </c>
      <c r="R951" t="n">
        <v>35.8</v>
      </c>
      <c r="S951" t="n">
        <v>94.09999999999999</v>
      </c>
      <c r="T951" t="n">
        <v>41.6</v>
      </c>
      <c r="U951" t="inlineStr">
        <is>
          <t>9,868</t>
        </is>
      </c>
      <c r="V951" t="n">
        <v>15.6</v>
      </c>
      <c r="W951" t="inlineStr">
        <is>
          <t>10%</t>
        </is>
      </c>
      <c r="X951" t="inlineStr">
        <is>
          <t>28 : 72</t>
        </is>
      </c>
      <c r="Y951" t="n">
        <v>425</v>
      </c>
      <c r="Z951" t="n">
        <v>801</v>
      </c>
      <c r="AA951" t="n">
        <v>34.8</v>
      </c>
      <c r="AB951" t="inlineStr">
        <is>
          <t>U0950</t>
        </is>
      </c>
      <c r="AC951" t="inlineStr">
        <is>
          <t>TA</t>
        </is>
      </c>
      <c r="AD951" t="n">
        <v>28</v>
      </c>
      <c r="AE951" t="n">
        <v>41.6</v>
      </c>
      <c r="AF951" t="n">
        <v>15.6</v>
      </c>
      <c r="AG951" t="inlineStr">
        <is>
          <t>1:15.6</t>
        </is>
      </c>
      <c r="AH951" t="inlineStr">
        <is>
          <t>10%</t>
        </is>
      </c>
      <c r="AI951" t="n">
        <v>13.9</v>
      </c>
      <c r="AJ951" t="n">
        <v>29.16</v>
      </c>
    </row>
    <row r="952">
      <c r="A952" t="inlineStr">
        <is>
          <t>National Taiwan Normal University</t>
        </is>
      </c>
      <c r="B952" t="inlineStr">
        <is>
          <t>Taiwan</t>
        </is>
      </c>
      <c r="C952" t="inlineStr">
        <is>
          <t>452</t>
        </is>
      </c>
      <c r="D952" t="n">
        <v>26.4</v>
      </c>
      <c r="E952" t="n">
        <v>34.7</v>
      </c>
      <c r="F952" t="n">
        <v>20.5</v>
      </c>
      <c r="G952" t="n">
        <v>62.9</v>
      </c>
      <c r="H952" t="n">
        <v>5.4</v>
      </c>
      <c r="I952" t="n">
        <v>14.5</v>
      </c>
      <c r="J952" t="n">
        <v>25.2</v>
      </c>
      <c r="K952" t="n">
        <v>23.3</v>
      </c>
      <c r="L952" t="n">
        <v>17.3</v>
      </c>
      <c r="M952" t="n">
        <v>49.8</v>
      </c>
      <c r="N952" t="inlineStr">
        <is>
          <t>501–600</t>
        </is>
      </c>
      <c r="O952" t="inlineStr">
        <is>
          <t>41.9–45.3</t>
        </is>
      </c>
      <c r="P952" t="n">
        <v>35</v>
      </c>
      <c r="Q952" t="n">
        <v>32</v>
      </c>
      <c r="R952" t="n">
        <v>51.4</v>
      </c>
      <c r="S952" t="n">
        <v>92.7</v>
      </c>
      <c r="T952" t="n">
        <v>50.4</v>
      </c>
      <c r="U952" t="inlineStr">
        <is>
          <t>10,878</t>
        </is>
      </c>
      <c r="V952" t="n">
        <v>12.3</v>
      </c>
      <c r="W952" t="inlineStr">
        <is>
          <t>12%</t>
        </is>
      </c>
      <c r="X952" t="inlineStr"/>
      <c r="Y952" t="n">
        <v>452</v>
      </c>
      <c r="Z952" t="n">
        <v>501</v>
      </c>
      <c r="AA952" t="n">
        <v>43.59999999999999</v>
      </c>
      <c r="AB952" t="inlineStr">
        <is>
          <t>U0951</t>
        </is>
      </c>
      <c r="AC952" t="inlineStr">
        <is>
          <t>TA</t>
        </is>
      </c>
      <c r="AD952" t="n">
        <v>26.4</v>
      </c>
      <c r="AE952" t="n">
        <v>5.4</v>
      </c>
      <c r="AF952" t="n">
        <v>12.3</v>
      </c>
      <c r="AG952" t="inlineStr">
        <is>
          <t>1:12.3</t>
        </is>
      </c>
      <c r="AH952" t="inlineStr">
        <is>
          <t>12%</t>
        </is>
      </c>
      <c r="AI952" t="n">
        <v>34.7</v>
      </c>
      <c r="AJ952" t="n">
        <v>23.99</v>
      </c>
    </row>
    <row r="953">
      <c r="A953" t="inlineStr">
        <is>
          <t>National Taiwan Ocean University</t>
        </is>
      </c>
      <c r="B953" t="inlineStr">
        <is>
          <t>Taiwan</t>
        </is>
      </c>
      <c r="C953" t="inlineStr">
        <is>
          <t>1201-1400</t>
        </is>
      </c>
      <c r="D953" t="inlineStr"/>
      <c r="E953" t="n">
        <v>6</v>
      </c>
      <c r="F953" t="n">
        <v>3.2</v>
      </c>
      <c r="G953" t="n">
        <v>11.9</v>
      </c>
      <c r="H953" t="n">
        <v>10.8</v>
      </c>
      <c r="I953" t="n">
        <v>7.5</v>
      </c>
      <c r="J953" t="n">
        <v>7.6</v>
      </c>
      <c r="K953" t="n">
        <v>22.6</v>
      </c>
      <c r="L953" t="n">
        <v>3.3</v>
      </c>
      <c r="M953" t="n">
        <v>17.5</v>
      </c>
      <c r="N953" t="inlineStr">
        <is>
          <t>1201–1500</t>
        </is>
      </c>
      <c r="O953" t="inlineStr">
        <is>
          <t>22.8–28.2</t>
        </is>
      </c>
      <c r="P953" t="n">
        <v>19.7</v>
      </c>
      <c r="Q953" t="n">
        <v>25</v>
      </c>
      <c r="R953" t="n">
        <v>30.2</v>
      </c>
      <c r="S953" t="n">
        <v>63</v>
      </c>
      <c r="T953" t="n">
        <v>34.7</v>
      </c>
      <c r="U953" t="inlineStr">
        <is>
          <t>8,244</t>
        </is>
      </c>
      <c r="V953" t="n">
        <v>16.2</v>
      </c>
      <c r="W953" t="inlineStr">
        <is>
          <t>8%</t>
        </is>
      </c>
      <c r="X953" t="inlineStr">
        <is>
          <t>32 : 68</t>
        </is>
      </c>
      <c r="Y953" t="n">
        <v>1201</v>
      </c>
      <c r="Z953" t="n">
        <v>1201</v>
      </c>
      <c r="AA953" t="n">
        <v>25.5</v>
      </c>
      <c r="AB953" t="inlineStr">
        <is>
          <t>U0952</t>
        </is>
      </c>
      <c r="AC953" t="inlineStr">
        <is>
          <t>TA</t>
        </is>
      </c>
      <c r="AD953" t="n">
        <v>25.5</v>
      </c>
      <c r="AE953" t="n">
        <v>10.8</v>
      </c>
      <c r="AF953" t="n">
        <v>16.2</v>
      </c>
      <c r="AG953" t="inlineStr">
        <is>
          <t>1:16.2</t>
        </is>
      </c>
      <c r="AH953" t="inlineStr">
        <is>
          <t>8%</t>
        </is>
      </c>
      <c r="AI953" t="n">
        <v>6</v>
      </c>
      <c r="AJ953" t="n">
        <v>18.16</v>
      </c>
    </row>
    <row r="954">
      <c r="A954" t="inlineStr">
        <is>
          <t>National Taiwan University (NTU)</t>
        </is>
      </c>
      <c r="B954" t="inlineStr">
        <is>
          <t>Taiwan</t>
        </is>
      </c>
      <c r="C954" t="inlineStr">
        <is>
          <t>68</t>
        </is>
      </c>
      <c r="D954" t="n">
        <v>68.7</v>
      </c>
      <c r="E954" t="n">
        <v>93.40000000000001</v>
      </c>
      <c r="F954" t="n">
        <v>92.09999999999999</v>
      </c>
      <c r="G954" t="n">
        <v>25.5</v>
      </c>
      <c r="H954" t="n">
        <v>44.3</v>
      </c>
      <c r="I954" t="n">
        <v>16.7</v>
      </c>
      <c r="J954" t="n">
        <v>27.4</v>
      </c>
      <c r="K954" t="n">
        <v>71.5</v>
      </c>
      <c r="L954" t="n">
        <v>99.90000000000001</v>
      </c>
      <c r="M954" t="n">
        <v>90</v>
      </c>
      <c r="N954">
        <f>152</f>
        <v/>
      </c>
      <c r="O954" t="inlineStr">
        <is>
          <t>61.9</t>
        </is>
      </c>
      <c r="P954" t="n">
        <v>57.3</v>
      </c>
      <c r="Q954" t="n">
        <v>54.8</v>
      </c>
      <c r="R954" t="n">
        <v>70.8</v>
      </c>
      <c r="S954" t="n">
        <v>99.90000000000001</v>
      </c>
      <c r="T954" t="n">
        <v>51.2</v>
      </c>
      <c r="U954" t="inlineStr">
        <is>
          <t>24,744</t>
        </is>
      </c>
      <c r="V954" t="n">
        <v>11.1</v>
      </c>
      <c r="W954" t="inlineStr">
        <is>
          <t>13%</t>
        </is>
      </c>
      <c r="X954" t="inlineStr">
        <is>
          <t>41 : 59</t>
        </is>
      </c>
      <c r="Y954" t="n">
        <v>68</v>
      </c>
      <c r="Z954" t="n">
        <v>152</v>
      </c>
      <c r="AA954" t="n">
        <v>61.9</v>
      </c>
      <c r="AB954" t="inlineStr">
        <is>
          <t>U0953</t>
        </is>
      </c>
      <c r="AC954" t="inlineStr">
        <is>
          <t>TA</t>
        </is>
      </c>
      <c r="AD954" t="n">
        <v>68.7</v>
      </c>
      <c r="AE954" t="n">
        <v>44.3</v>
      </c>
      <c r="AF954" t="n">
        <v>11.1</v>
      </c>
      <c r="AG954" t="inlineStr">
        <is>
          <t>1:11.1</t>
        </is>
      </c>
      <c r="AH954" t="inlineStr">
        <is>
          <t>13%</t>
        </is>
      </c>
      <c r="AI954" t="n">
        <v>93.40000000000001</v>
      </c>
      <c r="AJ954" t="n">
        <v>47.92</v>
      </c>
    </row>
    <row r="955">
      <c r="A955" t="inlineStr">
        <is>
          <t>National Taiwan University of Science and Technology (Taiwan Tech)</t>
        </is>
      </c>
      <c r="B955" t="inlineStr">
        <is>
          <t>Taiwan</t>
        </is>
      </c>
      <c r="C955" t="inlineStr">
        <is>
          <t>392</t>
        </is>
      </c>
      <c r="D955" t="n">
        <v>30</v>
      </c>
      <c r="E955" t="n">
        <v>27.6</v>
      </c>
      <c r="F955" t="n">
        <v>37.9</v>
      </c>
      <c r="G955" t="n">
        <v>43.5</v>
      </c>
      <c r="H955" t="n">
        <v>29.4</v>
      </c>
      <c r="I955" t="n">
        <v>19.7</v>
      </c>
      <c r="J955" t="n">
        <v>25.5</v>
      </c>
      <c r="K955" t="n">
        <v>29.8</v>
      </c>
      <c r="L955" t="n">
        <v>19.9</v>
      </c>
      <c r="M955" t="n">
        <v>38.8</v>
      </c>
      <c r="N955" t="inlineStr">
        <is>
          <t>401–500</t>
        </is>
      </c>
      <c r="O955" t="inlineStr">
        <is>
          <t>45.4–49.0</t>
        </is>
      </c>
      <c r="P955" t="n">
        <v>33.2</v>
      </c>
      <c r="Q955" t="n">
        <v>36.9</v>
      </c>
      <c r="R955" t="n">
        <v>63.8</v>
      </c>
      <c r="S955" t="n">
        <v>93.2</v>
      </c>
      <c r="T955" t="n">
        <v>56.4</v>
      </c>
      <c r="U955" t="inlineStr">
        <is>
          <t>9,221</t>
        </is>
      </c>
      <c r="V955" t="n">
        <v>18.5</v>
      </c>
      <c r="W955" t="inlineStr">
        <is>
          <t>19%</t>
        </is>
      </c>
      <c r="X955" t="inlineStr">
        <is>
          <t>30 : 70</t>
        </is>
      </c>
      <c r="Y955" t="n">
        <v>392</v>
      </c>
      <c r="Z955" t="n">
        <v>401</v>
      </c>
      <c r="AA955" t="n">
        <v>47.2</v>
      </c>
      <c r="AB955" t="inlineStr">
        <is>
          <t>U0954</t>
        </is>
      </c>
      <c r="AC955" t="inlineStr">
        <is>
          <t>TA</t>
        </is>
      </c>
      <c r="AD955" t="n">
        <v>30</v>
      </c>
      <c r="AE955" t="n">
        <v>29.4</v>
      </c>
      <c r="AF955" t="n">
        <v>18.5</v>
      </c>
      <c r="AG955" t="inlineStr">
        <is>
          <t>1:18.5</t>
        </is>
      </c>
      <c r="AH955" t="inlineStr">
        <is>
          <t>19%</t>
        </is>
      </c>
      <c r="AI955" t="n">
        <v>27.6</v>
      </c>
      <c r="AJ955" t="n">
        <v>35.28</v>
      </c>
    </row>
    <row r="956">
      <c r="A956" t="inlineStr">
        <is>
          <t>National Technical University "Kharkiv Polytechnic Institute"</t>
        </is>
      </c>
      <c r="B956" t="inlineStr">
        <is>
          <t>Ukraine</t>
        </is>
      </c>
      <c r="C956" t="inlineStr">
        <is>
          <t>1001-1200</t>
        </is>
      </c>
      <c r="D956" t="inlineStr"/>
      <c r="E956" t="n">
        <v>6.5</v>
      </c>
      <c r="F956" t="n">
        <v>10.6</v>
      </c>
      <c r="G956" t="n">
        <v>54.3</v>
      </c>
      <c r="H956" t="n">
        <v>1.3</v>
      </c>
      <c r="I956" t="n">
        <v>1.7</v>
      </c>
      <c r="J956" t="n">
        <v>20.1</v>
      </c>
      <c r="K956" t="n">
        <v>11.4</v>
      </c>
      <c r="L956" t="n">
        <v>4</v>
      </c>
      <c r="M956" t="n">
        <v>1.6</v>
      </c>
      <c r="N956" t="inlineStr">
        <is>
          <t>1201–1500</t>
        </is>
      </c>
      <c r="O956" t="inlineStr">
        <is>
          <t>22.8–28.2</t>
        </is>
      </c>
      <c r="P956" t="n">
        <v>24.8</v>
      </c>
      <c r="Q956" t="n">
        <v>9</v>
      </c>
      <c r="R956" t="n">
        <v>14.9</v>
      </c>
      <c r="S956" t="n">
        <v>17.5</v>
      </c>
      <c r="T956" t="n">
        <v>33.6</v>
      </c>
      <c r="U956" t="inlineStr">
        <is>
          <t>11,055</t>
        </is>
      </c>
      <c r="V956" t="n">
        <v>7.9</v>
      </c>
      <c r="W956" t="inlineStr">
        <is>
          <t>14%</t>
        </is>
      </c>
      <c r="X956" t="inlineStr">
        <is>
          <t>31 : 69</t>
        </is>
      </c>
      <c r="Y956" t="n">
        <v>1001</v>
      </c>
      <c r="Z956" t="n">
        <v>1201</v>
      </c>
      <c r="AA956" t="n">
        <v>25.5</v>
      </c>
      <c r="AB956" t="inlineStr">
        <is>
          <t>U0955</t>
        </is>
      </c>
      <c r="AC956" t="inlineStr">
        <is>
          <t>UK</t>
        </is>
      </c>
      <c r="AD956" t="n">
        <v>25.5</v>
      </c>
      <c r="AE956" t="n">
        <v>1.3</v>
      </c>
      <c r="AF956" t="n">
        <v>7.9</v>
      </c>
      <c r="AG956" t="inlineStr">
        <is>
          <t>1:7.9</t>
        </is>
      </c>
      <c r="AH956" t="inlineStr">
        <is>
          <t>14%</t>
        </is>
      </c>
      <c r="AI956" t="n">
        <v>6.5</v>
      </c>
      <c r="AJ956" t="n">
        <v>6.63</v>
      </c>
    </row>
    <row r="957">
      <c r="A957" t="inlineStr">
        <is>
          <t>National Technical University of Athens</t>
        </is>
      </c>
      <c r="B957" t="inlineStr">
        <is>
          <t>Greece</t>
        </is>
      </c>
      <c r="C957" t="inlineStr">
        <is>
          <t>321</t>
        </is>
      </c>
      <c r="D957" t="n">
        <v>34.2</v>
      </c>
      <c r="E957" t="n">
        <v>21.3</v>
      </c>
      <c r="F957" t="n">
        <v>44.9</v>
      </c>
      <c r="G957" t="n">
        <v>4.6</v>
      </c>
      <c r="H957" t="n">
        <v>76</v>
      </c>
      <c r="I957" t="n">
        <v>1.3</v>
      </c>
      <c r="J957" t="n">
        <v>4.6</v>
      </c>
      <c r="K957" t="n">
        <v>72.7</v>
      </c>
      <c r="L957" t="n">
        <v>39.6</v>
      </c>
      <c r="M957" t="n">
        <v>5</v>
      </c>
      <c r="N957" t="inlineStr">
        <is>
          <t>601–800</t>
        </is>
      </c>
      <c r="O957" t="inlineStr">
        <is>
          <t>37.0–41.8</t>
        </is>
      </c>
      <c r="P957" t="n">
        <v>26.3</v>
      </c>
      <c r="Q957" t="n">
        <v>23</v>
      </c>
      <c r="R957" t="n">
        <v>59.1</v>
      </c>
      <c r="S957" t="n">
        <v>59.7</v>
      </c>
      <c r="T957" t="n">
        <v>38.1</v>
      </c>
      <c r="U957" t="inlineStr">
        <is>
          <t>13,532</t>
        </is>
      </c>
      <c r="V957" t="n">
        <v>20.3</v>
      </c>
      <c r="W957" t="inlineStr">
        <is>
          <t>6%</t>
        </is>
      </c>
      <c r="X957" t="inlineStr">
        <is>
          <t>37 : 63</t>
        </is>
      </c>
      <c r="Y957" t="n">
        <v>321</v>
      </c>
      <c r="Z957" t="n">
        <v>601</v>
      </c>
      <c r="AA957" t="n">
        <v>39.4</v>
      </c>
      <c r="AB957" t="inlineStr">
        <is>
          <t>U0956</t>
        </is>
      </c>
      <c r="AC957" t="inlineStr">
        <is>
          <t>GR</t>
        </is>
      </c>
      <c r="AD957" t="n">
        <v>34.2</v>
      </c>
      <c r="AE957" t="n">
        <v>76</v>
      </c>
      <c r="AF957" t="n">
        <v>20.3</v>
      </c>
      <c r="AG957" t="inlineStr">
        <is>
          <t>1:20.3</t>
        </is>
      </c>
      <c r="AH957" t="inlineStr">
        <is>
          <t>6%</t>
        </is>
      </c>
      <c r="AI957" t="n">
        <v>21.3</v>
      </c>
      <c r="AJ957" t="n">
        <v>37.69</v>
      </c>
    </row>
    <row r="958">
      <c r="A958" t="inlineStr">
        <is>
          <t>National Technical University of Ukraine "Igor Sikorsky Kyiv Polytechnic Institute"</t>
        </is>
      </c>
      <c r="B958" t="inlineStr">
        <is>
          <t>Ukraine</t>
        </is>
      </c>
      <c r="C958" t="inlineStr">
        <is>
          <t>801-850</t>
        </is>
      </c>
      <c r="D958" t="inlineStr"/>
      <c r="E958" t="n">
        <v>16.2</v>
      </c>
      <c r="F958" t="n">
        <v>31.8</v>
      </c>
      <c r="G958" t="n">
        <v>37.4</v>
      </c>
      <c r="H958" t="n">
        <v>1.5</v>
      </c>
      <c r="I958" t="n">
        <v>1</v>
      </c>
      <c r="J958" t="n">
        <v>2</v>
      </c>
      <c r="K958" t="n">
        <v>20.4</v>
      </c>
      <c r="L958" t="n">
        <v>21.3</v>
      </c>
      <c r="M958" t="n">
        <v>4.3</v>
      </c>
      <c r="N958" t="inlineStr">
        <is>
          <t>1201–1500</t>
        </is>
      </c>
      <c r="O958" t="inlineStr">
        <is>
          <t>22.8–28.2</t>
        </is>
      </c>
      <c r="P958" t="n">
        <v>26.5</v>
      </c>
      <c r="Q958" t="n">
        <v>9.9</v>
      </c>
      <c r="R958" t="n">
        <v>16</v>
      </c>
      <c r="S958" t="n">
        <v>22.2</v>
      </c>
      <c r="T958" t="n">
        <v>22.4</v>
      </c>
      <c r="U958" t="inlineStr">
        <is>
          <t>21,170</t>
        </is>
      </c>
      <c r="V958" t="n">
        <v>8</v>
      </c>
      <c r="W958" t="inlineStr">
        <is>
          <t>3%</t>
        </is>
      </c>
      <c r="X958" t="inlineStr">
        <is>
          <t>30 : 70</t>
        </is>
      </c>
      <c r="Y958" t="n">
        <v>801</v>
      </c>
      <c r="Z958" t="n">
        <v>1201</v>
      </c>
      <c r="AA958" t="n">
        <v>25.5</v>
      </c>
      <c r="AB958" t="inlineStr">
        <is>
          <t>U0957</t>
        </is>
      </c>
      <c r="AC958" t="inlineStr">
        <is>
          <t>UK</t>
        </is>
      </c>
      <c r="AD958" t="n">
        <v>25.5</v>
      </c>
      <c r="AE958" t="n">
        <v>1.5</v>
      </c>
      <c r="AF958" t="n">
        <v>8</v>
      </c>
      <c r="AG958" t="inlineStr">
        <is>
          <t>1:8.0</t>
        </is>
      </c>
      <c r="AH958" t="inlineStr">
        <is>
          <t>3%</t>
        </is>
      </c>
      <c r="AI958" t="n">
        <v>16.2</v>
      </c>
      <c r="AJ958" t="n">
        <v>4.45</v>
      </c>
    </row>
    <row r="959">
      <c r="A959" t="inlineStr">
        <is>
          <t>National Tsing Hua University</t>
        </is>
      </c>
      <c r="B959" t="inlineStr">
        <is>
          <t>Taiwan</t>
        </is>
      </c>
      <c r="C959" t="inlineStr">
        <is>
          <t>210</t>
        </is>
      </c>
      <c r="D959" t="n">
        <v>45.1</v>
      </c>
      <c r="E959" t="n">
        <v>54.8</v>
      </c>
      <c r="F959" t="n">
        <v>71.2</v>
      </c>
      <c r="G959" t="n">
        <v>28</v>
      </c>
      <c r="H959" t="n">
        <v>49.6</v>
      </c>
      <c r="I959" t="n">
        <v>9.5</v>
      </c>
      <c r="J959" t="n">
        <v>11.1</v>
      </c>
      <c r="K959" t="n">
        <v>45</v>
      </c>
      <c r="L959" t="n">
        <v>16.3</v>
      </c>
      <c r="M959" t="n">
        <v>32.1</v>
      </c>
      <c r="N959" t="inlineStr">
        <is>
          <t>401–500</t>
        </is>
      </c>
      <c r="O959" t="inlineStr">
        <is>
          <t>45.4–49.0</t>
        </is>
      </c>
      <c r="P959" t="n">
        <v>38.9</v>
      </c>
      <c r="Q959" t="n">
        <v>42.3</v>
      </c>
      <c r="R959" t="n">
        <v>58.4</v>
      </c>
      <c r="S959" t="n">
        <v>99.5</v>
      </c>
      <c r="T959" t="n">
        <v>46.2</v>
      </c>
      <c r="U959" t="inlineStr">
        <is>
          <t>13,979</t>
        </is>
      </c>
      <c r="V959" t="n">
        <v>16.2</v>
      </c>
      <c r="W959" t="inlineStr">
        <is>
          <t>12%</t>
        </is>
      </c>
      <c r="X959" t="inlineStr">
        <is>
          <t>42 : 58</t>
        </is>
      </c>
      <c r="Y959" t="n">
        <v>210</v>
      </c>
      <c r="Z959" t="n">
        <v>401</v>
      </c>
      <c r="AA959" t="n">
        <v>47.2</v>
      </c>
      <c r="AB959" t="inlineStr">
        <is>
          <t>U0958</t>
        </is>
      </c>
      <c r="AC959" t="inlineStr">
        <is>
          <t>TA</t>
        </is>
      </c>
      <c r="AD959" t="n">
        <v>45.1</v>
      </c>
      <c r="AE959" t="n">
        <v>49.6</v>
      </c>
      <c r="AF959" t="n">
        <v>16.2</v>
      </c>
      <c r="AG959" t="inlineStr">
        <is>
          <t>1:16.2</t>
        </is>
      </c>
      <c r="AH959" t="inlineStr">
        <is>
          <t>12%</t>
        </is>
      </c>
      <c r="AI959" t="n">
        <v>54.8</v>
      </c>
      <c r="AJ959" t="n">
        <v>41.77</v>
      </c>
    </row>
    <row r="960">
      <c r="A960" t="inlineStr">
        <is>
          <t>National United University</t>
        </is>
      </c>
      <c r="B960" t="inlineStr">
        <is>
          <t>Taiwan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>
        <is>
          <t>1501+</t>
        </is>
      </c>
      <c r="O960" t="inlineStr">
        <is>
          <t>9.7–22.7</t>
        </is>
      </c>
      <c r="P960" t="n">
        <v>13.5</v>
      </c>
      <c r="Q960" t="n">
        <v>11.7</v>
      </c>
      <c r="R960" t="n">
        <v>15.7</v>
      </c>
      <c r="S960" t="n">
        <v>41.8</v>
      </c>
      <c r="T960" t="n">
        <v>20.5</v>
      </c>
      <c r="U960" t="inlineStr">
        <is>
          <t>7,415</t>
        </is>
      </c>
      <c r="V960" t="n">
        <v>20.6</v>
      </c>
      <c r="W960" t="inlineStr">
        <is>
          <t>1%</t>
        </is>
      </c>
      <c r="X960" t="inlineStr">
        <is>
          <t>32 : 68</t>
        </is>
      </c>
      <c r="Y960" t="inlineStr"/>
      <c r="Z960" t="n">
        <v>1501</v>
      </c>
      <c r="AA960" t="n">
        <v>16.2</v>
      </c>
      <c r="AB960" t="inlineStr">
        <is>
          <t>U0959</t>
        </is>
      </c>
      <c r="AC960" t="inlineStr">
        <is>
          <t>TA</t>
        </is>
      </c>
      <c r="AD960" t="n">
        <v>16.2</v>
      </c>
      <c r="AE960" t="n">
        <v>15.7</v>
      </c>
      <c r="AF960" t="n">
        <v>20.6</v>
      </c>
      <c r="AG960" t="inlineStr">
        <is>
          <t>1:20.6</t>
        </is>
      </c>
      <c r="AH960" t="inlineStr">
        <is>
          <t>1%</t>
        </is>
      </c>
      <c r="AI960" t="inlineStr"/>
      <c r="AJ960" t="n">
        <v>9.24</v>
      </c>
    </row>
    <row r="961">
      <c r="A961" t="inlineStr">
        <is>
          <t>National University of Córdoba</t>
        </is>
      </c>
      <c r="B961" t="inlineStr">
        <is>
          <t>Argentina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>1501+</t>
        </is>
      </c>
      <c r="O961" t="inlineStr">
        <is>
          <t>9.7–22.7</t>
        </is>
      </c>
      <c r="P961" t="n">
        <v>18</v>
      </c>
      <c r="Q961" t="n">
        <v>10.3</v>
      </c>
      <c r="R961" t="n">
        <v>20</v>
      </c>
      <c r="S961" t="n">
        <v>19.4</v>
      </c>
      <c r="T961" t="n">
        <v>37.1</v>
      </c>
      <c r="U961" t="inlineStr">
        <is>
          <t>174,780</t>
        </is>
      </c>
      <c r="V961" t="n">
        <v>16.9</v>
      </c>
      <c r="W961" t="inlineStr">
        <is>
          <t>1%</t>
        </is>
      </c>
      <c r="X961" t="inlineStr">
        <is>
          <t>65 : 35</t>
        </is>
      </c>
      <c r="Y961" t="inlineStr"/>
      <c r="Z961" t="n">
        <v>1501</v>
      </c>
      <c r="AA961" t="n">
        <v>16.2</v>
      </c>
      <c r="AB961" t="inlineStr">
        <is>
          <t>U0960</t>
        </is>
      </c>
      <c r="AC961" t="inlineStr">
        <is>
          <t>AR</t>
        </is>
      </c>
      <c r="AD961" t="n">
        <v>16.2</v>
      </c>
      <c r="AE961" t="n">
        <v>20</v>
      </c>
      <c r="AF961" t="n">
        <v>16.9</v>
      </c>
      <c r="AG961" t="inlineStr">
        <is>
          <t>1:16.9</t>
        </is>
      </c>
      <c r="AH961" t="inlineStr">
        <is>
          <t>1%</t>
        </is>
      </c>
      <c r="AI961" t="inlineStr"/>
      <c r="AJ961" t="n">
        <v>13.82</v>
      </c>
    </row>
    <row r="962">
      <c r="A962" t="inlineStr">
        <is>
          <t>National University of Colombia</t>
        </is>
      </c>
      <c r="B962" t="inlineStr">
        <is>
          <t>Colombia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>
        <is>
          <t>1201–1500</t>
        </is>
      </c>
      <c r="O962" t="inlineStr">
        <is>
          <t>22.8–28.2</t>
        </is>
      </c>
      <c r="P962" t="n">
        <v>19.7</v>
      </c>
      <c r="Q962" t="n">
        <v>13.6</v>
      </c>
      <c r="R962" t="n">
        <v>37.1</v>
      </c>
      <c r="S962" t="n">
        <v>36.9</v>
      </c>
      <c r="T962" t="n">
        <v>41.1</v>
      </c>
      <c r="U962" t="inlineStr">
        <is>
          <t>56,586</t>
        </is>
      </c>
      <c r="V962" t="n">
        <v>22</v>
      </c>
      <c r="W962" t="inlineStr">
        <is>
          <t>1%</t>
        </is>
      </c>
      <c r="X962" t="inlineStr">
        <is>
          <t>40 : 60</t>
        </is>
      </c>
      <c r="Y962" t="inlineStr"/>
      <c r="Z962" t="n">
        <v>1201</v>
      </c>
      <c r="AA962" t="n">
        <v>25.5</v>
      </c>
      <c r="AB962" t="inlineStr">
        <is>
          <t>U0961</t>
        </is>
      </c>
      <c r="AC962" t="inlineStr">
        <is>
          <t>CO</t>
        </is>
      </c>
      <c r="AD962" t="n">
        <v>25.5</v>
      </c>
      <c r="AE962" t="n">
        <v>37.1</v>
      </c>
      <c r="AF962" t="n">
        <v>22</v>
      </c>
      <c r="AG962" t="inlineStr">
        <is>
          <t>1:22.0</t>
        </is>
      </c>
      <c r="AH962" t="inlineStr">
        <is>
          <t>1%</t>
        </is>
      </c>
      <c r="AI962" t="inlineStr"/>
      <c r="AJ962" t="n">
        <v>21.7</v>
      </c>
    </row>
    <row r="963">
      <c r="A963" t="inlineStr">
        <is>
          <t>National University of Costa Rica</t>
        </is>
      </c>
      <c r="B963" t="inlineStr">
        <is>
          <t>Costa Rica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>
        <is>
          <t>1501+</t>
        </is>
      </c>
      <c r="O963" t="inlineStr">
        <is>
          <t>9.7–22.7</t>
        </is>
      </c>
      <c r="P963" t="n">
        <v>21</v>
      </c>
      <c r="Q963" t="n">
        <v>10</v>
      </c>
      <c r="R963" t="n">
        <v>11.8</v>
      </c>
      <c r="S963" t="n">
        <v>21.9</v>
      </c>
      <c r="T963" t="n">
        <v>45</v>
      </c>
      <c r="U963" t="inlineStr">
        <is>
          <t>20,913</t>
        </is>
      </c>
      <c r="V963" t="n">
        <v>11</v>
      </c>
      <c r="W963" t="inlineStr">
        <is>
          <t>3%</t>
        </is>
      </c>
      <c r="X963" t="inlineStr">
        <is>
          <t>56 : 44</t>
        </is>
      </c>
      <c r="Y963" t="inlineStr"/>
      <c r="Z963" t="n">
        <v>1501</v>
      </c>
      <c r="AA963" t="n">
        <v>16.2</v>
      </c>
      <c r="AB963" t="inlineStr">
        <is>
          <t>U0962</t>
        </is>
      </c>
      <c r="AC963" t="inlineStr">
        <is>
          <t>CO</t>
        </is>
      </c>
      <c r="AD963" t="n">
        <v>16.2</v>
      </c>
      <c r="AE963" t="n">
        <v>11.8</v>
      </c>
      <c r="AF963" t="n">
        <v>11</v>
      </c>
      <c r="AG963" t="inlineStr">
        <is>
          <t>1:11.0</t>
        </is>
      </c>
      <c r="AH963" t="inlineStr">
        <is>
          <t>3%</t>
        </is>
      </c>
      <c r="AI963" t="inlineStr"/>
      <c r="AJ963" t="n">
        <v>13.09</v>
      </c>
    </row>
    <row r="964">
      <c r="A964" t="inlineStr">
        <is>
          <t>National University of Distance Education (UNED)</t>
        </is>
      </c>
      <c r="B964" t="inlineStr">
        <is>
          <t>Spain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>
        <is>
          <t>1201–1500</t>
        </is>
      </c>
      <c r="O964" t="inlineStr">
        <is>
          <t>22.8–28.2</t>
        </is>
      </c>
      <c r="P964" t="n">
        <v>24.9</v>
      </c>
      <c r="Q964" t="n">
        <v>18.9</v>
      </c>
      <c r="R964" t="n">
        <v>37.8</v>
      </c>
      <c r="S964" t="n">
        <v>35.8</v>
      </c>
      <c r="T964" t="n">
        <v>31</v>
      </c>
      <c r="U964" t="inlineStr">
        <is>
          <t>80,478</t>
        </is>
      </c>
      <c r="V964" t="n">
        <v>67.5</v>
      </c>
      <c r="W964" t="inlineStr">
        <is>
          <t>4%</t>
        </is>
      </c>
      <c r="X964" t="inlineStr">
        <is>
          <t>55 : 45</t>
        </is>
      </c>
      <c r="Y964" t="inlineStr"/>
      <c r="Z964" t="n">
        <v>1201</v>
      </c>
      <c r="AA964" t="n">
        <v>25.5</v>
      </c>
      <c r="AB964" t="inlineStr">
        <is>
          <t>U0963</t>
        </is>
      </c>
      <c r="AC964" t="inlineStr">
        <is>
          <t>SP</t>
        </is>
      </c>
      <c r="AD964" t="n">
        <v>25.5</v>
      </c>
      <c r="AE964" t="n">
        <v>37.8</v>
      </c>
      <c r="AF964" t="n">
        <v>67.5</v>
      </c>
      <c r="AG964" t="inlineStr">
        <is>
          <t>1:67.5</t>
        </is>
      </c>
      <c r="AH964" t="inlineStr">
        <is>
          <t>4%</t>
        </is>
      </c>
      <c r="AI964" t="inlineStr"/>
      <c r="AJ964" t="n">
        <v>22.25</v>
      </c>
    </row>
    <row r="965">
      <c r="A965" t="inlineStr">
        <is>
          <t>National University of Kaohsiung</t>
        </is>
      </c>
      <c r="B965" t="inlineStr">
        <is>
          <t>Taiwan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>
        <is>
          <t>1501+</t>
        </is>
      </c>
      <c r="O965" t="inlineStr">
        <is>
          <t>9.7–22.7</t>
        </is>
      </c>
      <c r="P965" t="n">
        <v>13.3</v>
      </c>
      <c r="Q965" t="n">
        <v>16</v>
      </c>
      <c r="R965" t="n">
        <v>12.1</v>
      </c>
      <c r="S965" t="n">
        <v>28.9</v>
      </c>
      <c r="T965" t="n">
        <v>30.4</v>
      </c>
      <c r="U965" t="inlineStr">
        <is>
          <t>5,916</t>
        </is>
      </c>
      <c r="V965" t="n">
        <v>25</v>
      </c>
      <c r="W965" t="inlineStr">
        <is>
          <t>4%</t>
        </is>
      </c>
      <c r="X965" t="inlineStr">
        <is>
          <t>41 : 59</t>
        </is>
      </c>
      <c r="Y965" t="inlineStr"/>
      <c r="Z965" t="n">
        <v>1501</v>
      </c>
      <c r="AA965" t="n">
        <v>16.2</v>
      </c>
      <c r="AB965" t="inlineStr">
        <is>
          <t>U0964</t>
        </is>
      </c>
      <c r="AC965" t="inlineStr">
        <is>
          <t>TA</t>
        </is>
      </c>
      <c r="AD965" t="n">
        <v>16.2</v>
      </c>
      <c r="AE965" t="n">
        <v>12.1</v>
      </c>
      <c r="AF965" t="n">
        <v>25</v>
      </c>
      <c r="AG965" t="inlineStr">
        <is>
          <t>1:25.0</t>
        </is>
      </c>
      <c r="AH965" t="inlineStr">
        <is>
          <t>4%</t>
        </is>
      </c>
      <c r="AI965" t="inlineStr"/>
      <c r="AJ965" t="n">
        <v>12.8</v>
      </c>
    </row>
    <row r="966">
      <c r="A966" t="inlineStr">
        <is>
          <t>National University of Kyiv-Mohyla Academy (NaUKMA)</t>
        </is>
      </c>
      <c r="B966" t="inlineStr">
        <is>
          <t>Ukraine</t>
        </is>
      </c>
      <c r="C966" t="inlineStr">
        <is>
          <t>1001-1200</t>
        </is>
      </c>
      <c r="D966" t="inlineStr"/>
      <c r="E966" t="n">
        <v>5.1</v>
      </c>
      <c r="F966" t="n">
        <v>10.6</v>
      </c>
      <c r="G966" t="n">
        <v>44.2</v>
      </c>
      <c r="H966" t="n">
        <v>1.2</v>
      </c>
      <c r="I966" t="n">
        <v>2.1</v>
      </c>
      <c r="J966" t="n">
        <v>1.1</v>
      </c>
      <c r="K966" t="n">
        <v>6.3</v>
      </c>
      <c r="L966" t="n">
        <v>13.5</v>
      </c>
      <c r="M966" t="n">
        <v>1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n">
        <v>1001</v>
      </c>
      <c r="Z966" t="inlineStr"/>
      <c r="AA966" t="inlineStr"/>
      <c r="AB966" t="inlineStr">
        <is>
          <t>U0965</t>
        </is>
      </c>
      <c r="AC966" t="inlineStr">
        <is>
          <t>UK</t>
        </is>
      </c>
      <c r="AD966" t="inlineStr"/>
      <c r="AE966" t="n">
        <v>1.2</v>
      </c>
      <c r="AF966" t="inlineStr"/>
      <c r="AG966" t="inlineStr"/>
      <c r="AH966" t="inlineStr"/>
      <c r="AI966" t="n">
        <v>5.1</v>
      </c>
      <c r="AJ966" t="n">
        <v>13.75</v>
      </c>
    </row>
    <row r="967">
      <c r="A967" t="inlineStr">
        <is>
          <t>National University of Life and Environmental Sciences of Ukraine</t>
        </is>
      </c>
      <c r="B967" t="inlineStr">
        <is>
          <t>Ukraine</t>
        </is>
      </c>
      <c r="C967" t="inlineStr">
        <is>
          <t>1401+</t>
        </is>
      </c>
      <c r="D967" t="inlineStr"/>
      <c r="E967" t="n">
        <v>5.8</v>
      </c>
      <c r="F967" t="n">
        <v>3.9</v>
      </c>
      <c r="G967" t="n">
        <v>15.8</v>
      </c>
      <c r="H967" t="n">
        <v>1.4</v>
      </c>
      <c r="I967" t="n">
        <v>1.2</v>
      </c>
      <c r="J967" t="n">
        <v>1.2</v>
      </c>
      <c r="K967" t="n">
        <v>20</v>
      </c>
      <c r="L967" t="n">
        <v>3.7</v>
      </c>
      <c r="M967" t="n">
        <v>1</v>
      </c>
      <c r="N967" t="inlineStr">
        <is>
          <t>1501+</t>
        </is>
      </c>
      <c r="O967" t="inlineStr">
        <is>
          <t>9.7–22.7</t>
        </is>
      </c>
      <c r="P967" t="n">
        <v>20.3</v>
      </c>
      <c r="Q967" t="n">
        <v>8.9</v>
      </c>
      <c r="R967" t="n">
        <v>30.1</v>
      </c>
      <c r="S967" t="n">
        <v>25.3</v>
      </c>
      <c r="T967" t="n">
        <v>25.7</v>
      </c>
      <c r="U967" t="inlineStr">
        <is>
          <t>17,628</t>
        </is>
      </c>
      <c r="V967" t="n">
        <v>15.2</v>
      </c>
      <c r="W967" t="inlineStr">
        <is>
          <t>1%</t>
        </is>
      </c>
      <c r="X967" t="inlineStr">
        <is>
          <t>45 : 55</t>
        </is>
      </c>
      <c r="Y967" t="n">
        <v>1401</v>
      </c>
      <c r="Z967" t="n">
        <v>1501</v>
      </c>
      <c r="AA967" t="n">
        <v>16.2</v>
      </c>
      <c r="AB967" t="inlineStr">
        <is>
          <t>U0966</t>
        </is>
      </c>
      <c r="AC967" t="inlineStr">
        <is>
          <t>UK</t>
        </is>
      </c>
      <c r="AD967" t="n">
        <v>16.2</v>
      </c>
      <c r="AE967" t="n">
        <v>1.4</v>
      </c>
      <c r="AF967" t="n">
        <v>15.2</v>
      </c>
      <c r="AG967" t="inlineStr">
        <is>
          <t>1:15.2</t>
        </is>
      </c>
      <c r="AH967" t="inlineStr">
        <is>
          <t>1%</t>
        </is>
      </c>
      <c r="AI967" t="n">
        <v>5.8</v>
      </c>
      <c r="AJ967" t="n">
        <v>4.7</v>
      </c>
    </row>
    <row r="968">
      <c r="A968" t="inlineStr">
        <is>
          <t>National University of Medical Sciences (NUMS)</t>
        </is>
      </c>
      <c r="B968" t="inlineStr">
        <is>
          <t>Pakistan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>
        <is>
          <t>1501+</t>
        </is>
      </c>
      <c r="O968" t="inlineStr">
        <is>
          <t>9.7–22.7</t>
        </is>
      </c>
      <c r="P968" t="n">
        <v>23.1</v>
      </c>
      <c r="Q968" t="n">
        <v>9.5</v>
      </c>
      <c r="R968" t="n">
        <v>9.199999999999999</v>
      </c>
      <c r="S968" t="n">
        <v>16.2</v>
      </c>
      <c r="T968" t="n">
        <v>28.4</v>
      </c>
      <c r="U968" t="inlineStr">
        <is>
          <t>8,693</t>
        </is>
      </c>
      <c r="V968" t="n">
        <v>4.6</v>
      </c>
      <c r="W968" t="inlineStr">
        <is>
          <t>3%</t>
        </is>
      </c>
      <c r="X968" t="inlineStr">
        <is>
          <t>57 : 43</t>
        </is>
      </c>
      <c r="Y968" t="inlineStr"/>
      <c r="Z968" t="n">
        <v>1501</v>
      </c>
      <c r="AA968" t="n">
        <v>16.2</v>
      </c>
      <c r="AB968" t="inlineStr">
        <is>
          <t>U0967</t>
        </is>
      </c>
      <c r="AC968" t="inlineStr">
        <is>
          <t>PA</t>
        </is>
      </c>
      <c r="AD968" t="n">
        <v>16.2</v>
      </c>
      <c r="AE968" t="n">
        <v>9.199999999999999</v>
      </c>
      <c r="AF968" t="n">
        <v>4.6</v>
      </c>
      <c r="AG968" t="inlineStr">
        <is>
          <t>1:4.6</t>
        </is>
      </c>
      <c r="AH968" t="inlineStr">
        <is>
          <t>3%</t>
        </is>
      </c>
      <c r="AI968" t="inlineStr"/>
      <c r="AJ968" t="n">
        <v>8.029999999999999</v>
      </c>
    </row>
    <row r="969">
      <c r="A969" t="inlineStr">
        <is>
          <t>National University of Modern Languages (NUML), Islamabad</t>
        </is>
      </c>
      <c r="B969" t="inlineStr">
        <is>
          <t>Pakistan</t>
        </is>
      </c>
      <c r="C969" t="inlineStr">
        <is>
          <t>1401+</t>
        </is>
      </c>
      <c r="D969" t="inlineStr"/>
      <c r="E969" t="n">
        <v>7</v>
      </c>
      <c r="F969" t="n">
        <v>7.3</v>
      </c>
      <c r="G969" t="n">
        <v>5.2</v>
      </c>
      <c r="H969" t="n">
        <v>1.5</v>
      </c>
      <c r="I969" t="n">
        <v>3.4</v>
      </c>
      <c r="J969" t="n">
        <v>1.2</v>
      </c>
      <c r="K969" t="n">
        <v>8.1</v>
      </c>
      <c r="L969" t="n">
        <v>2.6</v>
      </c>
      <c r="M969" t="n">
        <v>1.2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n">
        <v>1401</v>
      </c>
      <c r="Z969" t="inlineStr"/>
      <c r="AA969" t="inlineStr"/>
      <c r="AB969" t="inlineStr">
        <is>
          <t>U0968</t>
        </is>
      </c>
      <c r="AC969" t="inlineStr">
        <is>
          <t>PA</t>
        </is>
      </c>
      <c r="AD969" t="inlineStr"/>
      <c r="AE969" t="n">
        <v>1.5</v>
      </c>
      <c r="AF969" t="inlineStr"/>
      <c r="AG969" t="inlineStr"/>
      <c r="AH969" t="inlineStr"/>
      <c r="AI969" t="n">
        <v>7</v>
      </c>
      <c r="AJ969" t="n">
        <v>13.84</v>
      </c>
    </row>
    <row r="970">
      <c r="A970" t="inlineStr">
        <is>
          <t>National University of San Martín</t>
        </is>
      </c>
      <c r="B970" t="inlineStr">
        <is>
          <t>Argentina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>
        <is>
          <t>1501+</t>
        </is>
      </c>
      <c r="O970" t="inlineStr">
        <is>
          <t>9.7–22.7</t>
        </is>
      </c>
      <c r="P970" t="n">
        <v>19.2</v>
      </c>
      <c r="Q970" t="n">
        <v>10.7</v>
      </c>
      <c r="R970" t="n">
        <v>26.9</v>
      </c>
      <c r="S970" t="n">
        <v>24.6</v>
      </c>
      <c r="T970" t="n">
        <v>45.4</v>
      </c>
      <c r="U970" t="inlineStr">
        <is>
          <t>16,591</t>
        </is>
      </c>
      <c r="V970" t="n">
        <v>16.3</v>
      </c>
      <c r="W970" t="inlineStr">
        <is>
          <t>5%</t>
        </is>
      </c>
      <c r="X970" t="inlineStr">
        <is>
          <t>60 : 40</t>
        </is>
      </c>
      <c r="Y970" t="inlineStr"/>
      <c r="Z970" t="n">
        <v>1501</v>
      </c>
      <c r="AA970" t="n">
        <v>16.2</v>
      </c>
      <c r="AB970" t="inlineStr">
        <is>
          <t>U0969</t>
        </is>
      </c>
      <c r="AC970" t="inlineStr">
        <is>
          <t>AR</t>
        </is>
      </c>
      <c r="AD970" t="n">
        <v>16.2</v>
      </c>
      <c r="AE970" t="n">
        <v>26.9</v>
      </c>
      <c r="AF970" t="n">
        <v>16.3</v>
      </c>
      <c r="AG970" t="inlineStr">
        <is>
          <t>1:16.3</t>
        </is>
      </c>
      <c r="AH970" t="inlineStr">
        <is>
          <t>5%</t>
        </is>
      </c>
      <c r="AI970" t="inlineStr"/>
      <c r="AJ970" t="n">
        <v>18.13</v>
      </c>
    </row>
    <row r="971">
      <c r="A971" t="inlineStr">
        <is>
          <t>National University of Science and Technology (MISiS)</t>
        </is>
      </c>
      <c r="B971" t="inlineStr">
        <is>
          <t>Russian Federation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>
        <is>
          <t>601–800</t>
        </is>
      </c>
      <c r="O971" t="inlineStr">
        <is>
          <t>37.0–41.8</t>
        </is>
      </c>
      <c r="P971" t="n">
        <v>39.1</v>
      </c>
      <c r="Q971" t="n">
        <v>27.1</v>
      </c>
      <c r="R971" t="n">
        <v>43.2</v>
      </c>
      <c r="S971" t="n">
        <v>64.09999999999999</v>
      </c>
      <c r="T971" t="n">
        <v>65.59999999999999</v>
      </c>
      <c r="U971" t="inlineStr">
        <is>
          <t>7,198</t>
        </is>
      </c>
      <c r="V971" t="n">
        <v>12</v>
      </c>
      <c r="W971" t="inlineStr">
        <is>
          <t>21%</t>
        </is>
      </c>
      <c r="X971" t="inlineStr">
        <is>
          <t>40 : 60</t>
        </is>
      </c>
      <c r="Y971" t="inlineStr"/>
      <c r="Z971" t="n">
        <v>601</v>
      </c>
      <c r="AA971" t="n">
        <v>39.4</v>
      </c>
      <c r="AB971" t="inlineStr">
        <is>
          <t>U0970</t>
        </is>
      </c>
      <c r="AC971" t="inlineStr">
        <is>
          <t>RU</t>
        </is>
      </c>
      <c r="AD971" t="n">
        <v>39.4</v>
      </c>
      <c r="AE971" t="n">
        <v>43.2</v>
      </c>
      <c r="AF971" t="n">
        <v>12</v>
      </c>
      <c r="AG971" t="inlineStr">
        <is>
          <t>1:12.0</t>
        </is>
      </c>
      <c r="AH971" t="inlineStr">
        <is>
          <t>21%</t>
        </is>
      </c>
      <c r="AI971" t="inlineStr"/>
      <c r="AJ971" t="n">
        <v>36.55</v>
      </c>
    </row>
    <row r="972">
      <c r="A972" t="inlineStr">
        <is>
          <t>The National University of Science and Technology MISIS</t>
        </is>
      </c>
      <c r="B972" t="inlineStr">
        <is>
          <t>Russian Federation</t>
        </is>
      </c>
      <c r="C972" t="inlineStr">
        <is>
          <t>711-720</t>
        </is>
      </c>
      <c r="D972" t="inlineStr"/>
      <c r="E972" t="n">
        <v>6.2</v>
      </c>
      <c r="F972" t="n">
        <v>9</v>
      </c>
      <c r="G972" t="n">
        <v>74.2</v>
      </c>
      <c r="H972" t="n">
        <v>13.8</v>
      </c>
      <c r="I972" t="n">
        <v>7.9</v>
      </c>
      <c r="J972" t="n">
        <v>43.1</v>
      </c>
      <c r="K972" t="n">
        <v>44.7</v>
      </c>
      <c r="L972" t="n">
        <v>9.199999999999999</v>
      </c>
      <c r="M972" t="n">
        <v>2.2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n">
        <v>711</v>
      </c>
      <c r="Z972" t="inlineStr"/>
      <c r="AA972" t="inlineStr"/>
      <c r="AB972" t="inlineStr">
        <is>
          <t>U0971</t>
        </is>
      </c>
      <c r="AC972" t="inlineStr">
        <is>
          <t>RU</t>
        </is>
      </c>
      <c r="AD972" t="inlineStr"/>
      <c r="AE972" t="n">
        <v>13.8</v>
      </c>
      <c r="AF972" t="inlineStr"/>
      <c r="AG972" t="inlineStr"/>
      <c r="AH972" t="inlineStr"/>
      <c r="AI972" t="n">
        <v>6.2</v>
      </c>
      <c r="AJ972" t="n">
        <v>17.57</v>
      </c>
    </row>
    <row r="973">
      <c r="A973" t="inlineStr">
        <is>
          <t>National University of Sciences and Technology</t>
        </is>
      </c>
      <c r="B973" t="inlineStr">
        <is>
          <t>Pakistan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>
        <is>
          <t>601–800</t>
        </is>
      </c>
      <c r="O973" t="inlineStr">
        <is>
          <t>37.0–41.8</t>
        </is>
      </c>
      <c r="P973" t="n">
        <v>25.1</v>
      </c>
      <c r="Q973" t="n">
        <v>19.4</v>
      </c>
      <c r="R973" t="n">
        <v>71.2</v>
      </c>
      <c r="S973" t="n">
        <v>34.9</v>
      </c>
      <c r="T973" t="n">
        <v>55.1</v>
      </c>
      <c r="U973" t="inlineStr">
        <is>
          <t>12,212</t>
        </is>
      </c>
      <c r="V973" t="n">
        <v>9.300000000000001</v>
      </c>
      <c r="W973" t="inlineStr">
        <is>
          <t>5%</t>
        </is>
      </c>
      <c r="X973" t="inlineStr">
        <is>
          <t>34 : 66</t>
        </is>
      </c>
      <c r="Y973" t="inlineStr"/>
      <c r="Z973" t="n">
        <v>601</v>
      </c>
      <c r="AA973" t="n">
        <v>39.4</v>
      </c>
      <c r="AB973" t="inlineStr">
        <is>
          <t>U0972</t>
        </is>
      </c>
      <c r="AC973" t="inlineStr">
        <is>
          <t>PA</t>
        </is>
      </c>
      <c r="AD973" t="n">
        <v>39.4</v>
      </c>
      <c r="AE973" t="n">
        <v>71.2</v>
      </c>
      <c r="AF973" t="n">
        <v>9.300000000000001</v>
      </c>
      <c r="AG973" t="inlineStr">
        <is>
          <t>1:9.3</t>
        </is>
      </c>
      <c r="AH973" t="inlineStr">
        <is>
          <t>5%</t>
        </is>
      </c>
      <c r="AI973" t="inlineStr"/>
      <c r="AJ973" t="n">
        <v>38.46</v>
      </c>
    </row>
    <row r="974">
      <c r="A974" t="inlineStr">
        <is>
          <t>National University of Sciences And Technology (NUST) Islamabad</t>
        </is>
      </c>
      <c r="B974" t="inlineStr">
        <is>
          <t>Pakistan</t>
        </is>
      </c>
      <c r="C974" t="inlineStr">
        <is>
          <t>353</t>
        </is>
      </c>
      <c r="D974" t="n">
        <v>32.3</v>
      </c>
      <c r="E974" t="n">
        <v>20.4</v>
      </c>
      <c r="F974" t="n">
        <v>71.59999999999999</v>
      </c>
      <c r="G974" t="n">
        <v>68.8</v>
      </c>
      <c r="H974" t="n">
        <v>14.5</v>
      </c>
      <c r="I974" t="n">
        <v>4.3</v>
      </c>
      <c r="J974" t="n">
        <v>4</v>
      </c>
      <c r="K974" t="n">
        <v>73.59999999999999</v>
      </c>
      <c r="L974" t="n">
        <v>2.8</v>
      </c>
      <c r="M974" t="n">
        <v>44.9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n">
        <v>353</v>
      </c>
      <c r="Z974" t="inlineStr"/>
      <c r="AA974" t="inlineStr"/>
      <c r="AB974" t="inlineStr">
        <is>
          <t>U0973</t>
        </is>
      </c>
      <c r="AC974" t="inlineStr">
        <is>
          <t>PA</t>
        </is>
      </c>
      <c r="AD974" t="n">
        <v>32.3</v>
      </c>
      <c r="AE974" t="n">
        <v>14.5</v>
      </c>
      <c r="AF974" t="inlineStr"/>
      <c r="AG974" t="inlineStr"/>
      <c r="AH974" t="inlineStr"/>
      <c r="AI974" t="n">
        <v>20.4</v>
      </c>
      <c r="AJ974" t="n">
        <v>17.78</v>
      </c>
    </row>
    <row r="975">
      <c r="A975" t="inlineStr">
        <is>
          <t>National University of Singapore (NUS)</t>
        </is>
      </c>
      <c r="B975" t="inlineStr">
        <is>
          <t>Singapore</t>
        </is>
      </c>
      <c r="C975" t="inlineStr">
        <is>
          <t>8</t>
        </is>
      </c>
      <c r="D975" t="n">
        <v>93.7</v>
      </c>
      <c r="E975" t="n">
        <v>99.5</v>
      </c>
      <c r="F975" t="n">
        <v>91.09999999999999</v>
      </c>
      <c r="G975" t="n">
        <v>68.8</v>
      </c>
      <c r="H975" t="n">
        <v>93.09999999999999</v>
      </c>
      <c r="I975" t="n">
        <v>100</v>
      </c>
      <c r="J975" t="n">
        <v>88.90000000000001</v>
      </c>
      <c r="K975" t="n">
        <v>91.59999999999999</v>
      </c>
      <c r="L975" t="n">
        <v>100</v>
      </c>
      <c r="M975" t="n">
        <v>97.7</v>
      </c>
      <c r="N975" t="inlineStr">
        <is>
          <t>19</t>
        </is>
      </c>
      <c r="O975" t="inlineStr">
        <is>
          <t>90.0</t>
        </is>
      </c>
      <c r="P975" t="n">
        <v>78.8</v>
      </c>
      <c r="Q975" t="n">
        <v>94</v>
      </c>
      <c r="R975" t="n">
        <v>95.40000000000001</v>
      </c>
      <c r="S975" t="n">
        <v>100</v>
      </c>
      <c r="T975" t="n">
        <v>91.09999999999999</v>
      </c>
      <c r="U975" t="inlineStr">
        <is>
          <t>33,334</t>
        </is>
      </c>
      <c r="V975" t="n">
        <v>20</v>
      </c>
      <c r="W975" t="inlineStr">
        <is>
          <t>24%</t>
        </is>
      </c>
      <c r="X975" t="inlineStr">
        <is>
          <t>49 : 51</t>
        </is>
      </c>
      <c r="Y975" t="n">
        <v>8</v>
      </c>
      <c r="Z975" t="n">
        <v>19</v>
      </c>
      <c r="AA975" t="n">
        <v>90</v>
      </c>
      <c r="AB975" t="inlineStr">
        <is>
          <t>U0974</t>
        </is>
      </c>
      <c r="AC975" t="inlineStr">
        <is>
          <t>SI</t>
        </is>
      </c>
      <c r="AD975" t="n">
        <v>93.7</v>
      </c>
      <c r="AE975" t="n">
        <v>93.09999999999999</v>
      </c>
      <c r="AF975" t="n">
        <v>20</v>
      </c>
      <c r="AG975" t="inlineStr">
        <is>
          <t>1:20.0</t>
        </is>
      </c>
      <c r="AH975" t="inlineStr">
        <is>
          <t>24%</t>
        </is>
      </c>
      <c r="AI975" t="n">
        <v>99.5</v>
      </c>
      <c r="AJ975" t="n">
        <v>92.90000000000001</v>
      </c>
    </row>
    <row r="976">
      <c r="A976" t="inlineStr">
        <is>
          <t>National University of Uzbekistan</t>
        </is>
      </c>
      <c r="B976" t="inlineStr">
        <is>
          <t>Uzbekistan</t>
        </is>
      </c>
      <c r="C976" t="inlineStr">
        <is>
          <t>781-790</t>
        </is>
      </c>
      <c r="D976" t="inlineStr"/>
      <c r="E976" t="n">
        <v>25.5</v>
      </c>
      <c r="F976" t="n">
        <v>15.8</v>
      </c>
      <c r="G976" t="n">
        <v>5.2</v>
      </c>
      <c r="H976" t="n">
        <v>1.3</v>
      </c>
      <c r="I976" t="n">
        <v>89</v>
      </c>
      <c r="J976" t="n">
        <v>2.5</v>
      </c>
      <c r="K976" t="n">
        <v>11.8</v>
      </c>
      <c r="L976" t="n">
        <v>20.4</v>
      </c>
      <c r="M976" t="n">
        <v>1.4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n">
        <v>781</v>
      </c>
      <c r="Z976" t="inlineStr"/>
      <c r="AA976" t="inlineStr"/>
      <c r="AB976" t="inlineStr">
        <is>
          <t>U0975</t>
        </is>
      </c>
      <c r="AC976" t="inlineStr">
        <is>
          <t>UZ</t>
        </is>
      </c>
      <c r="AD976" t="inlineStr"/>
      <c r="AE976" t="n">
        <v>1.3</v>
      </c>
      <c r="AF976" t="inlineStr"/>
      <c r="AG976" t="inlineStr"/>
      <c r="AH976" t="inlineStr"/>
      <c r="AI976" t="n">
        <v>25.5</v>
      </c>
      <c r="AJ976" t="n">
        <v>13.78</v>
      </c>
    </row>
    <row r="977">
      <c r="A977" t="inlineStr">
        <is>
          <t>National Yang Ming Chiao Tung University</t>
        </is>
      </c>
      <c r="B977" t="inlineStr">
        <is>
          <t>Taiwan</t>
        </is>
      </c>
      <c r="C977" t="inlineStr">
        <is>
          <t>219</t>
        </is>
      </c>
      <c r="D977" t="n">
        <v>43.9</v>
      </c>
      <c r="E977" t="n">
        <v>32.9</v>
      </c>
      <c r="F977" t="n">
        <v>62.7</v>
      </c>
      <c r="G977" t="n">
        <v>51.1</v>
      </c>
      <c r="H977" t="n">
        <v>52.7</v>
      </c>
      <c r="I977" t="n">
        <v>19.6</v>
      </c>
      <c r="J977" t="n">
        <v>19.2</v>
      </c>
      <c r="K977" t="n">
        <v>53.7</v>
      </c>
      <c r="L977" t="n">
        <v>58.3</v>
      </c>
      <c r="M977" t="n">
        <v>38.8</v>
      </c>
      <c r="N977" t="inlineStr">
        <is>
          <t>401–500</t>
        </is>
      </c>
      <c r="O977" t="inlineStr">
        <is>
          <t>45.4–49.0</t>
        </is>
      </c>
      <c r="P977" t="n">
        <v>44</v>
      </c>
      <c r="Q977" t="n">
        <v>44.3</v>
      </c>
      <c r="R977" t="n">
        <v>52.9</v>
      </c>
      <c r="S977" t="n">
        <v>99.90000000000001</v>
      </c>
      <c r="T977" t="n">
        <v>41.4</v>
      </c>
      <c r="U977" t="inlineStr">
        <is>
          <t>16,944</t>
        </is>
      </c>
      <c r="V977" t="n">
        <v>14.6</v>
      </c>
      <c r="W977" t="inlineStr">
        <is>
          <t>9%</t>
        </is>
      </c>
      <c r="X977" t="inlineStr">
        <is>
          <t>36 : 64</t>
        </is>
      </c>
      <c r="Y977" t="n">
        <v>219</v>
      </c>
      <c r="Z977" t="n">
        <v>401</v>
      </c>
      <c r="AA977" t="n">
        <v>47.2</v>
      </c>
      <c r="AB977" t="inlineStr">
        <is>
          <t>U0976</t>
        </is>
      </c>
      <c r="AC977" t="inlineStr">
        <is>
          <t>TA</t>
        </is>
      </c>
      <c r="AD977" t="n">
        <v>43.9</v>
      </c>
      <c r="AE977" t="n">
        <v>52.7</v>
      </c>
      <c r="AF977" t="n">
        <v>14.6</v>
      </c>
      <c r="AG977" t="inlineStr">
        <is>
          <t>1:14.6</t>
        </is>
      </c>
      <c r="AH977" t="inlineStr">
        <is>
          <t>9%</t>
        </is>
      </c>
      <c r="AI977" t="n">
        <v>32.9</v>
      </c>
      <c r="AJ977" t="n">
        <v>42.59</v>
      </c>
    </row>
    <row r="978">
      <c r="A978" t="inlineStr">
        <is>
          <t>National Yunlin University of Science and Technology</t>
        </is>
      </c>
      <c r="B978" t="inlineStr">
        <is>
          <t>Taiwan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>
        <is>
          <t>501–600</t>
        </is>
      </c>
      <c r="O978" t="inlineStr">
        <is>
          <t>41.9–45.3</t>
        </is>
      </c>
      <c r="P978" t="n">
        <v>20.5</v>
      </c>
      <c r="Q978" t="n">
        <v>27.3</v>
      </c>
      <c r="R978" t="n">
        <v>74.59999999999999</v>
      </c>
      <c r="S978" t="n">
        <v>69.09999999999999</v>
      </c>
      <c r="T978" t="n">
        <v>43.2</v>
      </c>
      <c r="U978" t="inlineStr">
        <is>
          <t>9,151</t>
        </is>
      </c>
      <c r="V978" t="n">
        <v>21.5</v>
      </c>
      <c r="W978" t="inlineStr">
        <is>
          <t>6%</t>
        </is>
      </c>
      <c r="X978" t="inlineStr">
        <is>
          <t>43 : 57</t>
        </is>
      </c>
      <c r="Y978" t="inlineStr"/>
      <c r="Z978" t="n">
        <v>501</v>
      </c>
      <c r="AA978" t="n">
        <v>43.59999999999999</v>
      </c>
      <c r="AB978" t="inlineStr">
        <is>
          <t>U0977</t>
        </is>
      </c>
      <c r="AC978" t="inlineStr">
        <is>
          <t>TA</t>
        </is>
      </c>
      <c r="AD978" t="n">
        <v>43.59999999999999</v>
      </c>
      <c r="AE978" t="n">
        <v>74.59999999999999</v>
      </c>
      <c r="AF978" t="n">
        <v>21.5</v>
      </c>
      <c r="AG978" t="inlineStr">
        <is>
          <t>1:21.5</t>
        </is>
      </c>
      <c r="AH978" t="inlineStr">
        <is>
          <t>6%</t>
        </is>
      </c>
      <c r="AI978" t="inlineStr"/>
      <c r="AJ978" t="n">
        <v>40.75</v>
      </c>
    </row>
    <row r="979">
      <c r="A979" t="inlineStr">
        <is>
          <t>Nazarbayev University</t>
        </is>
      </c>
      <c r="B979" t="inlineStr">
        <is>
          <t>Kazakhstan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>
        <is>
          <t>501–600</t>
        </is>
      </c>
      <c r="O979" t="inlineStr">
        <is>
          <t>41.9–45.3</t>
        </is>
      </c>
      <c r="P979" t="n">
        <v>25.4</v>
      </c>
      <c r="Q979" t="n">
        <v>29.5</v>
      </c>
      <c r="R979" t="n">
        <v>65.90000000000001</v>
      </c>
      <c r="S979" t="n">
        <v>40.4</v>
      </c>
      <c r="T979" t="n">
        <v>74.3</v>
      </c>
      <c r="U979" t="inlineStr">
        <is>
          <t>5,847</t>
        </is>
      </c>
      <c r="V979" t="n">
        <v>13.9</v>
      </c>
      <c r="W979" t="inlineStr">
        <is>
          <t>3%</t>
        </is>
      </c>
      <c r="X979" t="inlineStr">
        <is>
          <t>52 : 48</t>
        </is>
      </c>
      <c r="Y979" t="inlineStr"/>
      <c r="Z979" t="n">
        <v>501</v>
      </c>
      <c r="AA979" t="n">
        <v>43.59999999999999</v>
      </c>
      <c r="AB979" t="inlineStr">
        <is>
          <t>U0978</t>
        </is>
      </c>
      <c r="AC979" t="inlineStr">
        <is>
          <t>KA</t>
        </is>
      </c>
      <c r="AD979" t="n">
        <v>43.59999999999999</v>
      </c>
      <c r="AE979" t="n">
        <v>65.90000000000001</v>
      </c>
      <c r="AF979" t="n">
        <v>13.9</v>
      </c>
      <c r="AG979" t="inlineStr">
        <is>
          <t>1:13.9</t>
        </is>
      </c>
      <c r="AH979" t="inlineStr">
        <is>
          <t>3%</t>
        </is>
      </c>
      <c r="AI979" t="inlineStr"/>
      <c r="AJ979" t="n">
        <v>46.79</v>
      </c>
    </row>
    <row r="980">
      <c r="A980" t="inlineStr">
        <is>
          <t>Near East University</t>
        </is>
      </c>
      <c r="B980" t="inlineStr">
        <is>
          <t>Northern Cyprus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>
        <is>
          <t>601–800</t>
        </is>
      </c>
      <c r="O980" t="inlineStr">
        <is>
          <t>37.0–41.8</t>
        </is>
      </c>
      <c r="P980" t="n">
        <v>25.9</v>
      </c>
      <c r="Q980" t="n">
        <v>18.8</v>
      </c>
      <c r="R980" t="n">
        <v>66.59999999999999</v>
      </c>
      <c r="S980" t="n">
        <v>49.9</v>
      </c>
      <c r="T980" t="n">
        <v>86.8</v>
      </c>
      <c r="U980" t="inlineStr">
        <is>
          <t>23,137</t>
        </is>
      </c>
      <c r="V980" t="n">
        <v>29.2</v>
      </c>
      <c r="W980" t="inlineStr">
        <is>
          <t>86%</t>
        </is>
      </c>
      <c r="X980" t="inlineStr">
        <is>
          <t>45 : 55</t>
        </is>
      </c>
      <c r="Y980" t="inlineStr"/>
      <c r="Z980" t="n">
        <v>601</v>
      </c>
      <c r="AA980" t="n">
        <v>39.4</v>
      </c>
      <c r="AB980" t="inlineStr">
        <is>
          <t>U0979</t>
        </is>
      </c>
      <c r="AC980" t="inlineStr">
        <is>
          <t>NO</t>
        </is>
      </c>
      <c r="AD980" t="n">
        <v>39.4</v>
      </c>
      <c r="AE980" t="n">
        <v>66.59999999999999</v>
      </c>
      <c r="AF980" t="n">
        <v>29.2</v>
      </c>
      <c r="AG980" t="inlineStr">
        <is>
          <t>1:29.2</t>
        </is>
      </c>
      <c r="AH980" t="inlineStr">
        <is>
          <t>86%</t>
        </is>
      </c>
      <c r="AI980" t="inlineStr"/>
      <c r="AJ980" t="n">
        <v>44.42</v>
      </c>
    </row>
    <row r="981">
      <c r="A981" t="inlineStr">
        <is>
          <t>Necmettin Erbakan University</t>
        </is>
      </c>
      <c r="B981" t="inlineStr">
        <is>
          <t>Turkey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>
        <is>
          <t>1001–1200</t>
        </is>
      </c>
      <c r="O981" t="inlineStr">
        <is>
          <t>28.3–32.6</t>
        </is>
      </c>
      <c r="P981" t="n">
        <v>37.2</v>
      </c>
      <c r="Q981" t="n">
        <v>14.1</v>
      </c>
      <c r="R981" t="n">
        <v>39</v>
      </c>
      <c r="S981" t="n">
        <v>21.4</v>
      </c>
      <c r="T981" t="n">
        <v>38.7</v>
      </c>
      <c r="U981" t="inlineStr">
        <is>
          <t>18,828</t>
        </is>
      </c>
      <c r="V981" t="n">
        <v>12.8</v>
      </c>
      <c r="W981" t="inlineStr">
        <is>
          <t>13%</t>
        </is>
      </c>
      <c r="X981" t="inlineStr">
        <is>
          <t>52 : 48</t>
        </is>
      </c>
      <c r="Y981" t="inlineStr"/>
      <c r="Z981" t="n">
        <v>1001</v>
      </c>
      <c r="AA981" t="n">
        <v>30.45</v>
      </c>
      <c r="AB981" t="inlineStr">
        <is>
          <t>U0980</t>
        </is>
      </c>
      <c r="AC981" t="inlineStr">
        <is>
          <t>TU</t>
        </is>
      </c>
      <c r="AD981" t="n">
        <v>30.45</v>
      </c>
      <c r="AE981" t="n">
        <v>39</v>
      </c>
      <c r="AF981" t="n">
        <v>12.8</v>
      </c>
      <c r="AG981" t="inlineStr">
        <is>
          <t>1:12.8</t>
        </is>
      </c>
      <c r="AH981" t="inlineStr">
        <is>
          <t>13%</t>
        </is>
      </c>
      <c r="AI981" t="inlineStr"/>
      <c r="AJ981" t="n">
        <v>21.96</v>
      </c>
    </row>
    <row r="982">
      <c r="A982" t="inlineStr">
        <is>
          <t>NED University of Engineering and Technology</t>
        </is>
      </c>
      <c r="B982" t="inlineStr">
        <is>
          <t>Pakistan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>
        <is>
          <t>1501+</t>
        </is>
      </c>
      <c r="O982" t="inlineStr">
        <is>
          <t>9.7–22.7</t>
        </is>
      </c>
      <c r="P982" t="n">
        <v>12.7</v>
      </c>
      <c r="Q982" t="n">
        <v>13.1</v>
      </c>
      <c r="R982" t="n">
        <v>19.8</v>
      </c>
      <c r="S982" t="n">
        <v>26.3</v>
      </c>
      <c r="T982" t="n">
        <v>49.9</v>
      </c>
      <c r="U982" t="inlineStr">
        <is>
          <t>12,878</t>
        </is>
      </c>
      <c r="V982" t="n">
        <v>24</v>
      </c>
      <c r="W982" t="inlineStr">
        <is>
          <t>0%</t>
        </is>
      </c>
      <c r="X982" t="inlineStr">
        <is>
          <t>37 : 63</t>
        </is>
      </c>
      <c r="Y982" t="inlineStr"/>
      <c r="Z982" t="n">
        <v>1501</v>
      </c>
      <c r="AA982" t="n">
        <v>16.2</v>
      </c>
      <c r="AB982" t="inlineStr">
        <is>
          <t>U0981</t>
        </is>
      </c>
      <c r="AC982" t="inlineStr">
        <is>
          <t>PA</t>
        </is>
      </c>
      <c r="AD982" t="n">
        <v>16.2</v>
      </c>
      <c r="AE982" t="n">
        <v>19.8</v>
      </c>
      <c r="AF982" t="n">
        <v>24</v>
      </c>
      <c r="AG982" t="inlineStr">
        <is>
          <t>1:24.0</t>
        </is>
      </c>
      <c r="AH982" t="inlineStr">
        <is>
          <t>0%</t>
        </is>
      </c>
      <c r="AI982" t="inlineStr"/>
      <c r="AJ982" t="n">
        <v>18.33</v>
      </c>
    </row>
    <row r="983">
      <c r="A983" t="inlineStr">
        <is>
          <t>New Jersey Institute of Technology (NJIT)</t>
        </is>
      </c>
      <c r="B983" t="inlineStr">
        <is>
          <t>United States</t>
        </is>
      </c>
      <c r="C983" t="inlineStr">
        <is>
          <t>791-800</t>
        </is>
      </c>
      <c r="D983" t="inlineStr"/>
      <c r="E983" t="n">
        <v>4.8</v>
      </c>
      <c r="F983" t="n">
        <v>6.7</v>
      </c>
      <c r="G983" t="n">
        <v>10.2</v>
      </c>
      <c r="H983" t="n">
        <v>30.4</v>
      </c>
      <c r="I983" t="n">
        <v>31.5</v>
      </c>
      <c r="J983" t="n">
        <v>52.9</v>
      </c>
      <c r="K983" t="n">
        <v>29.1</v>
      </c>
      <c r="L983" t="n">
        <v>5.1</v>
      </c>
      <c r="M983" t="n">
        <v>26.5</v>
      </c>
      <c r="N983" t="inlineStr">
        <is>
          <t>401–500</t>
        </is>
      </c>
      <c r="O983" t="inlineStr">
        <is>
          <t>45.4–49.0</t>
        </is>
      </c>
      <c r="P983" t="n">
        <v>27.4</v>
      </c>
      <c r="Q983" t="n">
        <v>23.5</v>
      </c>
      <c r="R983" t="n">
        <v>69.2</v>
      </c>
      <c r="S983" t="n">
        <v>69.8</v>
      </c>
      <c r="T983" t="n">
        <v>93.59999999999999</v>
      </c>
      <c r="U983" t="inlineStr">
        <is>
          <t>9,981</t>
        </is>
      </c>
      <c r="V983" t="n">
        <v>14.5</v>
      </c>
      <c r="W983" t="inlineStr">
        <is>
          <t>24%</t>
        </is>
      </c>
      <c r="X983" t="inlineStr">
        <is>
          <t>27 : 73</t>
        </is>
      </c>
      <c r="Y983" t="n">
        <v>791</v>
      </c>
      <c r="Z983" t="n">
        <v>401</v>
      </c>
      <c r="AA983" t="n">
        <v>47.2</v>
      </c>
      <c r="AB983" t="inlineStr">
        <is>
          <t>U0982</t>
        </is>
      </c>
      <c r="AC983" t="inlineStr">
        <is>
          <t>UN</t>
        </is>
      </c>
      <c r="AD983" t="n">
        <v>47.2</v>
      </c>
      <c r="AE983" t="n">
        <v>30.4</v>
      </c>
      <c r="AF983" t="n">
        <v>14.5</v>
      </c>
      <c r="AG983" t="inlineStr">
        <is>
          <t>1:14.5</t>
        </is>
      </c>
      <c r="AH983" t="inlineStr">
        <is>
          <t>24%</t>
        </is>
      </c>
      <c r="AI983" t="n">
        <v>4.8</v>
      </c>
      <c r="AJ983" t="n">
        <v>37.56</v>
      </c>
    </row>
    <row r="984">
      <c r="A984" t="inlineStr">
        <is>
          <t>New Mexico State University (Main campus)</t>
        </is>
      </c>
      <c r="B984" t="inlineStr">
        <is>
          <t>United States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>
        <is>
          <t>801–1000</t>
        </is>
      </c>
      <c r="O984" t="inlineStr">
        <is>
          <t>32.7–36.9</t>
        </is>
      </c>
      <c r="P984" t="n">
        <v>25.8</v>
      </c>
      <c r="Q984" t="n">
        <v>22.1</v>
      </c>
      <c r="R984" t="n">
        <v>49.8</v>
      </c>
      <c r="S984" t="n">
        <v>62.9</v>
      </c>
      <c r="T984" t="n">
        <v>45.6</v>
      </c>
      <c r="U984" t="inlineStr">
        <is>
          <t>12,305</t>
        </is>
      </c>
      <c r="V984" t="n">
        <v>16</v>
      </c>
      <c r="W984" t="inlineStr">
        <is>
          <t>6%</t>
        </is>
      </c>
      <c r="X984" t="inlineStr">
        <is>
          <t>58 : 42</t>
        </is>
      </c>
      <c r="Y984" t="inlineStr"/>
      <c r="Z984" t="n">
        <v>801</v>
      </c>
      <c r="AA984" t="n">
        <v>34.8</v>
      </c>
      <c r="AB984" t="inlineStr">
        <is>
          <t>U0983</t>
        </is>
      </c>
      <c r="AC984" t="inlineStr">
        <is>
          <t>UN</t>
        </is>
      </c>
      <c r="AD984" t="n">
        <v>34.8</v>
      </c>
      <c r="AE984" t="n">
        <v>49.8</v>
      </c>
      <c r="AF984" t="n">
        <v>16</v>
      </c>
      <c r="AG984" t="inlineStr">
        <is>
          <t>1:16.0</t>
        </is>
      </c>
      <c r="AH984" t="inlineStr">
        <is>
          <t>6%</t>
        </is>
      </c>
      <c r="AI984" t="inlineStr"/>
      <c r="AJ984" t="n">
        <v>31.09</v>
      </c>
    </row>
    <row r="985">
      <c r="A985" t="inlineStr">
        <is>
          <t>The New School</t>
        </is>
      </c>
      <c r="B985" t="inlineStr">
        <is>
          <t>United States</t>
        </is>
      </c>
      <c r="C985" t="inlineStr">
        <is>
          <t>781-790</t>
        </is>
      </c>
      <c r="D985" t="inlineStr"/>
      <c r="E985" t="n">
        <v>15.2</v>
      </c>
      <c r="F985" t="n">
        <v>8.199999999999999</v>
      </c>
      <c r="G985" t="n">
        <v>41.1</v>
      </c>
      <c r="H985" t="n">
        <v>2.6</v>
      </c>
      <c r="I985" t="n">
        <v>5.7</v>
      </c>
      <c r="J985" t="n">
        <v>92.3</v>
      </c>
      <c r="K985" t="n">
        <v>19.6</v>
      </c>
      <c r="L985" t="n">
        <v>13.5</v>
      </c>
      <c r="M985" t="n">
        <v>1</v>
      </c>
      <c r="N985" t="inlineStr">
        <is>
          <t>801–1000</t>
        </is>
      </c>
      <c r="O985" t="inlineStr">
        <is>
          <t>32.7–36.9</t>
        </is>
      </c>
      <c r="P985" t="n">
        <v>29.8</v>
      </c>
      <c r="Q985" t="n">
        <v>15.5</v>
      </c>
      <c r="R985" t="n">
        <v>45.8</v>
      </c>
      <c r="S985" t="n">
        <v>27.2</v>
      </c>
      <c r="T985" t="n">
        <v>61.1</v>
      </c>
      <c r="U985" t="inlineStr">
        <is>
          <t>8,644</t>
        </is>
      </c>
      <c r="V985" t="n">
        <v>9.300000000000001</v>
      </c>
      <c r="W985" t="inlineStr">
        <is>
          <t>34%</t>
        </is>
      </c>
      <c r="X985" t="inlineStr">
        <is>
          <t>73 : 27</t>
        </is>
      </c>
      <c r="Y985" t="n">
        <v>781</v>
      </c>
      <c r="Z985" t="n">
        <v>801</v>
      </c>
      <c r="AA985" t="n">
        <v>34.8</v>
      </c>
      <c r="AB985" t="inlineStr">
        <is>
          <t>U0984</t>
        </is>
      </c>
      <c r="AC985" t="inlineStr">
        <is>
          <t>UN</t>
        </is>
      </c>
      <c r="AD985" t="n">
        <v>34.8</v>
      </c>
      <c r="AE985" t="n">
        <v>2.6</v>
      </c>
      <c r="AF985" t="n">
        <v>9.300000000000001</v>
      </c>
      <c r="AG985" t="inlineStr">
        <is>
          <t>1:9.3</t>
        </is>
      </c>
      <c r="AH985" t="inlineStr">
        <is>
          <t>34%</t>
        </is>
      </c>
      <c r="AI985" t="n">
        <v>15.2</v>
      </c>
      <c r="AJ985" t="n">
        <v>17.08</v>
      </c>
    </row>
    <row r="986">
      <c r="A986" t="inlineStr">
        <is>
          <t>New York University (NYU)</t>
        </is>
      </c>
      <c r="B986" t="inlineStr">
        <is>
          <t>United States</t>
        </is>
      </c>
      <c r="C986" t="inlineStr">
        <is>
          <t>43</t>
        </is>
      </c>
      <c r="D986" t="n">
        <v>79.59999999999999</v>
      </c>
      <c r="E986" t="n">
        <v>96.3</v>
      </c>
      <c r="F986" t="n">
        <v>98.8</v>
      </c>
      <c r="G986" t="n">
        <v>90.5</v>
      </c>
      <c r="H986" t="n">
        <v>28.6</v>
      </c>
      <c r="I986" t="n">
        <v>30.2</v>
      </c>
      <c r="J986" t="n">
        <v>98.09999999999999</v>
      </c>
      <c r="K986" t="n">
        <v>92.59999999999999</v>
      </c>
      <c r="L986" t="n">
        <v>98.40000000000001</v>
      </c>
      <c r="M986" t="n">
        <v>95.40000000000001</v>
      </c>
      <c r="N986" t="inlineStr">
        <is>
          <t>27</t>
        </is>
      </c>
      <c r="O986" t="inlineStr">
        <is>
          <t>83.5</t>
        </is>
      </c>
      <c r="P986" t="n">
        <v>73.2</v>
      </c>
      <c r="Q986" t="n">
        <v>84</v>
      </c>
      <c r="R986" t="n">
        <v>94.90000000000001</v>
      </c>
      <c r="S986" t="n">
        <v>75.40000000000001</v>
      </c>
      <c r="T986" t="n">
        <v>80.7</v>
      </c>
      <c r="U986" t="inlineStr">
        <is>
          <t>48,461</t>
        </is>
      </c>
      <c r="V986" t="n">
        <v>11.8</v>
      </c>
      <c r="W986" t="inlineStr">
        <is>
          <t>42%</t>
        </is>
      </c>
      <c r="X986" t="inlineStr">
        <is>
          <t>58 : 42</t>
        </is>
      </c>
      <c r="Y986" t="n">
        <v>43</v>
      </c>
      <c r="Z986" t="n">
        <v>27</v>
      </c>
      <c r="AA986" t="n">
        <v>83.5</v>
      </c>
      <c r="AB986" t="inlineStr">
        <is>
          <t>U0985</t>
        </is>
      </c>
      <c r="AC986" t="inlineStr">
        <is>
          <t>UN</t>
        </is>
      </c>
      <c r="AD986" t="n">
        <v>79.59999999999999</v>
      </c>
      <c r="AE986" t="n">
        <v>28.6</v>
      </c>
      <c r="AF986" t="n">
        <v>11.8</v>
      </c>
      <c r="AG986" t="inlineStr">
        <is>
          <t>1:11.8</t>
        </is>
      </c>
      <c r="AH986" t="inlineStr">
        <is>
          <t>42%</t>
        </is>
      </c>
      <c r="AI986" t="n">
        <v>96.3</v>
      </c>
      <c r="AJ986" t="n">
        <v>65.59999999999999</v>
      </c>
    </row>
    <row r="987">
      <c r="A987" t="inlineStr">
        <is>
          <t>Newcastle University</t>
        </is>
      </c>
      <c r="B987" t="inlineStr">
        <is>
          <t>United Kingdom</t>
        </is>
      </c>
      <c r="C987" t="inlineStr">
        <is>
          <t>129</t>
        </is>
      </c>
      <c r="D987" t="n">
        <v>54.5</v>
      </c>
      <c r="E987" t="n">
        <v>50</v>
      </c>
      <c r="F987" t="n">
        <v>59.3</v>
      </c>
      <c r="G987" t="n">
        <v>39.2</v>
      </c>
      <c r="H987" t="n">
        <v>38.7</v>
      </c>
      <c r="I987" t="n">
        <v>89.5</v>
      </c>
      <c r="J987" t="n">
        <v>68.59999999999999</v>
      </c>
      <c r="K987" t="n">
        <v>97.09999999999999</v>
      </c>
      <c r="L987" t="n">
        <v>31.3</v>
      </c>
      <c r="M987" t="n">
        <v>97.09999999999999</v>
      </c>
      <c r="N987">
        <f>168</f>
        <v/>
      </c>
      <c r="O987" t="inlineStr">
        <is>
          <t>60.8</t>
        </is>
      </c>
      <c r="P987" t="n">
        <v>37.2</v>
      </c>
      <c r="Q987" t="n">
        <v>41.1</v>
      </c>
      <c r="R987" t="n">
        <v>93.8</v>
      </c>
      <c r="S987" t="n">
        <v>72.09999999999999</v>
      </c>
      <c r="T987" t="n">
        <v>91.3</v>
      </c>
      <c r="U987" t="inlineStr">
        <is>
          <t>25,650</t>
        </is>
      </c>
      <c r="V987" t="n">
        <v>14.8</v>
      </c>
      <c r="W987" t="inlineStr">
        <is>
          <t>26%</t>
        </is>
      </c>
      <c r="X987" t="inlineStr">
        <is>
          <t>53 : 47</t>
        </is>
      </c>
      <c r="Y987" t="n">
        <v>129</v>
      </c>
      <c r="Z987" t="n">
        <v>168</v>
      </c>
      <c r="AA987" t="n">
        <v>60.8</v>
      </c>
      <c r="AB987" t="inlineStr">
        <is>
          <t>U0986</t>
        </is>
      </c>
      <c r="AC987" t="inlineStr">
        <is>
          <t>UN</t>
        </is>
      </c>
      <c r="AD987" t="n">
        <v>54.5</v>
      </c>
      <c r="AE987" t="n">
        <v>38.7</v>
      </c>
      <c r="AF987" t="n">
        <v>14.8</v>
      </c>
      <c r="AG987" t="inlineStr">
        <is>
          <t>1:14.8</t>
        </is>
      </c>
      <c r="AH987" t="inlineStr">
        <is>
          <t>26%</t>
        </is>
      </c>
      <c r="AI987" t="n">
        <v>50</v>
      </c>
      <c r="AJ987" t="n">
        <v>48.74</v>
      </c>
    </row>
    <row r="988">
      <c r="A988" t="inlineStr">
        <is>
          <t>Niğde Ömer Halisdemir University</t>
        </is>
      </c>
      <c r="B988" t="inlineStr">
        <is>
          <t>Turkey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>
        <is>
          <t>1501+</t>
        </is>
      </c>
      <c r="O988" t="inlineStr">
        <is>
          <t>9.7–22.7</t>
        </is>
      </c>
      <c r="P988" t="n">
        <v>13.5</v>
      </c>
      <c r="Q988" t="n">
        <v>9.4</v>
      </c>
      <c r="R988" t="n">
        <v>24.5</v>
      </c>
      <c r="S988" t="n">
        <v>19.2</v>
      </c>
      <c r="T988" t="n">
        <v>27.7</v>
      </c>
      <c r="U988" t="inlineStr">
        <is>
          <t>14,088</t>
        </is>
      </c>
      <c r="V988" t="n">
        <v>20.1</v>
      </c>
      <c r="W988" t="inlineStr">
        <is>
          <t>5%</t>
        </is>
      </c>
      <c r="X988" t="inlineStr">
        <is>
          <t>80 : 20</t>
        </is>
      </c>
      <c r="Y988" t="inlineStr"/>
      <c r="Z988" t="n">
        <v>1501</v>
      </c>
      <c r="AA988" t="n">
        <v>16.2</v>
      </c>
      <c r="AB988" t="inlineStr">
        <is>
          <t>U0987</t>
        </is>
      </c>
      <c r="AC988" t="inlineStr">
        <is>
          <t>TU</t>
        </is>
      </c>
      <c r="AD988" t="n">
        <v>16.2</v>
      </c>
      <c r="AE988" t="n">
        <v>24.5</v>
      </c>
      <c r="AF988" t="n">
        <v>20.1</v>
      </c>
      <c r="AG988" t="inlineStr">
        <is>
          <t>1:20.1</t>
        </is>
      </c>
      <c r="AH988" t="inlineStr">
        <is>
          <t>5%</t>
        </is>
      </c>
      <c r="AI988" t="inlineStr"/>
      <c r="AJ988" t="n">
        <v>12.44</v>
      </c>
    </row>
    <row r="989">
      <c r="A989" t="inlineStr">
        <is>
          <t xml:space="preserve">Nicolaus Copernicus University </t>
        </is>
      </c>
      <c r="B989" t="inlineStr">
        <is>
          <t>Poland</t>
        </is>
      </c>
      <c r="C989" t="inlineStr">
        <is>
          <t>901-950</t>
        </is>
      </c>
      <c r="D989" t="inlineStr"/>
      <c r="E989" t="n">
        <v>7.6</v>
      </c>
      <c r="F989" t="n">
        <v>2.6</v>
      </c>
      <c r="G989" t="n">
        <v>53.2</v>
      </c>
      <c r="H989" t="n">
        <v>4.9</v>
      </c>
      <c r="I989" t="n">
        <v>3.1</v>
      </c>
      <c r="J989" t="n">
        <v>5.3</v>
      </c>
      <c r="K989" t="n">
        <v>81.3</v>
      </c>
      <c r="L989" t="n">
        <v>3.1</v>
      </c>
      <c r="M989" t="n">
        <v>1.7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n">
        <v>901</v>
      </c>
      <c r="Z989" t="inlineStr"/>
      <c r="AA989" t="inlineStr"/>
      <c r="AB989" t="inlineStr">
        <is>
          <t>U0988</t>
        </is>
      </c>
      <c r="AC989" t="inlineStr">
        <is>
          <t>PO</t>
        </is>
      </c>
      <c r="AD989" t="inlineStr"/>
      <c r="AE989" t="n">
        <v>4.9</v>
      </c>
      <c r="AF989" t="inlineStr"/>
      <c r="AG989" t="inlineStr"/>
      <c r="AH989" t="inlineStr"/>
      <c r="AI989" t="n">
        <v>7.6</v>
      </c>
      <c r="AJ989" t="n">
        <v>14.87</v>
      </c>
    </row>
    <row r="990">
      <c r="A990" t="inlineStr">
        <is>
          <t>Nicolaus Copernicus University in Toruń</t>
        </is>
      </c>
      <c r="B990" t="inlineStr">
        <is>
          <t>Poland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>1001–1200</t>
        </is>
      </c>
      <c r="O990" t="inlineStr">
        <is>
          <t>28.3–32.6</t>
        </is>
      </c>
      <c r="P990" t="n">
        <v>23.8</v>
      </c>
      <c r="Q990" t="n">
        <v>21.1</v>
      </c>
      <c r="R990" t="n">
        <v>38</v>
      </c>
      <c r="S990" t="n">
        <v>30.8</v>
      </c>
      <c r="T990" t="n">
        <v>33.6</v>
      </c>
      <c r="U990" t="inlineStr">
        <is>
          <t>18,122</t>
        </is>
      </c>
      <c r="V990" t="n">
        <v>12</v>
      </c>
      <c r="W990" t="inlineStr">
        <is>
          <t>5%</t>
        </is>
      </c>
      <c r="X990" t="inlineStr">
        <is>
          <t>67 : 33</t>
        </is>
      </c>
      <c r="Y990" t="inlineStr"/>
      <c r="Z990" t="n">
        <v>1001</v>
      </c>
      <c r="AA990" t="n">
        <v>30.45</v>
      </c>
      <c r="AB990" t="inlineStr">
        <is>
          <t>U0989</t>
        </is>
      </c>
      <c r="AC990" t="inlineStr">
        <is>
          <t>PO</t>
        </is>
      </c>
      <c r="AD990" t="n">
        <v>30.45</v>
      </c>
      <c r="AE990" t="n">
        <v>38</v>
      </c>
      <c r="AF990" t="n">
        <v>12</v>
      </c>
      <c r="AG990" t="inlineStr">
        <is>
          <t>1:12.0</t>
        </is>
      </c>
      <c r="AH990" t="inlineStr">
        <is>
          <t>5%</t>
        </is>
      </c>
      <c r="AI990" t="inlineStr"/>
      <c r="AJ990" t="n">
        <v>24.09</v>
      </c>
    </row>
    <row r="991">
      <c r="A991" t="inlineStr">
        <is>
          <t>Niigata University</t>
        </is>
      </c>
      <c r="B991" t="inlineStr">
        <is>
          <t>Japan</t>
        </is>
      </c>
      <c r="C991" t="inlineStr">
        <is>
          <t>951-1000</t>
        </is>
      </c>
      <c r="D991" t="inlineStr"/>
      <c r="E991" t="n">
        <v>4.9</v>
      </c>
      <c r="F991" t="n">
        <v>3.2</v>
      </c>
      <c r="G991" t="n">
        <v>85.3</v>
      </c>
      <c r="H991" t="n">
        <v>3.8</v>
      </c>
      <c r="I991" t="n">
        <v>4.6</v>
      </c>
      <c r="J991" t="n">
        <v>3.1</v>
      </c>
      <c r="K991" t="n">
        <v>18.4</v>
      </c>
      <c r="L991" t="n">
        <v>5.7</v>
      </c>
      <c r="M991" t="n">
        <v>1.8</v>
      </c>
      <c r="N991" t="inlineStr">
        <is>
          <t>1001–1200</t>
        </is>
      </c>
      <c r="O991" t="inlineStr">
        <is>
          <t>28.3–32.6</t>
        </is>
      </c>
      <c r="P991" t="n">
        <v>30.6</v>
      </c>
      <c r="Q991" t="n">
        <v>15</v>
      </c>
      <c r="R991" t="n">
        <v>41.8</v>
      </c>
      <c r="S991" t="n">
        <v>49.7</v>
      </c>
      <c r="T991" t="n">
        <v>29</v>
      </c>
      <c r="U991" t="inlineStr">
        <is>
          <t>11,942</t>
        </is>
      </c>
      <c r="V991" t="n">
        <v>7.2</v>
      </c>
      <c r="W991" t="inlineStr">
        <is>
          <t>3%</t>
        </is>
      </c>
      <c r="X991" t="inlineStr">
        <is>
          <t>37 : 63</t>
        </is>
      </c>
      <c r="Y991" t="n">
        <v>951</v>
      </c>
      <c r="Z991" t="n">
        <v>1001</v>
      </c>
      <c r="AA991" t="n">
        <v>30.45</v>
      </c>
      <c r="AB991" t="inlineStr">
        <is>
          <t>U0990</t>
        </is>
      </c>
      <c r="AC991" t="inlineStr">
        <is>
          <t>JA</t>
        </is>
      </c>
      <c r="AD991" t="n">
        <v>30.45</v>
      </c>
      <c r="AE991" t="n">
        <v>3.8</v>
      </c>
      <c r="AF991" t="n">
        <v>7.2</v>
      </c>
      <c r="AG991" t="inlineStr">
        <is>
          <t>1:7.2</t>
        </is>
      </c>
      <c r="AH991" t="inlineStr">
        <is>
          <t>3%</t>
        </is>
      </c>
      <c r="AI991" t="n">
        <v>4.9</v>
      </c>
      <c r="AJ991" t="n">
        <v>9.42</v>
      </c>
    </row>
    <row r="992">
      <c r="A992" t="inlineStr">
        <is>
          <t>Nile University</t>
        </is>
      </c>
      <c r="B992" t="inlineStr">
        <is>
          <t>Egypt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>
        <is>
          <t>1001–1200</t>
        </is>
      </c>
      <c r="O992" t="inlineStr">
        <is>
          <t>28.3–32.6</t>
        </is>
      </c>
      <c r="P992" t="n">
        <v>17.3</v>
      </c>
      <c r="Q992" t="n">
        <v>13.3</v>
      </c>
      <c r="R992" t="n">
        <v>59.7</v>
      </c>
      <c r="S992" t="n">
        <v>42.4</v>
      </c>
      <c r="T992" t="n">
        <v>31.6</v>
      </c>
      <c r="U992" t="inlineStr">
        <is>
          <t>3,424</t>
        </is>
      </c>
      <c r="V992" t="n">
        <v>14.4</v>
      </c>
      <c r="W992" t="inlineStr">
        <is>
          <t>2%</t>
        </is>
      </c>
      <c r="X992" t="inlineStr">
        <is>
          <t>32 : 68</t>
        </is>
      </c>
      <c r="Y992" t="inlineStr"/>
      <c r="Z992" t="n">
        <v>1001</v>
      </c>
      <c r="AA992" t="n">
        <v>30.45</v>
      </c>
      <c r="AB992" t="inlineStr">
        <is>
          <t>U0991</t>
        </is>
      </c>
      <c r="AC992" t="inlineStr">
        <is>
          <t>EG</t>
        </is>
      </c>
      <c r="AD992" t="n">
        <v>30.45</v>
      </c>
      <c r="AE992" t="n">
        <v>59.7</v>
      </c>
      <c r="AF992" t="n">
        <v>14.4</v>
      </c>
      <c r="AG992" t="inlineStr">
        <is>
          <t>1:14.4</t>
        </is>
      </c>
      <c r="AH992" t="inlineStr">
        <is>
          <t>2%</t>
        </is>
      </c>
      <c r="AI992" t="inlineStr"/>
      <c r="AJ992" t="n">
        <v>26.1</v>
      </c>
    </row>
    <row r="993">
      <c r="A993" t="inlineStr">
        <is>
          <t>Nippon Medical School</t>
        </is>
      </c>
      <c r="B993" t="inlineStr">
        <is>
          <t>Japan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>1001–1200</t>
        </is>
      </c>
      <c r="O993" t="inlineStr">
        <is>
          <t>28.3–32.6</t>
        </is>
      </c>
      <c r="P993" t="n">
        <v>28.5</v>
      </c>
      <c r="Q993" t="n">
        <v>10.7</v>
      </c>
      <c r="R993" t="n">
        <v>57.1</v>
      </c>
      <c r="S993" t="n">
        <v>50.3</v>
      </c>
      <c r="T993" t="n">
        <v>20.5</v>
      </c>
      <c r="U993" t="inlineStr">
        <is>
          <t>939</t>
        </is>
      </c>
      <c r="V993" t="n">
        <v>0.9</v>
      </c>
      <c r="W993" t="inlineStr">
        <is>
          <t>0%</t>
        </is>
      </c>
      <c r="X993" t="inlineStr">
        <is>
          <t>37 : 63</t>
        </is>
      </c>
      <c r="Y993" t="inlineStr"/>
      <c r="Z993" t="n">
        <v>1001</v>
      </c>
      <c r="AA993" t="n">
        <v>30.45</v>
      </c>
      <c r="AB993" t="inlineStr">
        <is>
          <t>U0992</t>
        </is>
      </c>
      <c r="AC993" t="inlineStr">
        <is>
          <t>JA</t>
        </is>
      </c>
      <c r="AD993" t="n">
        <v>30.45</v>
      </c>
      <c r="AE993" t="n">
        <v>57.1</v>
      </c>
      <c r="AF993" t="n">
        <v>0.9</v>
      </c>
      <c r="AG993" t="inlineStr">
        <is>
          <t>1:0.9</t>
        </is>
      </c>
      <c r="AH993" t="inlineStr">
        <is>
          <t>0%</t>
        </is>
      </c>
      <c r="AI993" t="inlineStr"/>
      <c r="AJ993" t="n">
        <v>21.26</v>
      </c>
    </row>
    <row r="994">
      <c r="A994" t="inlineStr">
        <is>
          <t>Nizhny Novgorod State Technical University</t>
        </is>
      </c>
      <c r="B994" t="inlineStr">
        <is>
          <t>Russian Federation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>
        <is>
          <t>1501+</t>
        </is>
      </c>
      <c r="O994" t="inlineStr">
        <is>
          <t>9.7–22.7</t>
        </is>
      </c>
      <c r="P994" t="n">
        <v>17.6</v>
      </c>
      <c r="Q994" t="n">
        <v>9.699999999999999</v>
      </c>
      <c r="R994" t="n">
        <v>10.7</v>
      </c>
      <c r="S994" t="n">
        <v>39.6</v>
      </c>
      <c r="T994" t="n">
        <v>23.6</v>
      </c>
      <c r="U994" t="inlineStr">
        <is>
          <t>7,931</t>
        </is>
      </c>
      <c r="V994" t="n">
        <v>14.7</v>
      </c>
      <c r="W994" t="inlineStr">
        <is>
          <t>4%</t>
        </is>
      </c>
      <c r="X994" t="inlineStr">
        <is>
          <t>25 : 75</t>
        </is>
      </c>
      <c r="Y994" t="inlineStr"/>
      <c r="Z994" t="n">
        <v>1501</v>
      </c>
      <c r="AA994" t="n">
        <v>16.2</v>
      </c>
      <c r="AB994" t="inlineStr">
        <is>
          <t>U0993</t>
        </is>
      </c>
      <c r="AC994" t="inlineStr">
        <is>
          <t>RU</t>
        </is>
      </c>
      <c r="AD994" t="n">
        <v>16.2</v>
      </c>
      <c r="AE994" t="n">
        <v>10.7</v>
      </c>
      <c r="AF994" t="n">
        <v>14.7</v>
      </c>
      <c r="AG994" t="inlineStr">
        <is>
          <t>1:14.7</t>
        </is>
      </c>
      <c r="AH994" t="inlineStr">
        <is>
          <t>4%</t>
        </is>
      </c>
      <c r="AI994" t="inlineStr"/>
      <c r="AJ994" t="n">
        <v>7.43</v>
      </c>
    </row>
    <row r="995">
      <c r="A995" t="inlineStr">
        <is>
          <t>NJSC KIMEP University</t>
        </is>
      </c>
      <c r="B995" t="inlineStr">
        <is>
          <t>Kazakhstan</t>
        </is>
      </c>
      <c r="C995" t="inlineStr">
        <is>
          <t>1001-1200</t>
        </is>
      </c>
      <c r="D995" t="inlineStr"/>
      <c r="E995" t="n">
        <v>5.9</v>
      </c>
      <c r="F995" t="n">
        <v>14.3</v>
      </c>
      <c r="G995" t="n">
        <v>13.8</v>
      </c>
      <c r="H995" t="n">
        <v>4</v>
      </c>
      <c r="I995" t="n">
        <v>75.59999999999999</v>
      </c>
      <c r="J995" t="n">
        <v>15.7</v>
      </c>
      <c r="K995" t="n">
        <v>2.5</v>
      </c>
      <c r="L995" t="n">
        <v>27.6</v>
      </c>
      <c r="M995" t="n">
        <v>1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n">
        <v>1001</v>
      </c>
      <c r="Z995" t="inlineStr"/>
      <c r="AA995" t="inlineStr"/>
      <c r="AB995" t="inlineStr">
        <is>
          <t>U0994</t>
        </is>
      </c>
      <c r="AC995" t="inlineStr">
        <is>
          <t>KA</t>
        </is>
      </c>
      <c r="AD995" t="inlineStr"/>
      <c r="AE995" t="n">
        <v>4</v>
      </c>
      <c r="AF995" t="inlineStr"/>
      <c r="AG995" t="inlineStr"/>
      <c r="AH995" t="inlineStr"/>
      <c r="AI995" t="n">
        <v>5.9</v>
      </c>
      <c r="AJ995" t="n">
        <v>14.6</v>
      </c>
    </row>
    <row r="996">
      <c r="A996" t="inlineStr">
        <is>
          <t>Nnamdi Azikiwe University</t>
        </is>
      </c>
      <c r="B996" t="inlineStr">
        <is>
          <t>Nigeria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>
        <is>
          <t>1501+</t>
        </is>
      </c>
      <c r="O996" t="inlineStr">
        <is>
          <t>9.7–22.7</t>
        </is>
      </c>
      <c r="P996" t="n">
        <v>18.3</v>
      </c>
      <c r="Q996" t="n">
        <v>8.699999999999999</v>
      </c>
      <c r="R996" t="n">
        <v>23.8</v>
      </c>
      <c r="S996" t="n">
        <v>16</v>
      </c>
      <c r="T996" t="n">
        <v>32.3</v>
      </c>
      <c r="U996" t="inlineStr">
        <is>
          <t>33,856</t>
        </is>
      </c>
      <c r="V996" t="n">
        <v>15.9</v>
      </c>
      <c r="W996" t="inlineStr">
        <is>
          <t>0%</t>
        </is>
      </c>
      <c r="X996" t="inlineStr">
        <is>
          <t>46 : 54</t>
        </is>
      </c>
      <c r="Y996" t="inlineStr"/>
      <c r="Z996" t="n">
        <v>1501</v>
      </c>
      <c r="AA996" t="n">
        <v>16.2</v>
      </c>
      <c r="AB996" t="inlineStr">
        <is>
          <t>U0995</t>
        </is>
      </c>
      <c r="AC996" t="inlineStr">
        <is>
          <t>NI</t>
        </is>
      </c>
      <c r="AD996" t="n">
        <v>16.2</v>
      </c>
      <c r="AE996" t="n">
        <v>23.8</v>
      </c>
      <c r="AF996" t="n">
        <v>15.9</v>
      </c>
      <c r="AG996" t="inlineStr">
        <is>
          <t>1:15.9</t>
        </is>
      </c>
      <c r="AH996" t="inlineStr">
        <is>
          <t>0%</t>
        </is>
      </c>
      <c r="AI996" t="inlineStr"/>
      <c r="AJ996" t="n">
        <v>12.98</v>
      </c>
    </row>
    <row r="997">
      <c r="A997" t="inlineStr">
        <is>
          <t>North Carolina State University</t>
        </is>
      </c>
      <c r="B997" t="inlineStr">
        <is>
          <t>United States</t>
        </is>
      </c>
      <c r="C997" t="inlineStr">
        <is>
          <t>311</t>
        </is>
      </c>
      <c r="D997" t="n">
        <v>35.1</v>
      </c>
      <c r="E997" t="n">
        <v>26.7</v>
      </c>
      <c r="F997" t="n">
        <v>25.4</v>
      </c>
      <c r="G997" t="n">
        <v>9.800000000000001</v>
      </c>
      <c r="H997" t="n">
        <v>63.4</v>
      </c>
      <c r="I997" t="n">
        <v>55</v>
      </c>
      <c r="J997" t="n">
        <v>17</v>
      </c>
      <c r="K997" t="n">
        <v>78.09999999999999</v>
      </c>
      <c r="L997" t="n">
        <v>21.5</v>
      </c>
      <c r="M997" t="n">
        <v>35.7</v>
      </c>
      <c r="N997" t="inlineStr">
        <is>
          <t>251–300</t>
        </is>
      </c>
      <c r="O997" t="inlineStr">
        <is>
          <t>53.1–55.8</t>
        </is>
      </c>
      <c r="P997" t="n">
        <v>46</v>
      </c>
      <c r="Q997" t="n">
        <v>41.4</v>
      </c>
      <c r="R997" t="n">
        <v>73.3</v>
      </c>
      <c r="S997" t="n">
        <v>79.09999999999999</v>
      </c>
      <c r="T997" t="n">
        <v>61.8</v>
      </c>
      <c r="U997" t="inlineStr">
        <is>
          <t>31,391</t>
        </is>
      </c>
      <c r="V997" t="n">
        <v>15.9</v>
      </c>
      <c r="W997" t="inlineStr">
        <is>
          <t>11%</t>
        </is>
      </c>
      <c r="X997" t="inlineStr">
        <is>
          <t>49 : 51</t>
        </is>
      </c>
      <c r="Y997" t="n">
        <v>311</v>
      </c>
      <c r="Z997" t="n">
        <v>251</v>
      </c>
      <c r="AA997" t="n">
        <v>54.45</v>
      </c>
      <c r="AB997" t="inlineStr">
        <is>
          <t>U0996</t>
        </is>
      </c>
      <c r="AC997" t="inlineStr">
        <is>
          <t>UN</t>
        </is>
      </c>
      <c r="AD997" t="n">
        <v>35.1</v>
      </c>
      <c r="AE997" t="n">
        <v>63.4</v>
      </c>
      <c r="AF997" t="n">
        <v>15.9</v>
      </c>
      <c r="AG997" t="inlineStr">
        <is>
          <t>1:15.9</t>
        </is>
      </c>
      <c r="AH997" t="inlineStr">
        <is>
          <t>11%</t>
        </is>
      </c>
      <c r="AI997" t="n">
        <v>26.7</v>
      </c>
      <c r="AJ997" t="n">
        <v>49.25</v>
      </c>
    </row>
    <row r="998">
      <c r="A998" t="inlineStr">
        <is>
          <t>North-Caucasus Federal University</t>
        </is>
      </c>
      <c r="B998" t="inlineStr">
        <is>
          <t>Russian Federation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>
        <is>
          <t>1501+</t>
        </is>
      </c>
      <c r="O998" t="inlineStr">
        <is>
          <t>9.7–22.7</t>
        </is>
      </c>
      <c r="P998" t="n">
        <v>27.8</v>
      </c>
      <c r="Q998" t="n">
        <v>9</v>
      </c>
      <c r="R998" t="n">
        <v>9.1</v>
      </c>
      <c r="S998" t="n">
        <v>17.4</v>
      </c>
      <c r="T998" t="n">
        <v>33.3</v>
      </c>
      <c r="U998" t="inlineStr">
        <is>
          <t>18,917</t>
        </is>
      </c>
      <c r="V998" t="n">
        <v>8</v>
      </c>
      <c r="W998" t="inlineStr">
        <is>
          <t>11%</t>
        </is>
      </c>
      <c r="X998" t="inlineStr">
        <is>
          <t>51 : 49</t>
        </is>
      </c>
      <c r="Y998" t="inlineStr"/>
      <c r="Z998" t="n">
        <v>1501</v>
      </c>
      <c r="AA998" t="n">
        <v>16.2</v>
      </c>
      <c r="AB998" t="inlineStr">
        <is>
          <t>U0997</t>
        </is>
      </c>
      <c r="AC998" t="inlineStr">
        <is>
          <t>RU</t>
        </is>
      </c>
      <c r="AD998" t="n">
        <v>16.2</v>
      </c>
      <c r="AE998" t="n">
        <v>9.1</v>
      </c>
      <c r="AF998" t="n">
        <v>8</v>
      </c>
      <c r="AG998" t="inlineStr">
        <is>
          <t>1:8.0</t>
        </is>
      </c>
      <c r="AH998" t="inlineStr">
        <is>
          <t>11%</t>
        </is>
      </c>
      <c r="AI998" t="inlineStr"/>
      <c r="AJ998" t="n">
        <v>8.92</v>
      </c>
    </row>
    <row r="999">
      <c r="A999" t="inlineStr">
        <is>
          <t>North China Electric Power University</t>
        </is>
      </c>
      <c r="B999" t="inlineStr">
        <is>
          <t>China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>
        <is>
          <t>801–1000</t>
        </is>
      </c>
      <c r="O999" t="inlineStr">
        <is>
          <t>32.7–36.9</t>
        </is>
      </c>
      <c r="P999" t="n">
        <v>22</v>
      </c>
      <c r="Q999" t="n">
        <v>23.1</v>
      </c>
      <c r="R999" t="n">
        <v>51.4</v>
      </c>
      <c r="S999" t="n">
        <v>60.1</v>
      </c>
      <c r="T999" t="n">
        <v>22.4</v>
      </c>
      <c r="U999" t="inlineStr">
        <is>
          <t>36,736</t>
        </is>
      </c>
      <c r="V999" t="n">
        <v>18.6</v>
      </c>
      <c r="W999" t="inlineStr">
        <is>
          <t>3%</t>
        </is>
      </c>
      <c r="X999" t="inlineStr">
        <is>
          <t>38 : 62</t>
        </is>
      </c>
      <c r="Y999" t="inlineStr"/>
      <c r="Z999" t="n">
        <v>801</v>
      </c>
      <c r="AA999" t="n">
        <v>34.8</v>
      </c>
      <c r="AB999" t="inlineStr">
        <is>
          <t>U0998</t>
        </is>
      </c>
      <c r="AC999" t="inlineStr">
        <is>
          <t>CH</t>
        </is>
      </c>
      <c r="AD999" t="n">
        <v>34.8</v>
      </c>
      <c r="AE999" t="n">
        <v>51.4</v>
      </c>
      <c r="AF999" t="n">
        <v>18.6</v>
      </c>
      <c r="AG999" t="inlineStr">
        <is>
          <t>1:18.6</t>
        </is>
      </c>
      <c r="AH999" t="inlineStr">
        <is>
          <t>3%</t>
        </is>
      </c>
      <c r="AI999" t="inlineStr"/>
      <c r="AJ999" t="n">
        <v>26.49</v>
      </c>
    </row>
    <row r="1000">
      <c r="A1000" t="inlineStr">
        <is>
          <t>North-Eastern Federal University</t>
        </is>
      </c>
      <c r="B1000" t="inlineStr">
        <is>
          <t>Russian Federation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>
        <is>
          <t>1501+</t>
        </is>
      </c>
      <c r="O1000" t="inlineStr">
        <is>
          <t>9.7–22.7</t>
        </is>
      </c>
      <c r="P1000" t="n">
        <v>24.7</v>
      </c>
      <c r="Q1000" t="n">
        <v>10.1</v>
      </c>
      <c r="R1000" t="n">
        <v>11.2</v>
      </c>
      <c r="S1000" t="n">
        <v>17.5</v>
      </c>
      <c r="T1000" t="n">
        <v>26.5</v>
      </c>
      <c r="U1000" t="inlineStr">
        <is>
          <t>12,179</t>
        </is>
      </c>
      <c r="V1000" t="n">
        <v>12.2</v>
      </c>
      <c r="W1000" t="inlineStr">
        <is>
          <t>4%</t>
        </is>
      </c>
      <c r="X1000" t="inlineStr">
        <is>
          <t>55 : 45</t>
        </is>
      </c>
      <c r="Y1000" t="inlineStr"/>
      <c r="Z1000" t="n">
        <v>1501</v>
      </c>
      <c r="AA1000" t="n">
        <v>16.2</v>
      </c>
      <c r="AB1000" t="inlineStr">
        <is>
          <t>U0999</t>
        </is>
      </c>
      <c r="AC1000" t="inlineStr">
        <is>
          <t>RU</t>
        </is>
      </c>
      <c r="AD1000" t="n">
        <v>16.2</v>
      </c>
      <c r="AE1000" t="n">
        <v>11.2</v>
      </c>
      <c r="AF1000" t="n">
        <v>12.2</v>
      </c>
      <c r="AG1000" t="inlineStr">
        <is>
          <t>1:12.2</t>
        </is>
      </c>
      <c r="AH1000" t="inlineStr">
        <is>
          <t>4%</t>
        </is>
      </c>
      <c r="AI1000" t="inlineStr"/>
      <c r="AJ1000" t="n">
        <v>8.49</v>
      </c>
    </row>
    <row r="1001">
      <c r="A1001" t="inlineStr">
        <is>
          <t>North South University</t>
        </is>
      </c>
      <c r="B1001" t="inlineStr">
        <is>
          <t>Bangladesh</t>
        </is>
      </c>
      <c r="C1001" t="inlineStr">
        <is>
          <t>901-950</t>
        </is>
      </c>
      <c r="D1001" t="inlineStr"/>
      <c r="E1001" t="n">
        <v>13.3</v>
      </c>
      <c r="F1001" t="n">
        <v>48.1</v>
      </c>
      <c r="G1001" t="n">
        <v>6.1</v>
      </c>
      <c r="H1001" t="n">
        <v>2.7</v>
      </c>
      <c r="I1001" t="n">
        <v>7.9</v>
      </c>
      <c r="J1001" t="n">
        <v>1.1</v>
      </c>
      <c r="K1001" t="n">
        <v>24.5</v>
      </c>
      <c r="L1001" t="n">
        <v>6.6</v>
      </c>
      <c r="M1001" t="n">
        <v>1.5</v>
      </c>
      <c r="N1001" t="inlineStr">
        <is>
          <t>801–1000</t>
        </is>
      </c>
      <c r="O1001" t="inlineStr">
        <is>
          <t>32.7–36.9</t>
        </is>
      </c>
      <c r="P1001" t="n">
        <v>12.9</v>
      </c>
      <c r="Q1001" t="n">
        <v>10</v>
      </c>
      <c r="R1001" t="n">
        <v>76.09999999999999</v>
      </c>
      <c r="S1001" t="n">
        <v>15.8</v>
      </c>
      <c r="T1001" t="n">
        <v>43.3</v>
      </c>
      <c r="U1001" t="inlineStr">
        <is>
          <t>18,681</t>
        </is>
      </c>
      <c r="V1001" t="n">
        <v>21.3</v>
      </c>
      <c r="W1001" t="inlineStr">
        <is>
          <t>0%</t>
        </is>
      </c>
      <c r="X1001" t="inlineStr">
        <is>
          <t>42 : 58</t>
        </is>
      </c>
      <c r="Y1001" t="n">
        <v>901</v>
      </c>
      <c r="Z1001" t="n">
        <v>801</v>
      </c>
      <c r="AA1001" t="n">
        <v>34.8</v>
      </c>
      <c r="AB1001" t="inlineStr">
        <is>
          <t>U1000</t>
        </is>
      </c>
      <c r="AC1001" t="inlineStr">
        <is>
          <t>BA</t>
        </is>
      </c>
      <c r="AD1001" t="n">
        <v>34.8</v>
      </c>
      <c r="AE1001" t="n">
        <v>2.7</v>
      </c>
      <c r="AF1001" t="n">
        <v>21.3</v>
      </c>
      <c r="AG1001" t="inlineStr">
        <is>
          <t>1:21.3</t>
        </is>
      </c>
      <c r="AH1001" t="inlineStr">
        <is>
          <t>0%</t>
        </is>
      </c>
      <c r="AI1001" t="n">
        <v>13.3</v>
      </c>
      <c r="AJ1001" t="n">
        <v>9.92</v>
      </c>
    </row>
    <row r="1002">
      <c r="A1002" t="inlineStr">
        <is>
          <t>North-West University</t>
        </is>
      </c>
      <c r="B1002" t="inlineStr">
        <is>
          <t>South Africa</t>
        </is>
      </c>
      <c r="C1002" t="inlineStr">
        <is>
          <t>851-900</t>
        </is>
      </c>
      <c r="D1002" t="inlineStr"/>
      <c r="E1002" t="n">
        <v>7.4</v>
      </c>
      <c r="F1002" t="n">
        <v>11</v>
      </c>
      <c r="G1002" t="n">
        <v>4.9</v>
      </c>
      <c r="H1002" t="n">
        <v>14.9</v>
      </c>
      <c r="I1002" t="n">
        <v>6.6</v>
      </c>
      <c r="J1002" t="n">
        <v>2</v>
      </c>
      <c r="K1002" t="n">
        <v>92.90000000000001</v>
      </c>
      <c r="L1002" t="n">
        <v>16.7</v>
      </c>
      <c r="M1002" t="n">
        <v>28.4</v>
      </c>
      <c r="N1002" t="inlineStr">
        <is>
          <t>601–800</t>
        </is>
      </c>
      <c r="O1002" t="inlineStr">
        <is>
          <t>37.0–41.8</t>
        </is>
      </c>
      <c r="P1002" t="n">
        <v>22.7</v>
      </c>
      <c r="Q1002" t="n">
        <v>18.7</v>
      </c>
      <c r="R1002" t="n">
        <v>64.3</v>
      </c>
      <c r="S1002" t="n">
        <v>48</v>
      </c>
      <c r="T1002" t="n">
        <v>56.6</v>
      </c>
      <c r="U1002" t="inlineStr">
        <is>
          <t>39,684</t>
        </is>
      </c>
      <c r="V1002" t="n">
        <v>25.5</v>
      </c>
      <c r="W1002" t="inlineStr">
        <is>
          <t>3%</t>
        </is>
      </c>
      <c r="X1002" t="inlineStr">
        <is>
          <t>61 : 39</t>
        </is>
      </c>
      <c r="Y1002" t="n">
        <v>851</v>
      </c>
      <c r="Z1002" t="n">
        <v>601</v>
      </c>
      <c r="AA1002" t="n">
        <v>39.4</v>
      </c>
      <c r="AB1002" t="inlineStr">
        <is>
          <t>U1001</t>
        </is>
      </c>
      <c r="AC1002" t="inlineStr">
        <is>
          <t>SO</t>
        </is>
      </c>
      <c r="AD1002" t="n">
        <v>39.4</v>
      </c>
      <c r="AE1002" t="n">
        <v>14.9</v>
      </c>
      <c r="AF1002" t="n">
        <v>25.5</v>
      </c>
      <c r="AG1002" t="inlineStr">
        <is>
          <t>1:25.5</t>
        </is>
      </c>
      <c r="AH1002" t="inlineStr">
        <is>
          <t>3%</t>
        </is>
      </c>
      <c r="AI1002" t="n">
        <v>7.4</v>
      </c>
      <c r="AJ1002" t="n">
        <v>21.4</v>
      </c>
    </row>
    <row r="1003">
      <c r="A1003" t="inlineStr">
        <is>
          <t>North-Western State Medical University named after I.I. Mechnikov</t>
        </is>
      </c>
      <c r="B1003" t="inlineStr">
        <is>
          <t>Russian Federation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>
        <is>
          <t>1501+</t>
        </is>
      </c>
      <c r="O1003" t="inlineStr">
        <is>
          <t>9.7–22.7</t>
        </is>
      </c>
      <c r="P1003" t="n">
        <v>26</v>
      </c>
      <c r="Q1003" t="n">
        <v>9.800000000000001</v>
      </c>
      <c r="R1003" t="n">
        <v>7.7</v>
      </c>
      <c r="S1003" t="n">
        <v>17.1</v>
      </c>
      <c r="T1003" t="n">
        <v>29.7</v>
      </c>
      <c r="U1003" t="inlineStr">
        <is>
          <t>6,539</t>
        </is>
      </c>
      <c r="V1003" t="n">
        <v>5.4</v>
      </c>
      <c r="W1003" t="inlineStr">
        <is>
          <t>11%</t>
        </is>
      </c>
      <c r="X1003" t="inlineStr">
        <is>
          <t>68 : 32</t>
        </is>
      </c>
      <c r="Y1003" t="inlineStr"/>
      <c r="Z1003" t="n">
        <v>1501</v>
      </c>
      <c r="AA1003" t="n">
        <v>16.2</v>
      </c>
      <c r="AB1003" t="inlineStr">
        <is>
          <t>U1002</t>
        </is>
      </c>
      <c r="AC1003" t="inlineStr">
        <is>
          <t>RU</t>
        </is>
      </c>
      <c r="AD1003" t="n">
        <v>16.2</v>
      </c>
      <c r="AE1003" t="n">
        <v>7.7</v>
      </c>
      <c r="AF1003" t="n">
        <v>5.4</v>
      </c>
      <c r="AG1003" t="inlineStr">
        <is>
          <t>1:5.4</t>
        </is>
      </c>
      <c r="AH1003" t="inlineStr">
        <is>
          <t>11%</t>
        </is>
      </c>
      <c r="AI1003" t="inlineStr"/>
      <c r="AJ1003" t="n">
        <v>8.039999999999999</v>
      </c>
    </row>
    <row r="1004">
      <c r="A1004" t="inlineStr">
        <is>
          <t>Northeast Normal University</t>
        </is>
      </c>
      <c r="B1004" t="inlineStr">
        <is>
          <t>China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>
        <is>
          <t>801–1000</t>
        </is>
      </c>
      <c r="O1004" t="inlineStr">
        <is>
          <t>32.7–36.9</t>
        </is>
      </c>
      <c r="P1004" t="n">
        <v>28.2</v>
      </c>
      <c r="Q1004" t="n">
        <v>15.6</v>
      </c>
      <c r="R1004" t="n">
        <v>60.9</v>
      </c>
      <c r="S1004" t="n">
        <v>45.5</v>
      </c>
      <c r="T1004" t="n">
        <v>31.1</v>
      </c>
      <c r="U1004" t="inlineStr">
        <is>
          <t>30,591</t>
        </is>
      </c>
      <c r="V1004" t="n">
        <v>18.6</v>
      </c>
      <c r="W1004" t="inlineStr">
        <is>
          <t>3%</t>
        </is>
      </c>
      <c r="X1004" t="inlineStr">
        <is>
          <t>70 : 30</t>
        </is>
      </c>
      <c r="Y1004" t="inlineStr"/>
      <c r="Z1004" t="n">
        <v>801</v>
      </c>
      <c r="AA1004" t="n">
        <v>34.8</v>
      </c>
      <c r="AB1004" t="inlineStr">
        <is>
          <t>U1003</t>
        </is>
      </c>
      <c r="AC1004" t="inlineStr">
        <is>
          <t>CH</t>
        </is>
      </c>
      <c r="AD1004" t="n">
        <v>34.8</v>
      </c>
      <c r="AE1004" t="n">
        <v>60.9</v>
      </c>
      <c r="AF1004" t="n">
        <v>18.6</v>
      </c>
      <c r="AG1004" t="inlineStr">
        <is>
          <t>1:18.6</t>
        </is>
      </c>
      <c r="AH1004" t="inlineStr">
        <is>
          <t>3%</t>
        </is>
      </c>
      <c r="AI1004" t="inlineStr"/>
      <c r="AJ1004" t="n">
        <v>27.54</v>
      </c>
    </row>
    <row r="1005">
      <c r="A1005" t="inlineStr">
        <is>
          <t>Northeastern University</t>
        </is>
      </c>
      <c r="B1005" t="inlineStr">
        <is>
          <t>United States</t>
        </is>
      </c>
      <c r="C1005" t="inlineStr">
        <is>
          <t>396</t>
        </is>
      </c>
      <c r="D1005" t="n">
        <v>29.7</v>
      </c>
      <c r="E1005" t="n">
        <v>19.2</v>
      </c>
      <c r="F1005" t="n">
        <v>11.8</v>
      </c>
      <c r="G1005" t="n">
        <v>15.4</v>
      </c>
      <c r="H1005" t="n">
        <v>24.6</v>
      </c>
      <c r="I1005" t="n">
        <v>51.6</v>
      </c>
      <c r="J1005" t="n">
        <v>96.40000000000001</v>
      </c>
      <c r="K1005" t="n">
        <v>67.3</v>
      </c>
      <c r="L1005" t="n">
        <v>44</v>
      </c>
      <c r="M1005" t="n">
        <v>72.3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n">
        <v>396</v>
      </c>
      <c r="Z1005" t="inlineStr"/>
      <c r="AA1005" t="inlineStr"/>
      <c r="AB1005" t="inlineStr">
        <is>
          <t>U1004</t>
        </is>
      </c>
      <c r="AC1005" t="inlineStr">
        <is>
          <t>UN</t>
        </is>
      </c>
      <c r="AD1005" t="n">
        <v>29.7</v>
      </c>
      <c r="AE1005" t="n">
        <v>24.6</v>
      </c>
      <c r="AF1005" t="inlineStr"/>
      <c r="AG1005" t="inlineStr"/>
      <c r="AH1005" t="inlineStr"/>
      <c r="AI1005" t="n">
        <v>19.2</v>
      </c>
      <c r="AJ1005" t="n">
        <v>20.84</v>
      </c>
    </row>
    <row r="1006">
      <c r="A1006" t="inlineStr">
        <is>
          <t>Northeastern University, China</t>
        </is>
      </c>
      <c r="B1006" t="inlineStr">
        <is>
          <t>China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>
        <is>
          <t>601–800</t>
        </is>
      </c>
      <c r="O1006" t="inlineStr">
        <is>
          <t>37.0–41.8</t>
        </is>
      </c>
      <c r="P1006" t="n">
        <v>31.5</v>
      </c>
      <c r="Q1006" t="n">
        <v>28.1</v>
      </c>
      <c r="R1006" t="n">
        <v>57.8</v>
      </c>
      <c r="S1006" t="n">
        <v>73.7</v>
      </c>
      <c r="T1006" t="n">
        <v>46.7</v>
      </c>
      <c r="U1006" t="inlineStr">
        <is>
          <t>39,996</t>
        </is>
      </c>
      <c r="V1006" t="n">
        <v>13.2</v>
      </c>
      <c r="W1006" t="inlineStr">
        <is>
          <t>3%</t>
        </is>
      </c>
      <c r="X1006" t="inlineStr"/>
      <c r="Y1006" t="inlineStr"/>
      <c r="Z1006" t="n">
        <v>601</v>
      </c>
      <c r="AA1006" t="n">
        <v>39.4</v>
      </c>
      <c r="AB1006" t="inlineStr">
        <is>
          <t>U1005</t>
        </is>
      </c>
      <c r="AC1006" t="inlineStr">
        <is>
          <t>CH</t>
        </is>
      </c>
      <c r="AD1006" t="n">
        <v>39.4</v>
      </c>
      <c r="AE1006" t="n">
        <v>57.8</v>
      </c>
      <c r="AF1006" t="n">
        <v>13.2</v>
      </c>
      <c r="AG1006" t="inlineStr">
        <is>
          <t>1:13.2</t>
        </is>
      </c>
      <c r="AH1006" t="inlineStr">
        <is>
          <t>3%</t>
        </is>
      </c>
      <c r="AI1006" t="inlineStr"/>
      <c r="AJ1006" t="n">
        <v>36.93</v>
      </c>
    </row>
    <row r="1007">
      <c r="A1007" t="inlineStr">
        <is>
          <t>Northeastern University, US</t>
        </is>
      </c>
      <c r="B1007" t="inlineStr">
        <is>
          <t>United States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>
        <is>
          <t>201–250</t>
        </is>
      </c>
      <c r="O1007" t="inlineStr">
        <is>
          <t>55.9–58.6</t>
        </is>
      </c>
      <c r="P1007" t="n">
        <v>40.2</v>
      </c>
      <c r="Q1007" t="n">
        <v>33.6</v>
      </c>
      <c r="R1007" t="n">
        <v>93.3</v>
      </c>
      <c r="S1007" t="n">
        <v>68.90000000000001</v>
      </c>
      <c r="T1007" t="n">
        <v>83.3</v>
      </c>
      <c r="U1007" t="inlineStr">
        <is>
          <t>22,269</t>
        </is>
      </c>
      <c r="V1007" t="n">
        <v>14.1</v>
      </c>
      <c r="W1007" t="inlineStr">
        <is>
          <t>32%</t>
        </is>
      </c>
      <c r="X1007" t="inlineStr">
        <is>
          <t>49 : 51</t>
        </is>
      </c>
      <c r="Y1007" t="inlineStr"/>
      <c r="Z1007" t="n">
        <v>201</v>
      </c>
      <c r="AA1007" t="n">
        <v>57.25</v>
      </c>
      <c r="AB1007" t="inlineStr">
        <is>
          <t>U1006</t>
        </is>
      </c>
      <c r="AC1007" t="inlineStr">
        <is>
          <t>UN</t>
        </is>
      </c>
      <c r="AD1007" t="n">
        <v>57.25</v>
      </c>
      <c r="AE1007" t="n">
        <v>93.3</v>
      </c>
      <c r="AF1007" t="n">
        <v>14.1</v>
      </c>
      <c r="AG1007" t="inlineStr">
        <is>
          <t>1:14.1</t>
        </is>
      </c>
      <c r="AH1007" t="inlineStr">
        <is>
          <t>32%</t>
        </is>
      </c>
      <c r="AI1007" t="inlineStr"/>
      <c r="AJ1007" t="n">
        <v>59.42</v>
      </c>
    </row>
    <row r="1008">
      <c r="A1008" t="inlineStr">
        <is>
          <t>Northern Arizona University</t>
        </is>
      </c>
      <c r="B1008" t="inlineStr">
        <is>
          <t>United States</t>
        </is>
      </c>
      <c r="C1008" t="inlineStr">
        <is>
          <t>1001-1200</t>
        </is>
      </c>
      <c r="D1008" t="inlineStr"/>
      <c r="E1008" t="n">
        <v>5.8</v>
      </c>
      <c r="F1008" t="n">
        <v>6.2</v>
      </c>
      <c r="G1008" t="n">
        <v>5.1</v>
      </c>
      <c r="H1008" t="n">
        <v>13.1</v>
      </c>
      <c r="I1008" t="n">
        <v>3</v>
      </c>
      <c r="J1008" t="n">
        <v>3.1</v>
      </c>
      <c r="K1008" t="n">
        <v>55.1</v>
      </c>
      <c r="L1008" t="n">
        <v>4.6</v>
      </c>
      <c r="M1008" t="n">
        <v>6.4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n">
        <v>1001</v>
      </c>
      <c r="Z1008" t="inlineStr"/>
      <c r="AA1008" t="inlineStr"/>
      <c r="AB1008" t="inlineStr">
        <is>
          <t>U1007</t>
        </is>
      </c>
      <c r="AC1008" t="inlineStr">
        <is>
          <t>UN</t>
        </is>
      </c>
      <c r="AD1008" t="inlineStr"/>
      <c r="AE1008" t="n">
        <v>13.1</v>
      </c>
      <c r="AF1008" t="inlineStr"/>
      <c r="AG1008" t="inlineStr"/>
      <c r="AH1008" t="inlineStr"/>
      <c r="AI1008" t="n">
        <v>5.8</v>
      </c>
      <c r="AJ1008" t="n">
        <v>17.36</v>
      </c>
    </row>
    <row r="1009">
      <c r="A1009" t="inlineStr">
        <is>
          <t>Northern Borders University</t>
        </is>
      </c>
      <c r="B1009" t="inlineStr">
        <is>
          <t>Saudi Arabia</t>
        </is>
      </c>
      <c r="C1009" t="inlineStr">
        <is>
          <t>951-1000</t>
        </is>
      </c>
      <c r="D1009" t="inlineStr"/>
      <c r="E1009" t="n">
        <v>13.1</v>
      </c>
      <c r="F1009" t="n">
        <v>4.7</v>
      </c>
      <c r="G1009" t="n">
        <v>20.2</v>
      </c>
      <c r="H1009" t="n">
        <v>2.1</v>
      </c>
      <c r="I1009" t="n">
        <v>98.40000000000001</v>
      </c>
      <c r="J1009" t="n">
        <v>4.8</v>
      </c>
      <c r="K1009" t="n">
        <v>13.1</v>
      </c>
      <c r="L1009" t="n">
        <v>2.4</v>
      </c>
      <c r="M1009" t="n">
        <v>1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n">
        <v>951</v>
      </c>
      <c r="Z1009" t="inlineStr"/>
      <c r="AA1009" t="inlineStr"/>
      <c r="AB1009" t="inlineStr">
        <is>
          <t>U1008</t>
        </is>
      </c>
      <c r="AC1009" t="inlineStr">
        <is>
          <t>SA</t>
        </is>
      </c>
      <c r="AD1009" t="inlineStr"/>
      <c r="AE1009" t="n">
        <v>2.1</v>
      </c>
      <c r="AF1009" t="inlineStr"/>
      <c r="AG1009" t="inlineStr"/>
      <c r="AH1009" t="inlineStr"/>
      <c r="AI1009" t="n">
        <v>13.1</v>
      </c>
      <c r="AJ1009" t="n">
        <v>14.02</v>
      </c>
    </row>
    <row r="1010">
      <c r="A1010" t="inlineStr">
        <is>
          <t>Northern (Arctic) Federal University named after M.V. Lomonosov</t>
        </is>
      </c>
      <c r="B1010" t="inlineStr">
        <is>
          <t>Russian Federation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>
        <is>
          <t>1501+</t>
        </is>
      </c>
      <c r="O1010" t="inlineStr">
        <is>
          <t>9.7–22.7</t>
        </is>
      </c>
      <c r="P1010" t="n">
        <v>20.3</v>
      </c>
      <c r="Q1010" t="n">
        <v>11.1</v>
      </c>
      <c r="R1010" t="n">
        <v>7.7</v>
      </c>
      <c r="S1010" t="n">
        <v>19.7</v>
      </c>
      <c r="T1010" t="n">
        <v>31.9</v>
      </c>
      <c r="U1010" t="inlineStr">
        <is>
          <t>8,341</t>
        </is>
      </c>
      <c r="V1010" t="n">
        <v>14.9</v>
      </c>
      <c r="W1010" t="inlineStr">
        <is>
          <t>9%</t>
        </is>
      </c>
      <c r="X1010" t="inlineStr">
        <is>
          <t>48 : 52</t>
        </is>
      </c>
      <c r="Y1010" t="inlineStr"/>
      <c r="Z1010" t="n">
        <v>1501</v>
      </c>
      <c r="AA1010" t="n">
        <v>16.2</v>
      </c>
      <c r="AB1010" t="inlineStr">
        <is>
          <t>U1009</t>
        </is>
      </c>
      <c r="AC1010" t="inlineStr">
        <is>
          <t>RU</t>
        </is>
      </c>
      <c r="AD1010" t="n">
        <v>16.2</v>
      </c>
      <c r="AE1010" t="n">
        <v>7.7</v>
      </c>
      <c r="AF1010" t="n">
        <v>14.9</v>
      </c>
      <c r="AG1010" t="inlineStr">
        <is>
          <t>1:14.9</t>
        </is>
      </c>
      <c r="AH1010" t="inlineStr">
        <is>
          <t>9%</t>
        </is>
      </c>
      <c r="AI1010" t="inlineStr"/>
      <c r="AJ1010" t="n">
        <v>9.26</v>
      </c>
    </row>
    <row r="1011">
      <c r="A1011" t="inlineStr">
        <is>
          <t>Northern Illinois University</t>
        </is>
      </c>
      <c r="B1011" t="inlineStr">
        <is>
          <t>United States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>
        <is>
          <t>601–800</t>
        </is>
      </c>
      <c r="O1011" t="inlineStr">
        <is>
          <t>37.0–41.8</t>
        </is>
      </c>
      <c r="P1011" t="n">
        <v>26.3</v>
      </c>
      <c r="Q1011" t="n">
        <v>15.9</v>
      </c>
      <c r="R1011" t="n">
        <v>60</v>
      </c>
      <c r="S1011" t="n">
        <v>60.4</v>
      </c>
      <c r="T1011" t="n">
        <v>62.8</v>
      </c>
      <c r="U1011" t="inlineStr">
        <is>
          <t>13,248</t>
        </is>
      </c>
      <c r="V1011" t="n">
        <v>14.3</v>
      </c>
      <c r="W1011" t="inlineStr">
        <is>
          <t>6%</t>
        </is>
      </c>
      <c r="X1011" t="inlineStr">
        <is>
          <t>54 : 46</t>
        </is>
      </c>
      <c r="Y1011" t="inlineStr"/>
      <c r="Z1011" t="n">
        <v>601</v>
      </c>
      <c r="AA1011" t="n">
        <v>39.4</v>
      </c>
      <c r="AB1011" t="inlineStr">
        <is>
          <t>U1010</t>
        </is>
      </c>
      <c r="AC1011" t="inlineStr">
        <is>
          <t>UN</t>
        </is>
      </c>
      <c r="AD1011" t="n">
        <v>39.4</v>
      </c>
      <c r="AE1011" t="n">
        <v>60</v>
      </c>
      <c r="AF1011" t="n">
        <v>14.3</v>
      </c>
      <c r="AG1011" t="inlineStr">
        <is>
          <t>1:14.3</t>
        </is>
      </c>
      <c r="AH1011" t="inlineStr">
        <is>
          <t>6%</t>
        </is>
      </c>
      <c r="AI1011" t="inlineStr"/>
      <c r="AJ1011" t="n">
        <v>35.1</v>
      </c>
    </row>
    <row r="1012">
      <c r="A1012" t="inlineStr">
        <is>
          <t>Northumbria University</t>
        </is>
      </c>
      <c r="B1012" t="inlineStr">
        <is>
          <t>United Kingdom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>
        <is>
          <t>501–600</t>
        </is>
      </c>
      <c r="O1012" t="inlineStr">
        <is>
          <t>41.9–45.3</t>
        </is>
      </c>
      <c r="P1012" t="n">
        <v>21.5</v>
      </c>
      <c r="Q1012" t="n">
        <v>22.7</v>
      </c>
      <c r="R1012" t="n">
        <v>75.8</v>
      </c>
      <c r="S1012" t="n">
        <v>40.4</v>
      </c>
      <c r="T1012" t="n">
        <v>90</v>
      </c>
      <c r="U1012" t="inlineStr">
        <is>
          <t>23,815</t>
        </is>
      </c>
      <c r="V1012" t="n">
        <v>16.1</v>
      </c>
      <c r="W1012" t="inlineStr">
        <is>
          <t>22%</t>
        </is>
      </c>
      <c r="X1012" t="inlineStr">
        <is>
          <t>54 : 46</t>
        </is>
      </c>
      <c r="Y1012" t="inlineStr"/>
      <c r="Z1012" t="n">
        <v>501</v>
      </c>
      <c r="AA1012" t="n">
        <v>43.59999999999999</v>
      </c>
      <c r="AB1012" t="inlineStr">
        <is>
          <t>U1011</t>
        </is>
      </c>
      <c r="AC1012" t="inlineStr">
        <is>
          <t>UN</t>
        </is>
      </c>
      <c r="AD1012" t="n">
        <v>43.59999999999999</v>
      </c>
      <c r="AE1012" t="n">
        <v>75.8</v>
      </c>
      <c r="AF1012" t="n">
        <v>16.1</v>
      </c>
      <c r="AG1012" t="inlineStr">
        <is>
          <t>1:16.1</t>
        </is>
      </c>
      <c r="AH1012" t="inlineStr">
        <is>
          <t>22%</t>
        </is>
      </c>
      <c r="AI1012" t="inlineStr"/>
      <c r="AJ1012" t="n">
        <v>50.02</v>
      </c>
    </row>
    <row r="1013">
      <c r="A1013" t="inlineStr">
        <is>
          <t>Northumbria University at Newcastle</t>
        </is>
      </c>
      <c r="B1013" t="inlineStr">
        <is>
          <t>United Kingdom</t>
        </is>
      </c>
      <c r="C1013" t="inlineStr">
        <is>
          <t>535</t>
        </is>
      </c>
      <c r="D1013" t="n">
        <v>22.9</v>
      </c>
      <c r="E1013" t="n">
        <v>10.9</v>
      </c>
      <c r="F1013" t="n">
        <v>10.8</v>
      </c>
      <c r="G1013" t="n">
        <v>11.8</v>
      </c>
      <c r="H1013" t="n">
        <v>15.8</v>
      </c>
      <c r="I1013" t="n">
        <v>70.7</v>
      </c>
      <c r="J1013" t="n">
        <v>56.2</v>
      </c>
      <c r="K1013" t="n">
        <v>78.40000000000001</v>
      </c>
      <c r="L1013" t="n">
        <v>14</v>
      </c>
      <c r="M1013" t="n">
        <v>75.3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n">
        <v>535</v>
      </c>
      <c r="Z1013" t="inlineStr"/>
      <c r="AA1013" t="inlineStr"/>
      <c r="AB1013" t="inlineStr">
        <is>
          <t>U1012</t>
        </is>
      </c>
      <c r="AC1013" t="inlineStr">
        <is>
          <t>UN</t>
        </is>
      </c>
      <c r="AD1013" t="n">
        <v>22.9</v>
      </c>
      <c r="AE1013" t="n">
        <v>15.8</v>
      </c>
      <c r="AF1013" t="inlineStr"/>
      <c r="AG1013" t="inlineStr"/>
      <c r="AH1013" t="inlineStr"/>
      <c r="AI1013" t="n">
        <v>10.9</v>
      </c>
      <c r="AJ1013" t="n">
        <v>18.18</v>
      </c>
    </row>
    <row r="1014">
      <c r="A1014" t="inlineStr">
        <is>
          <t>Northwest Agriculture and Forestry University</t>
        </is>
      </c>
      <c r="B1014" t="inlineStr">
        <is>
          <t>China</t>
        </is>
      </c>
      <c r="C1014" t="inlineStr">
        <is>
          <t>851-900</t>
        </is>
      </c>
      <c r="D1014" t="inlineStr"/>
      <c r="E1014" t="n">
        <v>4.5</v>
      </c>
      <c r="F1014" t="n">
        <v>1.4</v>
      </c>
      <c r="G1014" t="n">
        <v>28.5</v>
      </c>
      <c r="H1014" t="n">
        <v>36.8</v>
      </c>
      <c r="I1014" t="inlineStr"/>
      <c r="J1014" t="n">
        <v>1.4</v>
      </c>
      <c r="K1014" t="n">
        <v>58.8</v>
      </c>
      <c r="L1014" t="n">
        <v>3</v>
      </c>
      <c r="M1014" t="n">
        <v>1.6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n">
        <v>851</v>
      </c>
      <c r="Z1014" t="inlineStr"/>
      <c r="AA1014" t="inlineStr"/>
      <c r="AB1014" t="inlineStr">
        <is>
          <t>U1013</t>
        </is>
      </c>
      <c r="AC1014" t="inlineStr">
        <is>
          <t>CH</t>
        </is>
      </c>
      <c r="AD1014" t="inlineStr"/>
      <c r="AE1014" t="n">
        <v>36.8</v>
      </c>
      <c r="AF1014" t="inlineStr"/>
      <c r="AG1014" t="inlineStr"/>
      <c r="AH1014" t="inlineStr"/>
      <c r="AI1014" t="n">
        <v>4.5</v>
      </c>
      <c r="AJ1014" t="n">
        <v>24.54</v>
      </c>
    </row>
    <row r="1015">
      <c r="A1015" t="inlineStr">
        <is>
          <t>Northwest University (China)</t>
        </is>
      </c>
      <c r="B1015" t="inlineStr">
        <is>
          <t>China</t>
        </is>
      </c>
      <c r="C1015" t="inlineStr">
        <is>
          <t>1001-1200</t>
        </is>
      </c>
      <c r="D1015" t="inlineStr"/>
      <c r="E1015" t="n">
        <v>4</v>
      </c>
      <c r="F1015" t="n">
        <v>1.4</v>
      </c>
      <c r="G1015" t="n">
        <v>48.8</v>
      </c>
      <c r="H1015" t="n">
        <v>17.2</v>
      </c>
      <c r="I1015" t="n">
        <v>3.5</v>
      </c>
      <c r="J1015" t="n">
        <v>2.6</v>
      </c>
      <c r="K1015" t="n">
        <v>33.9</v>
      </c>
      <c r="L1015" t="n">
        <v>3</v>
      </c>
      <c r="M1015" t="n">
        <v>1.4</v>
      </c>
      <c r="N1015" t="inlineStr">
        <is>
          <t>1001–1200</t>
        </is>
      </c>
      <c r="O1015" t="inlineStr">
        <is>
          <t>28.3–32.6</t>
        </is>
      </c>
      <c r="P1015" t="n">
        <v>24.4</v>
      </c>
      <c r="Q1015" t="n">
        <v>15.3</v>
      </c>
      <c r="R1015" t="n">
        <v>51.5</v>
      </c>
      <c r="S1015" t="n">
        <v>35.3</v>
      </c>
      <c r="T1015" t="n">
        <v>25</v>
      </c>
      <c r="U1015" t="inlineStr">
        <is>
          <t>26,059</t>
        </is>
      </c>
      <c r="V1015" t="n">
        <v>13.3</v>
      </c>
      <c r="W1015" t="inlineStr">
        <is>
          <t>1%</t>
        </is>
      </c>
      <c r="X1015" t="inlineStr">
        <is>
          <t>52 : 48</t>
        </is>
      </c>
      <c r="Y1015" t="n">
        <v>1001</v>
      </c>
      <c r="Z1015" t="n">
        <v>1001</v>
      </c>
      <c r="AA1015" t="n">
        <v>30.45</v>
      </c>
      <c r="AB1015" t="inlineStr">
        <is>
          <t>U1014</t>
        </is>
      </c>
      <c r="AC1015" t="inlineStr">
        <is>
          <t>CH</t>
        </is>
      </c>
      <c r="AD1015" t="n">
        <v>30.45</v>
      </c>
      <c r="AE1015" t="n">
        <v>17.2</v>
      </c>
      <c r="AF1015" t="n">
        <v>13.3</v>
      </c>
      <c r="AG1015" t="inlineStr">
        <is>
          <t>1:13.3</t>
        </is>
      </c>
      <c r="AH1015" t="inlineStr">
        <is>
          <t>1%</t>
        </is>
      </c>
      <c r="AI1015" t="n">
        <v>4</v>
      </c>
      <c r="AJ1015" t="n">
        <v>12.67</v>
      </c>
    </row>
    <row r="1016">
      <c r="A1016" t="inlineStr">
        <is>
          <t>Northwestern Polytechnical University</t>
        </is>
      </c>
      <c r="B1016" t="inlineStr">
        <is>
          <t>China</t>
        </is>
      </c>
      <c r="C1016" t="inlineStr">
        <is>
          <t>547</t>
        </is>
      </c>
      <c r="D1016" t="n">
        <v>22.6</v>
      </c>
      <c r="E1016" t="n">
        <v>5.8</v>
      </c>
      <c r="F1016" t="n">
        <v>3.2</v>
      </c>
      <c r="G1016" t="n">
        <v>44.8</v>
      </c>
      <c r="H1016" t="n">
        <v>63.8</v>
      </c>
      <c r="I1016" t="n">
        <v>16.7</v>
      </c>
      <c r="J1016" t="n">
        <v>5.2</v>
      </c>
      <c r="K1016" t="n">
        <v>53.4</v>
      </c>
      <c r="L1016" t="n">
        <v>6.6</v>
      </c>
      <c r="M1016" t="n">
        <v>2.4</v>
      </c>
      <c r="N1016" t="inlineStr">
        <is>
          <t>301–350</t>
        </is>
      </c>
      <c r="O1016" t="inlineStr">
        <is>
          <t>51.1–53.0</t>
        </is>
      </c>
      <c r="P1016" t="n">
        <v>37.4</v>
      </c>
      <c r="Q1016" t="n">
        <v>40.6</v>
      </c>
      <c r="R1016" t="n">
        <v>74.7</v>
      </c>
      <c r="S1016" t="n">
        <v>86.7</v>
      </c>
      <c r="T1016" t="n">
        <v>48.4</v>
      </c>
      <c r="U1016" t="inlineStr">
        <is>
          <t>36,797</t>
        </is>
      </c>
      <c r="V1016" t="n">
        <v>14.5</v>
      </c>
      <c r="W1016" t="inlineStr">
        <is>
          <t>4%</t>
        </is>
      </c>
      <c r="X1016" t="inlineStr">
        <is>
          <t>25 : 75</t>
        </is>
      </c>
      <c r="Y1016" t="n">
        <v>547</v>
      </c>
      <c r="Z1016" t="n">
        <v>301</v>
      </c>
      <c r="AA1016" t="n">
        <v>52.05</v>
      </c>
      <c r="AB1016" t="inlineStr">
        <is>
          <t>U1015</t>
        </is>
      </c>
      <c r="AC1016" t="inlineStr">
        <is>
          <t>CH</t>
        </is>
      </c>
      <c r="AD1016" t="n">
        <v>22.6</v>
      </c>
      <c r="AE1016" t="n">
        <v>63.8</v>
      </c>
      <c r="AF1016" t="n">
        <v>14.5</v>
      </c>
      <c r="AG1016" t="inlineStr">
        <is>
          <t>1:14.5</t>
        </is>
      </c>
      <c r="AH1016" t="inlineStr">
        <is>
          <t>4%</t>
        </is>
      </c>
      <c r="AI1016" t="n">
        <v>5.8</v>
      </c>
      <c r="AJ1016" t="n">
        <v>45.71</v>
      </c>
    </row>
    <row r="1017">
      <c r="A1017" t="inlineStr">
        <is>
          <t>Northwestern University</t>
        </is>
      </c>
      <c r="B1017" t="inlineStr">
        <is>
          <t>United States</t>
        </is>
      </c>
      <c r="C1017" t="inlineStr">
        <is>
          <t>50</t>
        </is>
      </c>
      <c r="D1017" t="n">
        <v>76</v>
      </c>
      <c r="E1017" t="n">
        <v>84</v>
      </c>
      <c r="F1017" t="n">
        <v>68</v>
      </c>
      <c r="G1017" t="n">
        <v>97.59999999999999</v>
      </c>
      <c r="H1017" t="n">
        <v>67.7</v>
      </c>
      <c r="I1017" t="n">
        <v>45.4</v>
      </c>
      <c r="J1017" t="n">
        <v>52</v>
      </c>
      <c r="K1017" t="n">
        <v>89.40000000000001</v>
      </c>
      <c r="L1017" t="n">
        <v>96.8</v>
      </c>
      <c r="M1017" t="n">
        <v>55.4</v>
      </c>
      <c r="N1017" t="inlineStr">
        <is>
          <t>28</t>
        </is>
      </c>
      <c r="O1017" t="inlineStr">
        <is>
          <t>83.2</t>
        </is>
      </c>
      <c r="P1017" t="n">
        <v>72.3</v>
      </c>
      <c r="Q1017" t="n">
        <v>78.8</v>
      </c>
      <c r="R1017" t="n">
        <v>97.8</v>
      </c>
      <c r="S1017" t="n">
        <v>99.7</v>
      </c>
      <c r="T1017" t="n">
        <v>75.90000000000001</v>
      </c>
      <c r="U1017" t="inlineStr">
        <is>
          <t>18,894</t>
        </is>
      </c>
      <c r="V1017" t="n">
        <v>13.1</v>
      </c>
      <c r="W1017" t="inlineStr">
        <is>
          <t>18%</t>
        </is>
      </c>
      <c r="X1017" t="inlineStr">
        <is>
          <t>52 : 48</t>
        </is>
      </c>
      <c r="Y1017" t="n">
        <v>50</v>
      </c>
      <c r="Z1017" t="n">
        <v>28</v>
      </c>
      <c r="AA1017" t="n">
        <v>83.2</v>
      </c>
      <c r="AB1017" t="inlineStr">
        <is>
          <t>U1016</t>
        </is>
      </c>
      <c r="AC1017" t="inlineStr">
        <is>
          <t>UN</t>
        </is>
      </c>
      <c r="AD1017" t="n">
        <v>76</v>
      </c>
      <c r="AE1017" t="n">
        <v>67.7</v>
      </c>
      <c r="AF1017" t="n">
        <v>13.1</v>
      </c>
      <c r="AG1017" t="inlineStr">
        <is>
          <t>1:13.1</t>
        </is>
      </c>
      <c r="AH1017" t="inlineStr">
        <is>
          <t>18%</t>
        </is>
      </c>
      <c r="AI1017" t="n">
        <v>84</v>
      </c>
      <c r="AJ1017" t="n">
        <v>73.56</v>
      </c>
    </row>
    <row r="1018">
      <c r="A1018" t="inlineStr">
        <is>
          <t>Norwegian University of Life Sciences (UMB)</t>
        </is>
      </c>
      <c r="B1018" t="inlineStr">
        <is>
          <t>Norway</t>
        </is>
      </c>
      <c r="C1018" t="inlineStr">
        <is>
          <t>691-700</t>
        </is>
      </c>
      <c r="D1018" t="inlineStr"/>
      <c r="E1018" t="n">
        <v>5.8</v>
      </c>
      <c r="F1018" t="n">
        <v>4.3</v>
      </c>
      <c r="G1018" t="n">
        <v>100</v>
      </c>
      <c r="H1018" t="n">
        <v>8.5</v>
      </c>
      <c r="I1018" t="inlineStr"/>
      <c r="J1018" t="inlineStr"/>
      <c r="K1018" t="n">
        <v>74.7</v>
      </c>
      <c r="L1018" t="n">
        <v>18.6</v>
      </c>
      <c r="M1018" t="n">
        <v>9.9</v>
      </c>
      <c r="N1018" t="inlineStr">
        <is>
          <t>601–800</t>
        </is>
      </c>
      <c r="O1018" t="inlineStr">
        <is>
          <t>37.0–41.8</t>
        </is>
      </c>
      <c r="P1018" t="n">
        <v>32.1</v>
      </c>
      <c r="Q1018" t="n">
        <v>14.7</v>
      </c>
      <c r="R1018" t="n">
        <v>64</v>
      </c>
      <c r="S1018" t="n">
        <v>36.5</v>
      </c>
      <c r="T1018" t="n">
        <v>70.8</v>
      </c>
      <c r="U1018" t="inlineStr">
        <is>
          <t>7,275</t>
        </is>
      </c>
      <c r="V1018" t="n">
        <v>8.199999999999999</v>
      </c>
      <c r="W1018" t="inlineStr">
        <is>
          <t>12%</t>
        </is>
      </c>
      <c r="X1018" t="inlineStr">
        <is>
          <t>61 : 39</t>
        </is>
      </c>
      <c r="Y1018" t="n">
        <v>691</v>
      </c>
      <c r="Z1018" t="n">
        <v>601</v>
      </c>
      <c r="AA1018" t="n">
        <v>39.4</v>
      </c>
      <c r="AB1018" t="inlineStr">
        <is>
          <t>U1017</t>
        </is>
      </c>
      <c r="AC1018" t="inlineStr">
        <is>
          <t>NO</t>
        </is>
      </c>
      <c r="AD1018" t="n">
        <v>39.4</v>
      </c>
      <c r="AE1018" t="n">
        <v>8.5</v>
      </c>
      <c r="AF1018" t="n">
        <v>8.199999999999999</v>
      </c>
      <c r="AG1018" t="inlineStr">
        <is>
          <t>1:8.2</t>
        </is>
      </c>
      <c r="AH1018" t="inlineStr">
        <is>
          <t>12%</t>
        </is>
      </c>
      <c r="AI1018" t="n">
        <v>5.8</v>
      </c>
      <c r="AJ1018" t="n">
        <v>20.79</v>
      </c>
    </row>
    <row r="1019">
      <c r="A1019" t="inlineStr">
        <is>
          <t>Norwegian University of Science And Technology</t>
        </is>
      </c>
      <c r="B1019" t="inlineStr">
        <is>
          <t>Norway</t>
        </is>
      </c>
      <c r="C1019" t="inlineStr">
        <is>
          <t>264</t>
        </is>
      </c>
      <c r="D1019" t="n">
        <v>39.1</v>
      </c>
      <c r="E1019" t="n">
        <v>33.2</v>
      </c>
      <c r="F1019" t="n">
        <v>25.2</v>
      </c>
      <c r="G1019" t="n">
        <v>22.3</v>
      </c>
      <c r="H1019" t="n">
        <v>30.4</v>
      </c>
      <c r="I1019" t="n">
        <v>75.09999999999999</v>
      </c>
      <c r="J1019" t="n">
        <v>9.300000000000001</v>
      </c>
      <c r="K1019" t="n">
        <v>94.40000000000001</v>
      </c>
      <c r="L1019" t="n">
        <v>89.40000000000001</v>
      </c>
      <c r="M1019" t="n">
        <v>85.8</v>
      </c>
      <c r="N1019" t="inlineStr">
        <is>
          <t>301–350</t>
        </is>
      </c>
      <c r="O1019" t="inlineStr">
        <is>
          <t>51.1–53.0</t>
        </is>
      </c>
      <c r="P1019" t="n">
        <v>36</v>
      </c>
      <c r="Q1019" t="n">
        <v>38.4</v>
      </c>
      <c r="R1019" t="n">
        <v>74.7</v>
      </c>
      <c r="S1019" t="n">
        <v>67.8</v>
      </c>
      <c r="T1019" t="n">
        <v>66.2</v>
      </c>
      <c r="U1019" t="inlineStr">
        <is>
          <t>37,865</t>
        </is>
      </c>
      <c r="V1019" t="n">
        <v>15</v>
      </c>
      <c r="W1019" t="inlineStr">
        <is>
          <t>9%</t>
        </is>
      </c>
      <c r="X1019" t="inlineStr">
        <is>
          <t>49 : 51</t>
        </is>
      </c>
      <c r="Y1019" t="n">
        <v>264</v>
      </c>
      <c r="Z1019" t="n">
        <v>301</v>
      </c>
      <c r="AA1019" t="n">
        <v>52.05</v>
      </c>
      <c r="AB1019" t="inlineStr">
        <is>
          <t>U1018</t>
        </is>
      </c>
      <c r="AC1019" t="inlineStr">
        <is>
          <t>NO</t>
        </is>
      </c>
      <c r="AD1019" t="n">
        <v>39.1</v>
      </c>
      <c r="AE1019" t="n">
        <v>30.4</v>
      </c>
      <c r="AF1019" t="n">
        <v>15</v>
      </c>
      <c r="AG1019" t="inlineStr">
        <is>
          <t>1:15.0</t>
        </is>
      </c>
      <c r="AH1019" t="inlineStr">
        <is>
          <t>9%</t>
        </is>
      </c>
      <c r="AI1019" t="n">
        <v>33.2</v>
      </c>
      <c r="AJ1019" t="n">
        <v>38.74</v>
      </c>
    </row>
    <row r="1020">
      <c r="A1020" t="inlineStr">
        <is>
          <t>Nosov Magnitogorsk State Technical University</t>
        </is>
      </c>
      <c r="B1020" t="inlineStr">
        <is>
          <t>Russian Federation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>
        <is>
          <t>1501+</t>
        </is>
      </c>
      <c r="O1020" t="inlineStr">
        <is>
          <t>9.7–22.7</t>
        </is>
      </c>
      <c r="P1020" t="n">
        <v>18</v>
      </c>
      <c r="Q1020" t="n">
        <v>9.800000000000001</v>
      </c>
      <c r="R1020" t="n">
        <v>10</v>
      </c>
      <c r="S1020" t="n">
        <v>17.7</v>
      </c>
      <c r="T1020" t="n">
        <v>21</v>
      </c>
      <c r="U1020" t="inlineStr">
        <is>
          <t>7,523</t>
        </is>
      </c>
      <c r="V1020" t="n">
        <v>13.4</v>
      </c>
      <c r="W1020" t="inlineStr">
        <is>
          <t>4%</t>
        </is>
      </c>
      <c r="X1020" t="inlineStr">
        <is>
          <t>49 : 51</t>
        </is>
      </c>
      <c r="Y1020" t="inlineStr"/>
      <c r="Z1020" t="n">
        <v>1501</v>
      </c>
      <c r="AA1020" t="n">
        <v>16.2</v>
      </c>
      <c r="AB1020" t="inlineStr">
        <is>
          <t>U1019</t>
        </is>
      </c>
      <c r="AC1020" t="inlineStr">
        <is>
          <t>RU</t>
        </is>
      </c>
      <c r="AD1020" t="n">
        <v>16.2</v>
      </c>
      <c r="AE1020" t="n">
        <v>10</v>
      </c>
      <c r="AF1020" t="n">
        <v>13.4</v>
      </c>
      <c r="AG1020" t="inlineStr">
        <is>
          <t>1:13.4</t>
        </is>
      </c>
      <c r="AH1020" t="inlineStr">
        <is>
          <t>4%</t>
        </is>
      </c>
      <c r="AI1020" t="inlineStr"/>
      <c r="AJ1020" t="n">
        <v>6.64</v>
      </c>
    </row>
    <row r="1021">
      <c r="A1021" t="inlineStr">
        <is>
          <t>Nottingham Trent University</t>
        </is>
      </c>
      <c r="B1021" t="inlineStr">
        <is>
          <t>United Kingdom</t>
        </is>
      </c>
      <c r="C1021" t="inlineStr">
        <is>
          <t>592</t>
        </is>
      </c>
      <c r="D1021" t="n">
        <v>21</v>
      </c>
      <c r="E1021" t="n">
        <v>10.6</v>
      </c>
      <c r="F1021" t="n">
        <v>15.1</v>
      </c>
      <c r="G1021" t="n">
        <v>10.6</v>
      </c>
      <c r="H1021" t="n">
        <v>5.1</v>
      </c>
      <c r="I1021" t="n">
        <v>57.1</v>
      </c>
      <c r="J1021" t="n">
        <v>74</v>
      </c>
      <c r="K1021" t="n">
        <v>84.59999999999999</v>
      </c>
      <c r="L1021" t="n">
        <v>12</v>
      </c>
      <c r="M1021" t="n">
        <v>64.09999999999999</v>
      </c>
      <c r="N1021" t="inlineStr">
        <is>
          <t>501–600</t>
        </is>
      </c>
      <c r="O1021" t="inlineStr">
        <is>
          <t>41.9–45.3</t>
        </is>
      </c>
      <c r="P1021" t="n">
        <v>20.7</v>
      </c>
      <c r="Q1021" t="n">
        <v>14.3</v>
      </c>
      <c r="R1021" t="n">
        <v>84.59999999999999</v>
      </c>
      <c r="S1021" t="n">
        <v>37.3</v>
      </c>
      <c r="T1021" t="n">
        <v>88.5</v>
      </c>
      <c r="U1021" t="inlineStr">
        <is>
          <t>32,545</t>
        </is>
      </c>
      <c r="V1021" t="n">
        <v>15.4</v>
      </c>
      <c r="W1021" t="inlineStr">
        <is>
          <t>21%</t>
        </is>
      </c>
      <c r="X1021" t="inlineStr">
        <is>
          <t>55 : 45</t>
        </is>
      </c>
      <c r="Y1021" t="n">
        <v>592</v>
      </c>
      <c r="Z1021" t="n">
        <v>501</v>
      </c>
      <c r="AA1021" t="n">
        <v>43.59999999999999</v>
      </c>
      <c r="AB1021" t="inlineStr">
        <is>
          <t>U1020</t>
        </is>
      </c>
      <c r="AC1021" t="inlineStr">
        <is>
          <t>UN</t>
        </is>
      </c>
      <c r="AD1021" t="n">
        <v>21</v>
      </c>
      <c r="AE1021" t="n">
        <v>5.1</v>
      </c>
      <c r="AF1021" t="n">
        <v>15.4</v>
      </c>
      <c r="AG1021" t="inlineStr">
        <is>
          <t>1:15.4</t>
        </is>
      </c>
      <c r="AH1021" t="inlineStr">
        <is>
          <t>21%</t>
        </is>
      </c>
      <c r="AI1021" t="n">
        <v>10.6</v>
      </c>
      <c r="AJ1021" t="n">
        <v>23.84</v>
      </c>
    </row>
    <row r="1022">
      <c r="A1022" t="inlineStr">
        <is>
          <t>Nova Southeastern University</t>
        </is>
      </c>
      <c r="B1022" t="inlineStr">
        <is>
          <t>United States</t>
        </is>
      </c>
      <c r="C1022" t="inlineStr">
        <is>
          <t>1401+</t>
        </is>
      </c>
      <c r="D1022" t="inlineStr"/>
      <c r="E1022" t="n">
        <v>2.7</v>
      </c>
      <c r="F1022" t="n">
        <v>3.5</v>
      </c>
      <c r="G1022" t="n">
        <v>11.6</v>
      </c>
      <c r="H1022" t="n">
        <v>2.8</v>
      </c>
      <c r="I1022" t="n">
        <v>4.7</v>
      </c>
      <c r="J1022" t="n">
        <v>3.9</v>
      </c>
      <c r="K1022" t="n">
        <v>13.2</v>
      </c>
      <c r="L1022" t="n">
        <v>8.9</v>
      </c>
      <c r="M1022" t="n">
        <v>1.2</v>
      </c>
      <c r="N1022" t="inlineStr">
        <is>
          <t>801–1000</t>
        </is>
      </c>
      <c r="O1022" t="inlineStr">
        <is>
          <t>32.7–36.9</t>
        </is>
      </c>
      <c r="P1022" t="n">
        <v>39.1</v>
      </c>
      <c r="Q1022" t="n">
        <v>12.2</v>
      </c>
      <c r="R1022" t="n">
        <v>50.1</v>
      </c>
      <c r="S1022" t="n">
        <v>38.9</v>
      </c>
      <c r="T1022" t="n">
        <v>34.4</v>
      </c>
      <c r="U1022" t="inlineStr">
        <is>
          <t>17,973</t>
        </is>
      </c>
      <c r="V1022" t="n">
        <v>16.5</v>
      </c>
      <c r="W1022" t="inlineStr">
        <is>
          <t>4%</t>
        </is>
      </c>
      <c r="X1022" t="inlineStr">
        <is>
          <t>71 : 29</t>
        </is>
      </c>
      <c r="Y1022" t="n">
        <v>1401</v>
      </c>
      <c r="Z1022" t="n">
        <v>801</v>
      </c>
      <c r="AA1022" t="n">
        <v>34.8</v>
      </c>
      <c r="AB1022" t="inlineStr">
        <is>
          <t>U1021</t>
        </is>
      </c>
      <c r="AC1022" t="inlineStr">
        <is>
          <t>UN</t>
        </is>
      </c>
      <c r="AD1022" t="n">
        <v>34.8</v>
      </c>
      <c r="AE1022" t="n">
        <v>2.8</v>
      </c>
      <c r="AF1022" t="n">
        <v>16.5</v>
      </c>
      <c r="AG1022" t="inlineStr">
        <is>
          <t>1:16.5</t>
        </is>
      </c>
      <c r="AH1022" t="inlineStr">
        <is>
          <t>4%</t>
        </is>
      </c>
      <c r="AI1022" t="n">
        <v>2.7</v>
      </c>
      <c r="AJ1022" t="n">
        <v>8.949999999999999</v>
      </c>
    </row>
    <row r="1023">
      <c r="A1023" t="inlineStr">
        <is>
          <t>NOVA University of Lisbon</t>
        </is>
      </c>
      <c r="B1023" t="inlineStr">
        <is>
          <t>Portugal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>
        <is>
          <t>501–600</t>
        </is>
      </c>
      <c r="O1023" t="inlineStr">
        <is>
          <t>41.9–45.3</t>
        </is>
      </c>
      <c r="P1023" t="n">
        <v>29.5</v>
      </c>
      <c r="Q1023" t="n">
        <v>33.7</v>
      </c>
      <c r="R1023" t="n">
        <v>61.5</v>
      </c>
      <c r="S1023" t="n">
        <v>71.5</v>
      </c>
      <c r="T1023" t="n">
        <v>62</v>
      </c>
      <c r="U1023" t="inlineStr">
        <is>
          <t>22,140</t>
        </is>
      </c>
      <c r="V1023" t="n">
        <v>17.8</v>
      </c>
      <c r="W1023" t="inlineStr">
        <is>
          <t>20%</t>
        </is>
      </c>
      <c r="X1023" t="inlineStr">
        <is>
          <t>51 : 49</t>
        </is>
      </c>
      <c r="Y1023" t="inlineStr"/>
      <c r="Z1023" t="n">
        <v>501</v>
      </c>
      <c r="AA1023" t="n">
        <v>43.59999999999999</v>
      </c>
      <c r="AB1023" t="inlineStr">
        <is>
          <t>U1022</t>
        </is>
      </c>
      <c r="AC1023" t="inlineStr">
        <is>
          <t>PO</t>
        </is>
      </c>
      <c r="AD1023" t="n">
        <v>43.59999999999999</v>
      </c>
      <c r="AE1023" t="n">
        <v>61.5</v>
      </c>
      <c r="AF1023" t="n">
        <v>17.8</v>
      </c>
      <c r="AG1023" t="inlineStr">
        <is>
          <t>1:17.8</t>
        </is>
      </c>
      <c r="AH1023" t="inlineStr">
        <is>
          <t>20%</t>
        </is>
      </c>
      <c r="AI1023" t="inlineStr"/>
      <c r="AJ1023" t="n">
        <v>44.69</v>
      </c>
    </row>
    <row r="1024">
      <c r="A1024" t="inlineStr">
        <is>
          <t>Novosibirsk State Technical University</t>
        </is>
      </c>
      <c r="B1024" t="inlineStr">
        <is>
          <t>Russian Federation</t>
        </is>
      </c>
      <c r="C1024" t="inlineStr">
        <is>
          <t>1201-1400</t>
        </is>
      </c>
      <c r="D1024" t="inlineStr"/>
      <c r="E1024" t="n">
        <v>6</v>
      </c>
      <c r="F1024" t="n">
        <v>6.4</v>
      </c>
      <c r="G1024" t="n">
        <v>27.6</v>
      </c>
      <c r="H1024" t="n">
        <v>1.7</v>
      </c>
      <c r="I1024" t="n">
        <v>1.4</v>
      </c>
      <c r="J1024" t="n">
        <v>41.7</v>
      </c>
      <c r="K1024" t="n">
        <v>8.4</v>
      </c>
      <c r="L1024" t="n">
        <v>5.7</v>
      </c>
      <c r="M1024" t="n">
        <v>1</v>
      </c>
      <c r="N1024" t="inlineStr">
        <is>
          <t>1501+</t>
        </is>
      </c>
      <c r="O1024" t="inlineStr">
        <is>
          <t>9.7–22.7</t>
        </is>
      </c>
      <c r="P1024" t="n">
        <v>20.2</v>
      </c>
      <c r="Q1024" t="n">
        <v>12.4</v>
      </c>
      <c r="R1024" t="n">
        <v>12.8</v>
      </c>
      <c r="S1024" t="n">
        <v>23.2</v>
      </c>
      <c r="T1024" t="n">
        <v>36.1</v>
      </c>
      <c r="U1024" t="inlineStr">
        <is>
          <t>12,615</t>
        </is>
      </c>
      <c r="V1024" t="n">
        <v>14.6</v>
      </c>
      <c r="W1024" t="inlineStr">
        <is>
          <t>17%</t>
        </is>
      </c>
      <c r="X1024" t="inlineStr">
        <is>
          <t>40 : 60</t>
        </is>
      </c>
      <c r="Y1024" t="n">
        <v>1201</v>
      </c>
      <c r="Z1024" t="n">
        <v>1501</v>
      </c>
      <c r="AA1024" t="n">
        <v>16.2</v>
      </c>
      <c r="AB1024" t="inlineStr">
        <is>
          <t>U1023</t>
        </is>
      </c>
      <c r="AC1024" t="inlineStr">
        <is>
          <t>RU</t>
        </is>
      </c>
      <c r="AD1024" t="n">
        <v>16.2</v>
      </c>
      <c r="AE1024" t="n">
        <v>1.7</v>
      </c>
      <c r="AF1024" t="n">
        <v>14.6</v>
      </c>
      <c r="AG1024" t="inlineStr">
        <is>
          <t>1:14.6</t>
        </is>
      </c>
      <c r="AH1024" t="inlineStr">
        <is>
          <t>17%</t>
        </is>
      </c>
      <c r="AI1024" t="n">
        <v>6</v>
      </c>
      <c r="AJ1024" t="n">
        <v>9.140000000000001</v>
      </c>
    </row>
    <row r="1025">
      <c r="A1025" t="inlineStr">
        <is>
          <t>Novosibirsk State University</t>
        </is>
      </c>
      <c r="B1025" t="inlineStr">
        <is>
          <t>Russian Federation</t>
        </is>
      </c>
      <c r="C1025" t="inlineStr">
        <is>
          <t>442</t>
        </is>
      </c>
      <c r="D1025" t="n">
        <v>26.8</v>
      </c>
      <c r="E1025" t="n">
        <v>24.7</v>
      </c>
      <c r="F1025" t="n">
        <v>18.4</v>
      </c>
      <c r="G1025" t="n">
        <v>91</v>
      </c>
      <c r="H1025" t="n">
        <v>9.5</v>
      </c>
      <c r="I1025" t="n">
        <v>6.3</v>
      </c>
      <c r="J1025" t="n">
        <v>57</v>
      </c>
      <c r="K1025" t="n">
        <v>56.5</v>
      </c>
      <c r="L1025" t="n">
        <v>5.8</v>
      </c>
      <c r="M1025" t="n">
        <v>5.3</v>
      </c>
      <c r="N1025" t="inlineStr">
        <is>
          <t>601–800</t>
        </is>
      </c>
      <c r="O1025" t="inlineStr">
        <is>
          <t>37.0–41.8</t>
        </is>
      </c>
      <c r="P1025" t="n">
        <v>42.2</v>
      </c>
      <c r="Q1025" t="n">
        <v>36.6</v>
      </c>
      <c r="R1025" t="n">
        <v>31.6</v>
      </c>
      <c r="S1025" t="n">
        <v>40.7</v>
      </c>
      <c r="T1025" t="n">
        <v>51.9</v>
      </c>
      <c r="U1025" t="inlineStr">
        <is>
          <t>7,264</t>
        </is>
      </c>
      <c r="V1025" t="n">
        <v>6.6</v>
      </c>
      <c r="W1025" t="inlineStr">
        <is>
          <t>20%</t>
        </is>
      </c>
      <c r="X1025" t="inlineStr"/>
      <c r="Y1025" t="n">
        <v>442</v>
      </c>
      <c r="Z1025" t="n">
        <v>601</v>
      </c>
      <c r="AA1025" t="n">
        <v>39.4</v>
      </c>
      <c r="AB1025" t="inlineStr">
        <is>
          <t>U1024</t>
        </is>
      </c>
      <c r="AC1025" t="inlineStr">
        <is>
          <t>RU</t>
        </is>
      </c>
      <c r="AD1025" t="n">
        <v>26.8</v>
      </c>
      <c r="AE1025" t="n">
        <v>9.5</v>
      </c>
      <c r="AF1025" t="n">
        <v>6.6</v>
      </c>
      <c r="AG1025" t="inlineStr">
        <is>
          <t>1:6.6</t>
        </is>
      </c>
      <c r="AH1025" t="inlineStr">
        <is>
          <t>20%</t>
        </is>
      </c>
      <c r="AI1025" t="n">
        <v>24.7</v>
      </c>
      <c r="AJ1025" t="n">
        <v>28.01</v>
      </c>
    </row>
    <row r="1026">
      <c r="A1026" t="inlineStr">
        <is>
          <t>Nueva Granada Military University</t>
        </is>
      </c>
      <c r="B1026" t="inlineStr">
        <is>
          <t>Colombia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>
        <is>
          <t>1501+</t>
        </is>
      </c>
      <c r="O1026" t="inlineStr">
        <is>
          <t>9.7–22.7</t>
        </is>
      </c>
      <c r="P1026" t="n">
        <v>21.5</v>
      </c>
      <c r="Q1026" t="n">
        <v>8</v>
      </c>
      <c r="R1026" t="n">
        <v>5.3</v>
      </c>
      <c r="S1026" t="n">
        <v>15.7</v>
      </c>
      <c r="T1026" t="n">
        <v>27.7</v>
      </c>
      <c r="U1026" t="inlineStr">
        <is>
          <t>18,426</t>
        </is>
      </c>
      <c r="V1026" t="n">
        <v>9.699999999999999</v>
      </c>
      <c r="W1026" t="inlineStr">
        <is>
          <t>0%</t>
        </is>
      </c>
      <c r="X1026" t="inlineStr">
        <is>
          <t>46 : 54</t>
        </is>
      </c>
      <c r="Y1026" t="inlineStr"/>
      <c r="Z1026" t="n">
        <v>1501</v>
      </c>
      <c r="AA1026" t="n">
        <v>16.2</v>
      </c>
      <c r="AB1026" t="inlineStr">
        <is>
          <t>U1025</t>
        </is>
      </c>
      <c r="AC1026" t="inlineStr">
        <is>
          <t>CO</t>
        </is>
      </c>
      <c r="AD1026" t="n">
        <v>16.2</v>
      </c>
      <c r="AE1026" t="n">
        <v>5.3</v>
      </c>
      <c r="AF1026" t="n">
        <v>9.699999999999999</v>
      </c>
      <c r="AG1026" t="inlineStr">
        <is>
          <t>1:9.7</t>
        </is>
      </c>
      <c r="AH1026" t="inlineStr">
        <is>
          <t>0%</t>
        </is>
      </c>
      <c r="AI1026" t="inlineStr"/>
      <c r="AJ1026" t="n">
        <v>5.89</v>
      </c>
    </row>
    <row r="1027">
      <c r="A1027" t="inlineStr">
        <is>
          <t>O.P. Jindal Global University</t>
        </is>
      </c>
      <c r="B1027" t="inlineStr">
        <is>
          <t>India</t>
        </is>
      </c>
      <c r="C1027" t="inlineStr">
        <is>
          <t>1001-1200</t>
        </is>
      </c>
      <c r="D1027" t="inlineStr"/>
      <c r="E1027" t="n">
        <v>8.800000000000001</v>
      </c>
      <c r="F1027" t="n">
        <v>10</v>
      </c>
      <c r="G1027" t="n">
        <v>53.8</v>
      </c>
      <c r="H1027" t="n">
        <v>1.6</v>
      </c>
      <c r="I1027" t="n">
        <v>18</v>
      </c>
      <c r="J1027" t="n">
        <v>1.2</v>
      </c>
      <c r="K1027" t="n">
        <v>8.4</v>
      </c>
      <c r="L1027" t="n">
        <v>3.2</v>
      </c>
      <c r="M1027" t="n">
        <v>2.3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n">
        <v>1001</v>
      </c>
      <c r="Z1027" t="inlineStr"/>
      <c r="AA1027" t="inlineStr"/>
      <c r="AB1027" t="inlineStr">
        <is>
          <t>U1026</t>
        </is>
      </c>
      <c r="AC1027" t="inlineStr">
        <is>
          <t>IN</t>
        </is>
      </c>
      <c r="AD1027" t="inlineStr"/>
      <c r="AE1027" t="n">
        <v>1.6</v>
      </c>
      <c r="AF1027" t="inlineStr"/>
      <c r="AG1027" t="inlineStr"/>
      <c r="AH1027" t="inlineStr"/>
      <c r="AI1027" t="n">
        <v>8.800000000000001</v>
      </c>
      <c r="AJ1027" t="n">
        <v>13.87</v>
      </c>
    </row>
    <row r="1028">
      <c r="A1028" t="inlineStr">
        <is>
          <t>Oakland University</t>
        </is>
      </c>
      <c r="B1028" t="inlineStr">
        <is>
          <t>United States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>
        <is>
          <t>1001–1200</t>
        </is>
      </c>
      <c r="O1028" t="inlineStr">
        <is>
          <t>28.3–32.6</t>
        </is>
      </c>
      <c r="P1028" t="n">
        <v>25.5</v>
      </c>
      <c r="Q1028" t="n">
        <v>15.9</v>
      </c>
      <c r="R1028" t="n">
        <v>44.5</v>
      </c>
      <c r="S1028" t="n">
        <v>47.7</v>
      </c>
      <c r="T1028" t="n">
        <v>39.4</v>
      </c>
      <c r="U1028" t="inlineStr">
        <is>
          <t>15,046</t>
        </is>
      </c>
      <c r="V1028" t="n">
        <v>17.6</v>
      </c>
      <c r="W1028" t="inlineStr">
        <is>
          <t>4%</t>
        </is>
      </c>
      <c r="X1028" t="inlineStr">
        <is>
          <t>58 : 42</t>
        </is>
      </c>
      <c r="Y1028" t="inlineStr"/>
      <c r="Z1028" t="n">
        <v>1001</v>
      </c>
      <c r="AA1028" t="n">
        <v>30.45</v>
      </c>
      <c r="AB1028" t="inlineStr">
        <is>
          <t>U1027</t>
        </is>
      </c>
      <c r="AC1028" t="inlineStr">
        <is>
          <t>UN</t>
        </is>
      </c>
      <c r="AD1028" t="n">
        <v>30.45</v>
      </c>
      <c r="AE1028" t="n">
        <v>44.5</v>
      </c>
      <c r="AF1028" t="n">
        <v>17.6</v>
      </c>
      <c r="AG1028" t="inlineStr">
        <is>
          <t>1:17.6</t>
        </is>
      </c>
      <c r="AH1028" t="inlineStr">
        <is>
          <t>4%</t>
        </is>
      </c>
      <c r="AI1028" t="inlineStr"/>
      <c r="AJ1028" t="n">
        <v>24.74</v>
      </c>
    </row>
    <row r="1029">
      <c r="A1029" t="inlineStr">
        <is>
          <t>Obafemi Awolowo University</t>
        </is>
      </c>
      <c r="B1029" t="inlineStr">
        <is>
          <t>Nigeria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>
        <is>
          <t>1501+</t>
        </is>
      </c>
      <c r="O1029" t="inlineStr">
        <is>
          <t>9.7–22.7</t>
        </is>
      </c>
      <c r="P1029" t="n">
        <v>15.3</v>
      </c>
      <c r="Q1029" t="n">
        <v>12.3</v>
      </c>
      <c r="R1029" t="n">
        <v>32</v>
      </c>
      <c r="S1029" t="n">
        <v>19</v>
      </c>
      <c r="T1029" t="n">
        <v>37.9</v>
      </c>
      <c r="U1029" t="inlineStr">
        <is>
          <t>29,679</t>
        </is>
      </c>
      <c r="V1029" t="n">
        <v>22.5</v>
      </c>
      <c r="W1029" t="inlineStr">
        <is>
          <t>0%</t>
        </is>
      </c>
      <c r="X1029" t="inlineStr">
        <is>
          <t>45 : 55</t>
        </is>
      </c>
      <c r="Y1029" t="inlineStr"/>
      <c r="Z1029" t="n">
        <v>1501</v>
      </c>
      <c r="AA1029" t="n">
        <v>16.2</v>
      </c>
      <c r="AB1029" t="inlineStr">
        <is>
          <t>U1028</t>
        </is>
      </c>
      <c r="AC1029" t="inlineStr">
        <is>
          <t>NI</t>
        </is>
      </c>
      <c r="AD1029" t="n">
        <v>16.2</v>
      </c>
      <c r="AE1029" t="n">
        <v>32</v>
      </c>
      <c r="AF1029" t="n">
        <v>22.5</v>
      </c>
      <c r="AG1029" t="inlineStr">
        <is>
          <t>1:22.5</t>
        </is>
      </c>
      <c r="AH1029" t="inlineStr">
        <is>
          <t>0%</t>
        </is>
      </c>
      <c r="AI1029" t="inlineStr"/>
      <c r="AJ1029" t="n">
        <v>18.7</v>
      </c>
    </row>
    <row r="1030">
      <c r="A1030" t="inlineStr">
        <is>
          <t>Ocean University of China</t>
        </is>
      </c>
      <c r="B1030" t="inlineStr">
        <is>
          <t>China</t>
        </is>
      </c>
      <c r="C1030" t="inlineStr">
        <is>
          <t>801-850</t>
        </is>
      </c>
      <c r="D1030" t="inlineStr"/>
      <c r="E1030" t="n">
        <v>5.4</v>
      </c>
      <c r="F1030" t="n">
        <v>2.7</v>
      </c>
      <c r="G1030" t="n">
        <v>9.4</v>
      </c>
      <c r="H1030" t="n">
        <v>50.5</v>
      </c>
      <c r="I1030" t="n">
        <v>3.2</v>
      </c>
      <c r="J1030" t="n">
        <v>1.9</v>
      </c>
      <c r="K1030" t="n">
        <v>51.1</v>
      </c>
      <c r="L1030" t="n">
        <v>3</v>
      </c>
      <c r="M1030" t="n">
        <v>4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n">
        <v>801</v>
      </c>
      <c r="Z1030" t="inlineStr"/>
      <c r="AA1030" t="inlineStr"/>
      <c r="AB1030" t="inlineStr">
        <is>
          <t>U1029</t>
        </is>
      </c>
      <c r="AC1030" t="inlineStr">
        <is>
          <t>CH</t>
        </is>
      </c>
      <c r="AD1030" t="inlineStr"/>
      <c r="AE1030" t="n">
        <v>50.5</v>
      </c>
      <c r="AF1030" t="inlineStr"/>
      <c r="AG1030" t="inlineStr"/>
      <c r="AH1030" t="inlineStr"/>
      <c r="AI1030" t="n">
        <v>5.4</v>
      </c>
      <c r="AJ1030" t="n">
        <v>28.69</v>
      </c>
    </row>
    <row r="1031">
      <c r="A1031" t="inlineStr">
        <is>
          <t>Ochanomizu University</t>
        </is>
      </c>
      <c r="B1031" t="inlineStr">
        <is>
          <t>Japan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>
        <is>
          <t>1201–1500</t>
        </is>
      </c>
      <c r="O1031" t="inlineStr">
        <is>
          <t>22.8–28.2</t>
        </is>
      </c>
      <c r="P1031" t="n">
        <v>33.2</v>
      </c>
      <c r="Q1031" t="n">
        <v>16.5</v>
      </c>
      <c r="R1031" t="n">
        <v>19.7</v>
      </c>
      <c r="S1031" t="n">
        <v>36.5</v>
      </c>
      <c r="T1031" t="n">
        <v>38.2</v>
      </c>
      <c r="U1031" t="inlineStr">
        <is>
          <t>2,678</t>
        </is>
      </c>
      <c r="V1031" t="n">
        <v>14.5</v>
      </c>
      <c r="W1031" t="inlineStr">
        <is>
          <t>6%</t>
        </is>
      </c>
      <c r="X1031" t="inlineStr">
        <is>
          <t>100 : 0</t>
        </is>
      </c>
      <c r="Y1031" t="inlineStr"/>
      <c r="Z1031" t="n">
        <v>1201</v>
      </c>
      <c r="AA1031" t="n">
        <v>25.5</v>
      </c>
      <c r="AB1031" t="inlineStr">
        <is>
          <t>U1030</t>
        </is>
      </c>
      <c r="AC1031" t="inlineStr">
        <is>
          <t>JA</t>
        </is>
      </c>
      <c r="AD1031" t="n">
        <v>25.5</v>
      </c>
      <c r="AE1031" t="n">
        <v>19.7</v>
      </c>
      <c r="AF1031" t="n">
        <v>14.5</v>
      </c>
      <c r="AG1031" t="inlineStr">
        <is>
          <t>1:14.5</t>
        </is>
      </c>
      <c r="AH1031" t="inlineStr">
        <is>
          <t>6%</t>
        </is>
      </c>
      <c r="AI1031" t="inlineStr"/>
      <c r="AJ1031" t="n">
        <v>17.25</v>
      </c>
    </row>
    <row r="1032">
      <c r="A1032" t="inlineStr">
        <is>
          <t>Odessa I.I. Mechnikov National University</t>
        </is>
      </c>
      <c r="B1032" t="inlineStr">
        <is>
          <t>Ukraine</t>
        </is>
      </c>
      <c r="C1032" t="inlineStr">
        <is>
          <t>1201-1400</t>
        </is>
      </c>
      <c r="D1032" t="inlineStr"/>
      <c r="E1032" t="n">
        <v>3.9</v>
      </c>
      <c r="F1032" t="n">
        <v>2.3</v>
      </c>
      <c r="G1032" t="n">
        <v>55.4</v>
      </c>
      <c r="H1032" t="n">
        <v>1.3</v>
      </c>
      <c r="I1032" t="n">
        <v>1.8</v>
      </c>
      <c r="J1032" t="n">
        <v>3.3</v>
      </c>
      <c r="K1032" t="n">
        <v>10.3</v>
      </c>
      <c r="L1032" t="n">
        <v>6.3</v>
      </c>
      <c r="M1032" t="n">
        <v>1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n">
        <v>1201</v>
      </c>
      <c r="Z1032" t="inlineStr"/>
      <c r="AA1032" t="inlineStr"/>
      <c r="AB1032" t="inlineStr">
        <is>
          <t>U1031</t>
        </is>
      </c>
      <c r="AC1032" t="inlineStr">
        <is>
          <t>UK</t>
        </is>
      </c>
      <c r="AD1032" t="inlineStr"/>
      <c r="AE1032" t="n">
        <v>1.3</v>
      </c>
      <c r="AF1032" t="inlineStr"/>
      <c r="AG1032" t="inlineStr"/>
      <c r="AH1032" t="inlineStr"/>
      <c r="AI1032" t="n">
        <v>3.9</v>
      </c>
      <c r="AJ1032" t="n">
        <v>13.78</v>
      </c>
    </row>
    <row r="1033">
      <c r="A1033" t="inlineStr">
        <is>
          <t>Ogarev Mordovia State University</t>
        </is>
      </c>
      <c r="B1033" t="inlineStr">
        <is>
          <t>Russian Federation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>
        <is>
          <t>1501+</t>
        </is>
      </c>
      <c r="O1033" t="inlineStr">
        <is>
          <t>9.7–22.7</t>
        </is>
      </c>
      <c r="P1033" t="n">
        <v>20.2</v>
      </c>
      <c r="Q1033" t="n">
        <v>9.199999999999999</v>
      </c>
      <c r="R1033" t="n">
        <v>5.8</v>
      </c>
      <c r="S1033" t="n">
        <v>17.2</v>
      </c>
      <c r="T1033" t="n">
        <v>37.2</v>
      </c>
      <c r="U1033" t="inlineStr">
        <is>
          <t>11,795</t>
        </is>
      </c>
      <c r="V1033" t="n">
        <v>11.6</v>
      </c>
      <c r="W1033" t="inlineStr">
        <is>
          <t>17%</t>
        </is>
      </c>
      <c r="X1033" t="inlineStr">
        <is>
          <t>49 : 51</t>
        </is>
      </c>
      <c r="Y1033" t="inlineStr"/>
      <c r="Z1033" t="n">
        <v>1501</v>
      </c>
      <c r="AA1033" t="n">
        <v>16.2</v>
      </c>
      <c r="AB1033" t="inlineStr">
        <is>
          <t>U1032</t>
        </is>
      </c>
      <c r="AC1033" t="inlineStr">
        <is>
          <t>RU</t>
        </is>
      </c>
      <c r="AD1033" t="n">
        <v>16.2</v>
      </c>
      <c r="AE1033" t="n">
        <v>5.8</v>
      </c>
      <c r="AF1033" t="n">
        <v>11.6</v>
      </c>
      <c r="AG1033" t="inlineStr">
        <is>
          <t>1:11.6</t>
        </is>
      </c>
      <c r="AH1033" t="inlineStr">
        <is>
          <t>17%</t>
        </is>
      </c>
      <c r="AI1033" t="inlineStr"/>
      <c r="AJ1033" t="n">
        <v>8.970000000000001</v>
      </c>
    </row>
    <row r="1034">
      <c r="A1034" t="inlineStr">
        <is>
          <t>The Ohio State University</t>
        </is>
      </c>
      <c r="B1034" t="inlineStr">
        <is>
          <t>United States</t>
        </is>
      </c>
      <c r="C1034" t="inlineStr">
        <is>
          <t>208</t>
        </is>
      </c>
      <c r="D1034" t="n">
        <v>45.6</v>
      </c>
      <c r="E1034" t="n">
        <v>58.6</v>
      </c>
      <c r="F1034" t="n">
        <v>50.4</v>
      </c>
      <c r="G1034" t="n">
        <v>39.5</v>
      </c>
      <c r="H1034" t="n">
        <v>31.2</v>
      </c>
      <c r="I1034" t="n">
        <v>13.4</v>
      </c>
      <c r="J1034" t="n">
        <v>10.6</v>
      </c>
      <c r="K1034" t="n">
        <v>94.59999999999999</v>
      </c>
      <c r="L1034" t="n">
        <v>45.3</v>
      </c>
      <c r="M1034" t="n">
        <v>50.8</v>
      </c>
      <c r="N1034">
        <f>99</f>
        <v/>
      </c>
      <c r="O1034" t="inlineStr">
        <is>
          <t>66.7</t>
        </is>
      </c>
      <c r="P1034" t="n">
        <v>55.8</v>
      </c>
      <c r="Q1034" t="n">
        <v>52.7</v>
      </c>
      <c r="R1034" t="n">
        <v>88.40000000000001</v>
      </c>
      <c r="S1034" t="n">
        <v>85</v>
      </c>
      <c r="T1034" t="n">
        <v>67.3</v>
      </c>
      <c r="U1034" t="inlineStr">
        <is>
          <t>55,538</t>
        </is>
      </c>
      <c r="V1034" t="n">
        <v>11.4</v>
      </c>
      <c r="W1034" t="inlineStr">
        <is>
          <t>11%</t>
        </is>
      </c>
      <c r="X1034" t="inlineStr">
        <is>
          <t>51 : 49</t>
        </is>
      </c>
      <c r="Y1034" t="n">
        <v>208</v>
      </c>
      <c r="Z1034" t="n">
        <v>99</v>
      </c>
      <c r="AA1034" t="n">
        <v>66.7</v>
      </c>
      <c r="AB1034" t="inlineStr">
        <is>
          <t>U1033</t>
        </is>
      </c>
      <c r="AC1034" t="inlineStr">
        <is>
          <t>UN</t>
        </is>
      </c>
      <c r="AD1034" t="n">
        <v>45.6</v>
      </c>
      <c r="AE1034" t="n">
        <v>31.2</v>
      </c>
      <c r="AF1034" t="n">
        <v>11.4</v>
      </c>
      <c r="AG1034" t="inlineStr">
        <is>
          <t>1:11.4</t>
        </is>
      </c>
      <c r="AH1034" t="inlineStr">
        <is>
          <t>11%</t>
        </is>
      </c>
      <c r="AI1034" t="n">
        <v>58.6</v>
      </c>
      <c r="AJ1034" t="n">
        <v>46.74</v>
      </c>
    </row>
    <row r="1035">
      <c r="A1035" t="inlineStr">
        <is>
          <t>Ohio University</t>
        </is>
      </c>
      <c r="B1035" t="inlineStr">
        <is>
          <t>United States</t>
        </is>
      </c>
      <c r="C1035" t="inlineStr">
        <is>
          <t>1001-1200</t>
        </is>
      </c>
      <c r="D1035" t="inlineStr"/>
      <c r="E1035" t="n">
        <v>8.1</v>
      </c>
      <c r="F1035" t="n">
        <v>5.5</v>
      </c>
      <c r="G1035" t="n">
        <v>5.7</v>
      </c>
      <c r="H1035" t="n">
        <v>10.5</v>
      </c>
      <c r="I1035" t="n">
        <v>2.4</v>
      </c>
      <c r="J1035" t="n">
        <v>3.3</v>
      </c>
      <c r="K1035" t="n">
        <v>41.4</v>
      </c>
      <c r="L1035" t="n">
        <v>16.9</v>
      </c>
      <c r="M1035" t="n">
        <v>2.7</v>
      </c>
      <c r="N1035" t="inlineStr">
        <is>
          <t>601–800</t>
        </is>
      </c>
      <c r="O1035" t="inlineStr">
        <is>
          <t>37.0–41.8</t>
        </is>
      </c>
      <c r="P1035" t="n">
        <v>30.6</v>
      </c>
      <c r="Q1035" t="n">
        <v>20.1</v>
      </c>
      <c r="R1035" t="n">
        <v>61.2</v>
      </c>
      <c r="S1035" t="n">
        <v>54.7</v>
      </c>
      <c r="T1035" t="n">
        <v>37.2</v>
      </c>
      <c r="U1035" t="inlineStr">
        <is>
          <t>20,948</t>
        </is>
      </c>
      <c r="V1035" t="n">
        <v>19.9</v>
      </c>
      <c r="W1035" t="inlineStr">
        <is>
          <t>4%</t>
        </is>
      </c>
      <c r="X1035" t="inlineStr">
        <is>
          <t>58 : 42</t>
        </is>
      </c>
      <c r="Y1035" t="n">
        <v>1001</v>
      </c>
      <c r="Z1035" t="n">
        <v>601</v>
      </c>
      <c r="AA1035" t="n">
        <v>39.4</v>
      </c>
      <c r="AB1035" t="inlineStr">
        <is>
          <t>U1034</t>
        </is>
      </c>
      <c r="AC1035" t="inlineStr">
        <is>
          <t>UN</t>
        </is>
      </c>
      <c r="AD1035" t="n">
        <v>39.4</v>
      </c>
      <c r="AE1035" t="n">
        <v>10.5</v>
      </c>
      <c r="AF1035" t="n">
        <v>19.9</v>
      </c>
      <c r="AG1035" t="inlineStr">
        <is>
          <t>1:19.9</t>
        </is>
      </c>
      <c r="AH1035" t="inlineStr">
        <is>
          <t>4%</t>
        </is>
      </c>
      <c r="AI1035" t="n">
        <v>8.1</v>
      </c>
      <c r="AJ1035" t="n">
        <v>16.11</v>
      </c>
    </row>
    <row r="1036">
      <c r="A1036" t="inlineStr">
        <is>
          <t>Oita University</t>
        </is>
      </c>
      <c r="B1036" t="inlineStr">
        <is>
          <t>Japan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>
        <is>
          <t>1501+</t>
        </is>
      </c>
      <c r="O1036" t="inlineStr">
        <is>
          <t>9.7–22.7</t>
        </is>
      </c>
      <c r="P1036" t="n">
        <v>25.8</v>
      </c>
      <c r="Q1036" t="n">
        <v>11</v>
      </c>
      <c r="R1036" t="n">
        <v>20</v>
      </c>
      <c r="S1036" t="n">
        <v>35.3</v>
      </c>
      <c r="T1036" t="n">
        <v>22.9</v>
      </c>
      <c r="U1036" t="inlineStr">
        <is>
          <t>5,381</t>
        </is>
      </c>
      <c r="V1036" t="n">
        <v>8.5</v>
      </c>
      <c r="W1036" t="inlineStr">
        <is>
          <t>2%</t>
        </is>
      </c>
      <c r="X1036" t="inlineStr">
        <is>
          <t>38 : 62</t>
        </is>
      </c>
      <c r="Y1036" t="inlineStr"/>
      <c r="Z1036" t="n">
        <v>1501</v>
      </c>
      <c r="AA1036" t="n">
        <v>16.2</v>
      </c>
      <c r="AB1036" t="inlineStr">
        <is>
          <t>U1035</t>
        </is>
      </c>
      <c r="AC1036" t="inlineStr">
        <is>
          <t>JA</t>
        </is>
      </c>
      <c r="AD1036" t="n">
        <v>16.2</v>
      </c>
      <c r="AE1036" t="n">
        <v>20</v>
      </c>
      <c r="AF1036" t="n">
        <v>8.5</v>
      </c>
      <c r="AG1036" t="inlineStr">
        <is>
          <t>1:8.5</t>
        </is>
      </c>
      <c r="AH1036" t="inlineStr">
        <is>
          <t>2%</t>
        </is>
      </c>
      <c r="AI1036" t="inlineStr"/>
      <c r="AJ1036" t="n">
        <v>10.76</v>
      </c>
    </row>
    <row r="1037">
      <c r="A1037" t="inlineStr">
        <is>
          <t>Okayama University</t>
        </is>
      </c>
      <c r="B1037" t="inlineStr">
        <is>
          <t>Japan</t>
        </is>
      </c>
      <c r="C1037" t="inlineStr">
        <is>
          <t>851-900</t>
        </is>
      </c>
      <c r="D1037" t="inlineStr"/>
      <c r="E1037" t="n">
        <v>8.9</v>
      </c>
      <c r="F1037" t="n">
        <v>3.7</v>
      </c>
      <c r="G1037" t="n">
        <v>61.3</v>
      </c>
      <c r="H1037" t="n">
        <v>7.7</v>
      </c>
      <c r="I1037" t="n">
        <v>6.1</v>
      </c>
      <c r="J1037" t="n">
        <v>6.3</v>
      </c>
      <c r="K1037" t="n">
        <v>52.5</v>
      </c>
      <c r="L1037" t="n">
        <v>2.9</v>
      </c>
      <c r="M1037" t="n">
        <v>14.5</v>
      </c>
      <c r="N1037" t="inlineStr">
        <is>
          <t>801–1000</t>
        </is>
      </c>
      <c r="O1037" t="inlineStr">
        <is>
          <t>32.7–36.9</t>
        </is>
      </c>
      <c r="P1037" t="n">
        <v>34.6</v>
      </c>
      <c r="Q1037" t="n">
        <v>21.5</v>
      </c>
      <c r="R1037" t="n">
        <v>36.4</v>
      </c>
      <c r="S1037" t="n">
        <v>84.90000000000001</v>
      </c>
      <c r="T1037" t="n">
        <v>37.2</v>
      </c>
      <c r="U1037" t="inlineStr">
        <is>
          <t>13,027</t>
        </is>
      </c>
      <c r="V1037" t="n">
        <v>10</v>
      </c>
      <c r="W1037" t="inlineStr">
        <is>
          <t>7%</t>
        </is>
      </c>
      <c r="X1037" t="inlineStr">
        <is>
          <t>40 : 60</t>
        </is>
      </c>
      <c r="Y1037" t="n">
        <v>851</v>
      </c>
      <c r="Z1037" t="n">
        <v>801</v>
      </c>
      <c r="AA1037" t="n">
        <v>34.8</v>
      </c>
      <c r="AB1037" t="inlineStr">
        <is>
          <t>U1036</t>
        </is>
      </c>
      <c r="AC1037" t="inlineStr">
        <is>
          <t>JA</t>
        </is>
      </c>
      <c r="AD1037" t="n">
        <v>34.8</v>
      </c>
      <c r="AE1037" t="n">
        <v>7.7</v>
      </c>
      <c r="AF1037" t="n">
        <v>10</v>
      </c>
      <c r="AG1037" t="inlineStr">
        <is>
          <t>1:10.0</t>
        </is>
      </c>
      <c r="AH1037" t="inlineStr">
        <is>
          <t>7%</t>
        </is>
      </c>
      <c r="AI1037" t="n">
        <v>8.9</v>
      </c>
      <c r="AJ1037" t="n">
        <v>15.99</v>
      </c>
    </row>
    <row r="1038">
      <c r="A1038" t="inlineStr">
        <is>
          <t xml:space="preserve">Oklahoma State University </t>
        </is>
      </c>
      <c r="B1038" t="inlineStr">
        <is>
          <t>United States</t>
        </is>
      </c>
      <c r="C1038" t="inlineStr">
        <is>
          <t>851-900</t>
        </is>
      </c>
      <c r="D1038" t="inlineStr"/>
      <c r="E1038" t="n">
        <v>8.300000000000001</v>
      </c>
      <c r="F1038" t="n">
        <v>8.1</v>
      </c>
      <c r="G1038" t="n">
        <v>9.199999999999999</v>
      </c>
      <c r="H1038" t="n">
        <v>13.3</v>
      </c>
      <c r="I1038" t="n">
        <v>49.9</v>
      </c>
      <c r="J1038" t="n">
        <v>6.1</v>
      </c>
      <c r="K1038" t="n">
        <v>66.8</v>
      </c>
      <c r="L1038" t="n">
        <v>17.3</v>
      </c>
      <c r="M1038" t="n">
        <v>9.4</v>
      </c>
      <c r="N1038" t="inlineStr">
        <is>
          <t>601–800</t>
        </is>
      </c>
      <c r="O1038" t="inlineStr">
        <is>
          <t>37.0–41.8</t>
        </is>
      </c>
      <c r="P1038" t="n">
        <v>34.1</v>
      </c>
      <c r="Q1038" t="n">
        <v>20.9</v>
      </c>
      <c r="R1038" t="n">
        <v>60.8</v>
      </c>
      <c r="S1038" t="n">
        <v>65.8</v>
      </c>
      <c r="T1038" t="n">
        <v>56</v>
      </c>
      <c r="U1038" t="inlineStr">
        <is>
          <t>21,239</t>
        </is>
      </c>
      <c r="V1038" t="n">
        <v>14.1</v>
      </c>
      <c r="W1038" t="inlineStr">
        <is>
          <t>5%</t>
        </is>
      </c>
      <c r="X1038" t="inlineStr">
        <is>
          <t>52 : 48</t>
        </is>
      </c>
      <c r="Y1038" t="n">
        <v>851</v>
      </c>
      <c r="Z1038" t="n">
        <v>601</v>
      </c>
      <c r="AA1038" t="n">
        <v>39.4</v>
      </c>
      <c r="AB1038" t="inlineStr">
        <is>
          <t>U1037</t>
        </is>
      </c>
      <c r="AC1038" t="inlineStr">
        <is>
          <t>UN</t>
        </is>
      </c>
      <c r="AD1038" t="n">
        <v>39.4</v>
      </c>
      <c r="AE1038" t="n">
        <v>13.3</v>
      </c>
      <c r="AF1038" t="n">
        <v>14.1</v>
      </c>
      <c r="AG1038" t="inlineStr">
        <is>
          <t>1:14.1</t>
        </is>
      </c>
      <c r="AH1038" t="inlineStr">
        <is>
          <t>5%</t>
        </is>
      </c>
      <c r="AI1038" t="n">
        <v>8.300000000000001</v>
      </c>
      <c r="AJ1038" t="n">
        <v>21.92</v>
      </c>
    </row>
    <row r="1039">
      <c r="A1039" t="inlineStr">
        <is>
          <t>Old Dominion University</t>
        </is>
      </c>
      <c r="B1039" t="inlineStr">
        <is>
          <t>United States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>
        <is>
          <t>601–800</t>
        </is>
      </c>
      <c r="O1039" t="inlineStr">
        <is>
          <t>37.0–41.8</t>
        </is>
      </c>
      <c r="P1039" t="n">
        <v>26.1</v>
      </c>
      <c r="Q1039" t="n">
        <v>20.4</v>
      </c>
      <c r="R1039" t="n">
        <v>61.2</v>
      </c>
      <c r="S1039" t="n">
        <v>64</v>
      </c>
      <c r="T1039" t="n">
        <v>38.1</v>
      </c>
      <c r="U1039" t="inlineStr">
        <is>
          <t>18,725</t>
        </is>
      </c>
      <c r="V1039" t="n">
        <v>18.2</v>
      </c>
      <c r="W1039" t="inlineStr">
        <is>
          <t>2%</t>
        </is>
      </c>
      <c r="X1039" t="inlineStr">
        <is>
          <t>57 : 43</t>
        </is>
      </c>
      <c r="Y1039" t="inlineStr"/>
      <c r="Z1039" t="n">
        <v>601</v>
      </c>
      <c r="AA1039" t="n">
        <v>39.4</v>
      </c>
      <c r="AB1039" t="inlineStr">
        <is>
          <t>U1038</t>
        </is>
      </c>
      <c r="AC1039" t="inlineStr">
        <is>
          <t>UN</t>
        </is>
      </c>
      <c r="AD1039" t="n">
        <v>39.4</v>
      </c>
      <c r="AE1039" t="n">
        <v>61.2</v>
      </c>
      <c r="AF1039" t="n">
        <v>18.2</v>
      </c>
      <c r="AG1039" t="inlineStr">
        <is>
          <t>1:18.2</t>
        </is>
      </c>
      <c r="AH1039" t="inlineStr">
        <is>
          <t>2%</t>
        </is>
      </c>
      <c r="AI1039" t="inlineStr"/>
      <c r="AJ1039" t="n">
        <v>31.84</v>
      </c>
    </row>
    <row r="1040">
      <c r="A1040" t="inlineStr">
        <is>
          <t>Oles Honchar Dnipro National University</t>
        </is>
      </c>
      <c r="B1040" t="inlineStr">
        <is>
          <t>Ukraine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>
        <is>
          <t>1201–1500</t>
        </is>
      </c>
      <c r="O1040" t="inlineStr">
        <is>
          <t>22.8–28.2</t>
        </is>
      </c>
      <c r="P1040" t="n">
        <v>25.1</v>
      </c>
      <c r="Q1040" t="n">
        <v>9</v>
      </c>
      <c r="R1040" t="n">
        <v>7.4</v>
      </c>
      <c r="S1040" t="n">
        <v>18.9</v>
      </c>
      <c r="T1040" t="n">
        <v>21.5</v>
      </c>
      <c r="U1040" t="inlineStr">
        <is>
          <t>7,478</t>
        </is>
      </c>
      <c r="V1040" t="n">
        <v>10.1</v>
      </c>
      <c r="W1040" t="inlineStr">
        <is>
          <t>2%</t>
        </is>
      </c>
      <c r="X1040" t="inlineStr">
        <is>
          <t>56 : 44</t>
        </is>
      </c>
      <c r="Y1040" t="inlineStr"/>
      <c r="Z1040" t="n">
        <v>1201</v>
      </c>
      <c r="AA1040" t="n">
        <v>25.5</v>
      </c>
      <c r="AB1040" t="inlineStr">
        <is>
          <t>U1039</t>
        </is>
      </c>
      <c r="AC1040" t="inlineStr">
        <is>
          <t>UK</t>
        </is>
      </c>
      <c r="AD1040" t="n">
        <v>25.5</v>
      </c>
      <c r="AE1040" t="n">
        <v>7.4</v>
      </c>
      <c r="AF1040" t="n">
        <v>10.1</v>
      </c>
      <c r="AG1040" t="inlineStr">
        <is>
          <t>1:10.1</t>
        </is>
      </c>
      <c r="AH1040" t="inlineStr">
        <is>
          <t>2%</t>
        </is>
      </c>
      <c r="AI1040" t="inlineStr"/>
      <c r="AJ1040" t="n">
        <v>5.55</v>
      </c>
    </row>
    <row r="1041">
      <c r="A1041" t="inlineStr">
        <is>
          <t>Omsk State Technical University</t>
        </is>
      </c>
      <c r="B1041" t="inlineStr">
        <is>
          <t>Russian Federation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>
        <is>
          <t>1501+</t>
        </is>
      </c>
      <c r="O1041" t="inlineStr">
        <is>
          <t>9.7–22.7</t>
        </is>
      </c>
      <c r="P1041" t="n">
        <v>18.4</v>
      </c>
      <c r="Q1041" t="n">
        <v>8.4</v>
      </c>
      <c r="R1041" t="n">
        <v>7.3</v>
      </c>
      <c r="S1041" t="n">
        <v>20</v>
      </c>
      <c r="T1041" t="n">
        <v>31.1</v>
      </c>
      <c r="U1041" t="inlineStr">
        <is>
          <t>12,150</t>
        </is>
      </c>
      <c r="V1041" t="n">
        <v>14</v>
      </c>
      <c r="W1041" t="inlineStr">
        <is>
          <t>13%</t>
        </is>
      </c>
      <c r="X1041" t="inlineStr">
        <is>
          <t>33 : 67</t>
        </is>
      </c>
      <c r="Y1041" t="inlineStr"/>
      <c r="Z1041" t="n">
        <v>1501</v>
      </c>
      <c r="AA1041" t="n">
        <v>16.2</v>
      </c>
      <c r="AB1041" t="inlineStr">
        <is>
          <t>U1040</t>
        </is>
      </c>
      <c r="AC1041" t="inlineStr">
        <is>
          <t>RU</t>
        </is>
      </c>
      <c r="AD1041" t="n">
        <v>16.2</v>
      </c>
      <c r="AE1041" t="n">
        <v>7.3</v>
      </c>
      <c r="AF1041" t="n">
        <v>14</v>
      </c>
      <c r="AG1041" t="inlineStr">
        <is>
          <t>1:14.0</t>
        </is>
      </c>
      <c r="AH1041" t="inlineStr">
        <is>
          <t>13%</t>
        </is>
      </c>
      <c r="AI1041" t="inlineStr"/>
      <c r="AJ1041" t="n">
        <v>7.53</v>
      </c>
    </row>
    <row r="1042">
      <c r="A1042" t="inlineStr">
        <is>
          <t>Ondokuz Mayis University</t>
        </is>
      </c>
      <c r="B1042" t="inlineStr">
        <is>
          <t>Turkey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>
        <is>
          <t>1501+</t>
        </is>
      </c>
      <c r="O1042" t="inlineStr">
        <is>
          <t>9.7–22.7</t>
        </is>
      </c>
      <c r="P1042" t="n">
        <v>19</v>
      </c>
      <c r="Q1042" t="n">
        <v>11.4</v>
      </c>
      <c r="R1042" t="n">
        <v>22.2</v>
      </c>
      <c r="S1042" t="n">
        <v>26.8</v>
      </c>
      <c r="T1042" t="n">
        <v>36.1</v>
      </c>
      <c r="U1042" t="inlineStr">
        <is>
          <t>38,149</t>
        </is>
      </c>
      <c r="V1042" t="n">
        <v>18.3</v>
      </c>
      <c r="W1042" t="inlineStr">
        <is>
          <t>14%</t>
        </is>
      </c>
      <c r="X1042" t="inlineStr">
        <is>
          <t>44 : 56</t>
        </is>
      </c>
      <c r="Y1042" t="inlineStr"/>
      <c r="Z1042" t="n">
        <v>1501</v>
      </c>
      <c r="AA1042" t="n">
        <v>16.2</v>
      </c>
      <c r="AB1042" t="inlineStr">
        <is>
          <t>U1041</t>
        </is>
      </c>
      <c r="AC1042" t="inlineStr">
        <is>
          <t>TU</t>
        </is>
      </c>
      <c r="AD1042" t="n">
        <v>16.2</v>
      </c>
      <c r="AE1042" t="n">
        <v>22.2</v>
      </c>
      <c r="AF1042" t="n">
        <v>18.3</v>
      </c>
      <c r="AG1042" t="inlineStr">
        <is>
          <t>1:18.3</t>
        </is>
      </c>
      <c r="AH1042" t="inlineStr">
        <is>
          <t>14%</t>
        </is>
      </c>
      <c r="AI1042" t="inlineStr"/>
      <c r="AJ1042" t="n">
        <v>14.82</v>
      </c>
    </row>
    <row r="1043">
      <c r="A1043" t="inlineStr">
        <is>
          <t>Ontario Tech University</t>
        </is>
      </c>
      <c r="B1043" t="inlineStr">
        <is>
          <t>Canada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>
        <is>
          <t>601–800</t>
        </is>
      </c>
      <c r="O1043" t="inlineStr">
        <is>
          <t>37.0–41.8</t>
        </is>
      </c>
      <c r="P1043" t="n">
        <v>18.8</v>
      </c>
      <c r="Q1043" t="n">
        <v>25</v>
      </c>
      <c r="R1043" t="n">
        <v>63.5</v>
      </c>
      <c r="S1043" t="n">
        <v>51.9</v>
      </c>
      <c r="T1043" t="n">
        <v>63.2</v>
      </c>
      <c r="U1043" t="inlineStr">
        <is>
          <t>9,449</t>
        </is>
      </c>
      <c r="V1043" t="n">
        <v>30.1</v>
      </c>
      <c r="W1043" t="inlineStr">
        <is>
          <t>8%</t>
        </is>
      </c>
      <c r="X1043" t="inlineStr">
        <is>
          <t>43 : 57</t>
        </is>
      </c>
      <c r="Y1043" t="inlineStr"/>
      <c r="Z1043" t="n">
        <v>601</v>
      </c>
      <c r="AA1043" t="n">
        <v>39.4</v>
      </c>
      <c r="AB1043" t="inlineStr">
        <is>
          <t>U1042</t>
        </is>
      </c>
      <c r="AC1043" t="inlineStr">
        <is>
          <t>CA</t>
        </is>
      </c>
      <c r="AD1043" t="n">
        <v>39.4</v>
      </c>
      <c r="AE1043" t="n">
        <v>63.5</v>
      </c>
      <c r="AF1043" t="n">
        <v>30.1</v>
      </c>
      <c r="AG1043" t="inlineStr">
        <is>
          <t>1:30.1</t>
        </is>
      </c>
      <c r="AH1043" t="inlineStr">
        <is>
          <t>8%</t>
        </is>
      </c>
      <c r="AI1043" t="inlineStr"/>
      <c r="AJ1043" t="n">
        <v>41.02</v>
      </c>
    </row>
    <row r="1044">
      <c r="A1044" t="inlineStr">
        <is>
          <t>The Open University</t>
        </is>
      </c>
      <c r="B1044" t="inlineStr">
        <is>
          <t>United Kingdom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>
        <is>
          <t>601–800</t>
        </is>
      </c>
      <c r="O1044" t="inlineStr">
        <is>
          <t>37.0–41.8</t>
        </is>
      </c>
      <c r="P1044" t="n">
        <v>17.7</v>
      </c>
      <c r="Q1044" t="n">
        <v>16.1</v>
      </c>
      <c r="R1044" t="n">
        <v>68.7</v>
      </c>
      <c r="S1044" t="n">
        <v>52.6</v>
      </c>
      <c r="T1044" t="n">
        <v>63.6</v>
      </c>
      <c r="U1044" t="inlineStr">
        <is>
          <t>81,570</t>
        </is>
      </c>
      <c r="V1044" t="n">
        <v>33.5</v>
      </c>
      <c r="W1044" t="inlineStr">
        <is>
          <t>8%</t>
        </is>
      </c>
      <c r="X1044" t="inlineStr">
        <is>
          <t>65 : 35</t>
        </is>
      </c>
      <c r="Y1044" t="inlineStr"/>
      <c r="Z1044" t="n">
        <v>601</v>
      </c>
      <c r="AA1044" t="n">
        <v>39.4</v>
      </c>
      <c r="AB1044" t="inlineStr">
        <is>
          <t>U1043</t>
        </is>
      </c>
      <c r="AC1044" t="inlineStr">
        <is>
          <t>UN</t>
        </is>
      </c>
      <c r="AD1044" t="n">
        <v>39.4</v>
      </c>
      <c r="AE1044" t="n">
        <v>68.7</v>
      </c>
      <c r="AF1044" t="n">
        <v>33.5</v>
      </c>
      <c r="AG1044" t="inlineStr">
        <is>
          <t>1:33.5</t>
        </is>
      </c>
      <c r="AH1044" t="inlineStr">
        <is>
          <t>8%</t>
        </is>
      </c>
      <c r="AI1044" t="inlineStr"/>
      <c r="AJ1044" t="n">
        <v>38.03</v>
      </c>
    </row>
    <row r="1045">
      <c r="A1045" t="inlineStr">
        <is>
          <t>Open University of Catalonia</t>
        </is>
      </c>
      <c r="B1045" t="inlineStr">
        <is>
          <t>Spain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>
        <is>
          <t>601–800</t>
        </is>
      </c>
      <c r="O1045" t="inlineStr">
        <is>
          <t>37.0–41.8</t>
        </is>
      </c>
      <c r="P1045" t="n">
        <v>18.4</v>
      </c>
      <c r="Q1045" t="n">
        <v>18.2</v>
      </c>
      <c r="R1045" t="n">
        <v>75.90000000000001</v>
      </c>
      <c r="S1045" t="n">
        <v>29.7</v>
      </c>
      <c r="T1045" t="n">
        <v>51</v>
      </c>
      <c r="U1045" t="inlineStr">
        <is>
          <t>33,296</t>
        </is>
      </c>
      <c r="V1045" t="n">
        <v>96.5</v>
      </c>
      <c r="W1045" t="inlineStr">
        <is>
          <t>6%</t>
        </is>
      </c>
      <c r="X1045" t="inlineStr">
        <is>
          <t>56 : 44</t>
        </is>
      </c>
      <c r="Y1045" t="inlineStr"/>
      <c r="Z1045" t="n">
        <v>601</v>
      </c>
      <c r="AA1045" t="n">
        <v>39.4</v>
      </c>
      <c r="AB1045" t="inlineStr">
        <is>
          <t>U1044</t>
        </is>
      </c>
      <c r="AC1045" t="inlineStr">
        <is>
          <t>SP</t>
        </is>
      </c>
      <c r="AD1045" t="n">
        <v>39.4</v>
      </c>
      <c r="AE1045" t="n">
        <v>75.90000000000001</v>
      </c>
      <c r="AF1045" t="n">
        <v>96.5</v>
      </c>
      <c r="AG1045" t="inlineStr">
        <is>
          <t>1:96.5</t>
        </is>
      </c>
      <c r="AH1045" t="inlineStr">
        <is>
          <t>6%</t>
        </is>
      </c>
      <c r="AI1045" t="inlineStr"/>
      <c r="AJ1045" t="n">
        <v>38.26</v>
      </c>
    </row>
    <row r="1046">
      <c r="A1046" t="inlineStr">
        <is>
          <t>Opole University of Technology</t>
        </is>
      </c>
      <c r="B1046" t="inlineStr">
        <is>
          <t>Poland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>
        <is>
          <t>1201–1500</t>
        </is>
      </c>
      <c r="O1046" t="inlineStr">
        <is>
          <t>22.8–28.2</t>
        </is>
      </c>
      <c r="P1046" t="n">
        <v>18.5</v>
      </c>
      <c r="Q1046" t="n">
        <v>13.8</v>
      </c>
      <c r="R1046" t="n">
        <v>37.3</v>
      </c>
      <c r="S1046" t="n">
        <v>18.5</v>
      </c>
      <c r="T1046" t="n">
        <v>36.1</v>
      </c>
      <c r="U1046" t="inlineStr">
        <is>
          <t>5,096</t>
        </is>
      </c>
      <c r="V1046" t="n">
        <v>13.7</v>
      </c>
      <c r="W1046" t="inlineStr">
        <is>
          <t>6%</t>
        </is>
      </c>
      <c r="X1046" t="inlineStr">
        <is>
          <t>32 : 68</t>
        </is>
      </c>
      <c r="Y1046" t="inlineStr"/>
      <c r="Z1046" t="n">
        <v>1201</v>
      </c>
      <c r="AA1046" t="n">
        <v>25.5</v>
      </c>
      <c r="AB1046" t="inlineStr">
        <is>
          <t>U1045</t>
        </is>
      </c>
      <c r="AC1046" t="inlineStr">
        <is>
          <t>PO</t>
        </is>
      </c>
      <c r="AD1046" t="n">
        <v>25.5</v>
      </c>
      <c r="AE1046" t="n">
        <v>37.3</v>
      </c>
      <c r="AF1046" t="n">
        <v>13.7</v>
      </c>
      <c r="AG1046" t="inlineStr">
        <is>
          <t>1:13.7</t>
        </is>
      </c>
      <c r="AH1046" t="inlineStr">
        <is>
          <t>6%</t>
        </is>
      </c>
      <c r="AI1046" t="inlineStr"/>
      <c r="AJ1046" t="n">
        <v>20.66</v>
      </c>
    </row>
    <row r="1047">
      <c r="A1047" t="inlineStr">
        <is>
          <t>Oran 1 University</t>
        </is>
      </c>
      <c r="B1047" t="inlineStr">
        <is>
          <t>Algeria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>
        <is>
          <t>1501+</t>
        </is>
      </c>
      <c r="O1047" t="inlineStr">
        <is>
          <t>9.7–22.7</t>
        </is>
      </c>
      <c r="P1047" t="n">
        <v>30.7</v>
      </c>
      <c r="Q1047" t="n">
        <v>9</v>
      </c>
      <c r="R1047" t="n">
        <v>13.2</v>
      </c>
      <c r="S1047" t="n">
        <v>17.8</v>
      </c>
      <c r="T1047" t="n">
        <v>39.7</v>
      </c>
      <c r="U1047" t="inlineStr">
        <is>
          <t>25,443</t>
        </is>
      </c>
      <c r="V1047" t="n">
        <v>21.9</v>
      </c>
      <c r="W1047" t="inlineStr">
        <is>
          <t>1%</t>
        </is>
      </c>
      <c r="X1047" t="inlineStr">
        <is>
          <t>70 : 30</t>
        </is>
      </c>
      <c r="Y1047" t="inlineStr"/>
      <c r="Z1047" t="n">
        <v>1501</v>
      </c>
      <c r="AA1047" t="n">
        <v>16.2</v>
      </c>
      <c r="AB1047" t="inlineStr">
        <is>
          <t>U1046</t>
        </is>
      </c>
      <c r="AC1047" t="inlineStr">
        <is>
          <t>AL</t>
        </is>
      </c>
      <c r="AD1047" t="n">
        <v>16.2</v>
      </c>
      <c r="AE1047" t="n">
        <v>13.2</v>
      </c>
      <c r="AF1047" t="n">
        <v>21.9</v>
      </c>
      <c r="AG1047" t="inlineStr">
        <is>
          <t>1:21.9</t>
        </is>
      </c>
      <c r="AH1047" t="inlineStr">
        <is>
          <t>1%</t>
        </is>
      </c>
      <c r="AI1047" t="inlineStr"/>
      <c r="AJ1047" t="n">
        <v>11.71</v>
      </c>
    </row>
    <row r="1048">
      <c r="A1048" t="inlineStr">
        <is>
          <t>Ordu University</t>
        </is>
      </c>
      <c r="B1048" t="inlineStr">
        <is>
          <t>Turkey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>
        <is>
          <t>1501+</t>
        </is>
      </c>
      <c r="O1048" t="inlineStr">
        <is>
          <t>9.7–22.7</t>
        </is>
      </c>
      <c r="P1048" t="n">
        <v>14</v>
      </c>
      <c r="Q1048" t="n">
        <v>10.3</v>
      </c>
      <c r="R1048" t="n">
        <v>19.6</v>
      </c>
      <c r="S1048" t="n">
        <v>16.7</v>
      </c>
      <c r="T1048" t="n">
        <v>17.9</v>
      </c>
      <c r="U1048" t="inlineStr">
        <is>
          <t>11,050</t>
        </is>
      </c>
      <c r="V1048" t="n">
        <v>18.7</v>
      </c>
      <c r="W1048" t="inlineStr">
        <is>
          <t>0%</t>
        </is>
      </c>
      <c r="X1048" t="inlineStr">
        <is>
          <t>52 : 48</t>
        </is>
      </c>
      <c r="Y1048" t="inlineStr"/>
      <c r="Z1048" t="n">
        <v>1501</v>
      </c>
      <c r="AA1048" t="n">
        <v>16.2</v>
      </c>
      <c r="AB1048" t="inlineStr">
        <is>
          <t>U1047</t>
        </is>
      </c>
      <c r="AC1048" t="inlineStr">
        <is>
          <t>TU</t>
        </is>
      </c>
      <c r="AD1048" t="n">
        <v>16.2</v>
      </c>
      <c r="AE1048" t="n">
        <v>19.6</v>
      </c>
      <c r="AF1048" t="n">
        <v>18.7</v>
      </c>
      <c r="AG1048" t="inlineStr">
        <is>
          <t>1:18.7</t>
        </is>
      </c>
      <c r="AH1048" t="inlineStr">
        <is>
          <t>0%</t>
        </is>
      </c>
      <c r="AI1048" t="inlineStr"/>
      <c r="AJ1048" t="n">
        <v>9.06</v>
      </c>
    </row>
    <row r="1049">
      <c r="A1049" t="inlineStr">
        <is>
          <t>Oregon Health and Science University</t>
        </is>
      </c>
      <c r="B1049" t="inlineStr">
        <is>
          <t>United States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>
        <is>
          <t>301–350</t>
        </is>
      </c>
      <c r="O1049" t="inlineStr">
        <is>
          <t>51.1–53.0</t>
        </is>
      </c>
      <c r="P1049" t="n">
        <v>39.1</v>
      </c>
      <c r="Q1049" t="n">
        <v>21.3</v>
      </c>
      <c r="R1049" t="n">
        <v>91.7</v>
      </c>
      <c r="S1049" t="n">
        <v>86.8</v>
      </c>
      <c r="T1049" t="n">
        <v>34.6</v>
      </c>
      <c r="U1049" t="inlineStr">
        <is>
          <t>2,984</t>
        </is>
      </c>
      <c r="V1049" t="n">
        <v>0.9</v>
      </c>
      <c r="W1049" t="inlineStr">
        <is>
          <t>3%</t>
        </is>
      </c>
      <c r="X1049" t="inlineStr">
        <is>
          <t>68 : 32</t>
        </is>
      </c>
      <c r="Y1049" t="inlineStr"/>
      <c r="Z1049" t="n">
        <v>301</v>
      </c>
      <c r="AA1049" t="n">
        <v>52.05</v>
      </c>
      <c r="AB1049" t="inlineStr">
        <is>
          <t>U1048</t>
        </is>
      </c>
      <c r="AC1049" t="inlineStr">
        <is>
          <t>UN</t>
        </is>
      </c>
      <c r="AD1049" t="n">
        <v>52.05</v>
      </c>
      <c r="AE1049" t="n">
        <v>91.7</v>
      </c>
      <c r="AF1049" t="n">
        <v>0.9</v>
      </c>
      <c r="AG1049" t="inlineStr">
        <is>
          <t>1:0.9</t>
        </is>
      </c>
      <c r="AH1049" t="inlineStr">
        <is>
          <t>3%</t>
        </is>
      </c>
      <c r="AI1049" t="inlineStr"/>
      <c r="AJ1049" t="n">
        <v>40.71</v>
      </c>
    </row>
    <row r="1050">
      <c r="A1050" t="inlineStr">
        <is>
          <t>Oregon State University</t>
        </is>
      </c>
      <c r="B1050" t="inlineStr">
        <is>
          <t>United States</t>
        </is>
      </c>
      <c r="C1050" t="inlineStr">
        <is>
          <t>641-650</t>
        </is>
      </c>
      <c r="D1050" t="inlineStr"/>
      <c r="E1050" t="n">
        <v>14.6</v>
      </c>
      <c r="F1050" t="n">
        <v>4.2</v>
      </c>
      <c r="G1050" t="n">
        <v>15.6</v>
      </c>
      <c r="H1050" t="n">
        <v>33.9</v>
      </c>
      <c r="I1050" t="n">
        <v>11.7</v>
      </c>
      <c r="J1050" t="n">
        <v>8.1</v>
      </c>
      <c r="K1050" t="n">
        <v>81.2</v>
      </c>
      <c r="L1050" t="n">
        <v>19.3</v>
      </c>
      <c r="M1050" t="n">
        <v>21.1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n">
        <v>641</v>
      </c>
      <c r="Z1050" t="inlineStr"/>
      <c r="AA1050" t="inlineStr"/>
      <c r="AB1050" t="inlineStr">
        <is>
          <t>U1049</t>
        </is>
      </c>
      <c r="AC1050" t="inlineStr">
        <is>
          <t>UN</t>
        </is>
      </c>
      <c r="AD1050" t="inlineStr"/>
      <c r="AE1050" t="n">
        <v>33.9</v>
      </c>
      <c r="AF1050" t="inlineStr"/>
      <c r="AG1050" t="inlineStr"/>
      <c r="AH1050" t="inlineStr"/>
      <c r="AI1050" t="n">
        <v>14.6</v>
      </c>
      <c r="AJ1050" t="n">
        <v>23.66</v>
      </c>
    </row>
    <row r="1051">
      <c r="A1051" t="inlineStr">
        <is>
          <t>Osaka Institute of Technology</t>
        </is>
      </c>
      <c r="B1051" t="inlineStr">
        <is>
          <t>Japan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>
        <is>
          <t>1501+</t>
        </is>
      </c>
      <c r="O1051" t="inlineStr">
        <is>
          <t>9.7–22.7</t>
        </is>
      </c>
      <c r="P1051" t="n">
        <v>14.8</v>
      </c>
      <c r="Q1051" t="n">
        <v>15.3</v>
      </c>
      <c r="R1051" t="n">
        <v>20.6</v>
      </c>
      <c r="S1051" t="n">
        <v>37.3</v>
      </c>
      <c r="T1051" t="n">
        <v>26.2</v>
      </c>
      <c r="U1051" t="inlineStr">
        <is>
          <t>7,407</t>
        </is>
      </c>
      <c r="V1051" t="n">
        <v>35.4</v>
      </c>
      <c r="W1051" t="inlineStr">
        <is>
          <t>1%</t>
        </is>
      </c>
      <c r="X1051" t="inlineStr">
        <is>
          <t>14 : 86</t>
        </is>
      </c>
      <c r="Y1051" t="inlineStr"/>
      <c r="Z1051" t="n">
        <v>1501</v>
      </c>
      <c r="AA1051" t="n">
        <v>16.2</v>
      </c>
      <c r="AB1051" t="inlineStr">
        <is>
          <t>U1050</t>
        </is>
      </c>
      <c r="AC1051" t="inlineStr">
        <is>
          <t>JA</t>
        </is>
      </c>
      <c r="AD1051" t="n">
        <v>16.2</v>
      </c>
      <c r="AE1051" t="n">
        <v>20.6</v>
      </c>
      <c r="AF1051" t="n">
        <v>35.4</v>
      </c>
      <c r="AG1051" t="inlineStr">
        <is>
          <t>1:35.4</t>
        </is>
      </c>
      <c r="AH1051" t="inlineStr">
        <is>
          <t>1%</t>
        </is>
      </c>
      <c r="AI1051" t="inlineStr"/>
      <c r="AJ1051" t="n">
        <v>13.99</v>
      </c>
    </row>
    <row r="1052">
      <c r="A1052" t="inlineStr">
        <is>
          <t>Osaka Medical and Pharmaceutical University</t>
        </is>
      </c>
      <c r="B1052" t="inlineStr">
        <is>
          <t>Japan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>
        <is>
          <t>1501+</t>
        </is>
      </c>
      <c r="O1052" t="inlineStr">
        <is>
          <t>9.7–22.7</t>
        </is>
      </c>
      <c r="P1052" t="n">
        <v>27.7</v>
      </c>
      <c r="Q1052" t="n">
        <v>12.6</v>
      </c>
      <c r="R1052" t="n">
        <v>23.7</v>
      </c>
      <c r="S1052" t="n">
        <v>44.4</v>
      </c>
      <c r="T1052" t="n">
        <v>18.7</v>
      </c>
      <c r="U1052" t="inlineStr">
        <is>
          <t>3,132</t>
        </is>
      </c>
      <c r="V1052" t="n">
        <v>5.5</v>
      </c>
      <c r="W1052" t="inlineStr">
        <is>
          <t>1%</t>
        </is>
      </c>
      <c r="X1052" t="inlineStr">
        <is>
          <t>59 : 41</t>
        </is>
      </c>
      <c r="Y1052" t="inlineStr"/>
      <c r="Z1052" t="n">
        <v>1501</v>
      </c>
      <c r="AA1052" t="n">
        <v>16.2</v>
      </c>
      <c r="AB1052" t="inlineStr">
        <is>
          <t>U1051</t>
        </is>
      </c>
      <c r="AC1052" t="inlineStr">
        <is>
          <t>JA</t>
        </is>
      </c>
      <c r="AD1052" t="n">
        <v>16.2</v>
      </c>
      <c r="AE1052" t="n">
        <v>23.7</v>
      </c>
      <c r="AF1052" t="n">
        <v>5.5</v>
      </c>
      <c r="AG1052" t="inlineStr">
        <is>
          <t>1:5.5</t>
        </is>
      </c>
      <c r="AH1052" t="inlineStr">
        <is>
          <t>1%</t>
        </is>
      </c>
      <c r="AI1052" t="inlineStr"/>
      <c r="AJ1052" t="n">
        <v>11.7</v>
      </c>
    </row>
    <row r="1053">
      <c r="A1053" t="inlineStr">
        <is>
          <t>Osaka Metropolitan University</t>
        </is>
      </c>
      <c r="B1053" t="inlineStr">
        <is>
          <t>Japan</t>
        </is>
      </c>
      <c r="C1053" t="inlineStr">
        <is>
          <t>901-950</t>
        </is>
      </c>
      <c r="D1053" t="inlineStr"/>
      <c r="E1053" t="n">
        <v>12.4</v>
      </c>
      <c r="F1053" t="n">
        <v>11.6</v>
      </c>
      <c r="G1053" t="n">
        <v>51.3</v>
      </c>
      <c r="H1053" t="n">
        <v>6.5</v>
      </c>
      <c r="I1053" t="n">
        <v>4.6</v>
      </c>
      <c r="J1053" t="n">
        <v>3.1</v>
      </c>
      <c r="K1053" t="n">
        <v>29.3</v>
      </c>
      <c r="L1053" t="n">
        <v>5.9</v>
      </c>
      <c r="M1053" t="n">
        <v>1.1</v>
      </c>
      <c r="N1053" t="inlineStr">
        <is>
          <t>1201–1500</t>
        </is>
      </c>
      <c r="O1053" t="inlineStr">
        <is>
          <t>22.8–28.2</t>
        </is>
      </c>
      <c r="P1053" t="n">
        <v>29.1</v>
      </c>
      <c r="Q1053" t="n">
        <v>18.7</v>
      </c>
      <c r="R1053" t="n">
        <v>29.8</v>
      </c>
      <c r="S1053" t="n">
        <v>79.5</v>
      </c>
      <c r="T1053" t="n">
        <v>26.6</v>
      </c>
      <c r="U1053" t="inlineStr">
        <is>
          <t>15,734</t>
        </is>
      </c>
      <c r="V1053" t="n">
        <v>11.5</v>
      </c>
      <c r="W1053" t="inlineStr">
        <is>
          <t>4%</t>
        </is>
      </c>
      <c r="X1053" t="inlineStr">
        <is>
          <t>37 : 63</t>
        </is>
      </c>
      <c r="Y1053" t="n">
        <v>901</v>
      </c>
      <c r="Z1053" t="n">
        <v>1201</v>
      </c>
      <c r="AA1053" t="n">
        <v>25.5</v>
      </c>
      <c r="AB1053" t="inlineStr">
        <is>
          <t>U1052</t>
        </is>
      </c>
      <c r="AC1053" t="inlineStr">
        <is>
          <t>JA</t>
        </is>
      </c>
      <c r="AD1053" t="n">
        <v>25.5</v>
      </c>
      <c r="AE1053" t="n">
        <v>6.5</v>
      </c>
      <c r="AF1053" t="n">
        <v>11.5</v>
      </c>
      <c r="AG1053" t="inlineStr">
        <is>
          <t>1:11.5</t>
        </is>
      </c>
      <c r="AH1053" t="inlineStr">
        <is>
          <t>4%</t>
        </is>
      </c>
      <c r="AI1053" t="n">
        <v>12.4</v>
      </c>
      <c r="AJ1053" t="n">
        <v>11.6</v>
      </c>
    </row>
    <row r="1054">
      <c r="A1054" t="inlineStr">
        <is>
          <t>Osaka University</t>
        </is>
      </c>
      <c r="B1054" t="inlineStr">
        <is>
          <t>Japan</t>
        </is>
      </c>
      <c r="C1054" t="inlineStr">
        <is>
          <t>86</t>
        </is>
      </c>
      <c r="D1054" t="n">
        <v>63.5</v>
      </c>
      <c r="E1054" t="n">
        <v>82.40000000000001</v>
      </c>
      <c r="F1054" t="n">
        <v>87</v>
      </c>
      <c r="G1054" t="n">
        <v>45.2</v>
      </c>
      <c r="H1054" t="n">
        <v>54.9</v>
      </c>
      <c r="I1054" t="n">
        <v>23.9</v>
      </c>
      <c r="J1054" t="n">
        <v>12.2</v>
      </c>
      <c r="K1054" t="n">
        <v>68.2</v>
      </c>
      <c r="L1054" t="n">
        <v>33</v>
      </c>
      <c r="M1054" t="n">
        <v>68</v>
      </c>
      <c r="N1054">
        <f>175</f>
        <v/>
      </c>
      <c r="O1054" t="inlineStr">
        <is>
          <t>60.4</t>
        </is>
      </c>
      <c r="P1054" t="n">
        <v>62.5</v>
      </c>
      <c r="Q1054" t="n">
        <v>65.7</v>
      </c>
      <c r="R1054" t="n">
        <v>50.5</v>
      </c>
      <c r="S1054" t="n">
        <v>100</v>
      </c>
      <c r="T1054" t="n">
        <v>51</v>
      </c>
      <c r="U1054" t="inlineStr">
        <is>
          <t>22,274</t>
        </is>
      </c>
      <c r="V1054" t="n">
        <v>10.4</v>
      </c>
      <c r="W1054" t="inlineStr">
        <is>
          <t>10%</t>
        </is>
      </c>
      <c r="X1054" t="inlineStr">
        <is>
          <t>32 : 68</t>
        </is>
      </c>
      <c r="Y1054" t="n">
        <v>86</v>
      </c>
      <c r="Z1054" t="n">
        <v>175</v>
      </c>
      <c r="AA1054" t="n">
        <v>60.4</v>
      </c>
      <c r="AB1054" t="inlineStr">
        <is>
          <t>U1053</t>
        </is>
      </c>
      <c r="AC1054" t="inlineStr">
        <is>
          <t>JA</t>
        </is>
      </c>
      <c r="AD1054" t="n">
        <v>63.5</v>
      </c>
      <c r="AE1054" t="n">
        <v>54.9</v>
      </c>
      <c r="AF1054" t="n">
        <v>10.4</v>
      </c>
      <c r="AG1054" t="inlineStr">
        <is>
          <t>1:10.4</t>
        </is>
      </c>
      <c r="AH1054" t="inlineStr">
        <is>
          <t>10%</t>
        </is>
      </c>
      <c r="AI1054" t="n">
        <v>82.40000000000001</v>
      </c>
      <c r="AJ1054" t="n">
        <v>56.8</v>
      </c>
    </row>
    <row r="1055">
      <c r="A1055" t="inlineStr">
        <is>
          <t>OSMANIA UNIVERSITY</t>
        </is>
      </c>
      <c r="B1055" t="inlineStr">
        <is>
          <t>India</t>
        </is>
      </c>
      <c r="C1055" t="inlineStr">
        <is>
          <t>1201-1400</t>
        </is>
      </c>
      <c r="D1055" t="inlineStr"/>
      <c r="E1055" t="n">
        <v>5.4</v>
      </c>
      <c r="F1055" t="n">
        <v>3.7</v>
      </c>
      <c r="G1055" t="n">
        <v>3.5</v>
      </c>
      <c r="H1055" t="n">
        <v>21</v>
      </c>
      <c r="I1055" t="inlineStr"/>
      <c r="J1055" t="n">
        <v>5.4</v>
      </c>
      <c r="K1055" t="n">
        <v>17.2</v>
      </c>
      <c r="L1055" t="n">
        <v>7.2</v>
      </c>
      <c r="M1055" t="n">
        <v>1</v>
      </c>
      <c r="N1055" t="inlineStr">
        <is>
          <t>1201–1500</t>
        </is>
      </c>
      <c r="O1055" t="inlineStr">
        <is>
          <t>22.8–28.2</t>
        </is>
      </c>
      <c r="P1055" t="n">
        <v>33.9</v>
      </c>
      <c r="Q1055" t="n">
        <v>16.3</v>
      </c>
      <c r="R1055" t="n">
        <v>31.1</v>
      </c>
      <c r="S1055" t="n">
        <v>27.7</v>
      </c>
      <c r="T1055" t="n">
        <v>21.4</v>
      </c>
      <c r="U1055" t="inlineStr">
        <is>
          <t>10,520</t>
        </is>
      </c>
      <c r="V1055" t="n">
        <v>25.7</v>
      </c>
      <c r="W1055" t="inlineStr">
        <is>
          <t>3%</t>
        </is>
      </c>
      <c r="X1055" t="inlineStr">
        <is>
          <t>36 : 64</t>
        </is>
      </c>
      <c r="Y1055" t="n">
        <v>1201</v>
      </c>
      <c r="Z1055" t="n">
        <v>1201</v>
      </c>
      <c r="AA1055" t="n">
        <v>25.5</v>
      </c>
      <c r="AB1055" t="inlineStr">
        <is>
          <t>U1054</t>
        </is>
      </c>
      <c r="AC1055" t="inlineStr">
        <is>
          <t>IN</t>
        </is>
      </c>
      <c r="AD1055" t="n">
        <v>25.5</v>
      </c>
      <c r="AE1055" t="n">
        <v>21</v>
      </c>
      <c r="AF1055" t="n">
        <v>25.7</v>
      </c>
      <c r="AG1055" t="inlineStr">
        <is>
          <t>1:25.7</t>
        </is>
      </c>
      <c r="AH1055" t="inlineStr">
        <is>
          <t>3%</t>
        </is>
      </c>
      <c r="AI1055" t="n">
        <v>5.4</v>
      </c>
      <c r="AJ1055" t="n">
        <v>13.47</v>
      </c>
    </row>
    <row r="1056">
      <c r="A1056" t="inlineStr">
        <is>
          <t>Otto von Guericke University of Magdeburg</t>
        </is>
      </c>
      <c r="B1056" t="inlineStr">
        <is>
          <t>Germany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>
        <is>
          <t>601–800</t>
        </is>
      </c>
      <c r="O1056" t="inlineStr">
        <is>
          <t>37.0–41.8</t>
        </is>
      </c>
      <c r="P1056" t="n">
        <v>33.4</v>
      </c>
      <c r="Q1056" t="n">
        <v>18</v>
      </c>
      <c r="R1056" t="n">
        <v>54.4</v>
      </c>
      <c r="S1056" t="n">
        <v>51.4</v>
      </c>
      <c r="T1056" t="n">
        <v>74.5</v>
      </c>
      <c r="U1056" t="inlineStr">
        <is>
          <t>13,562</t>
        </is>
      </c>
      <c r="V1056" t="n">
        <v>11.2</v>
      </c>
      <c r="W1056" t="inlineStr">
        <is>
          <t>26%</t>
        </is>
      </c>
      <c r="X1056" t="inlineStr">
        <is>
          <t>42 : 58</t>
        </is>
      </c>
      <c r="Y1056" t="inlineStr"/>
      <c r="Z1056" t="n">
        <v>601</v>
      </c>
      <c r="AA1056" t="n">
        <v>39.4</v>
      </c>
      <c r="AB1056" t="inlineStr">
        <is>
          <t>U1055</t>
        </is>
      </c>
      <c r="AC1056" t="inlineStr">
        <is>
          <t>GE</t>
        </is>
      </c>
      <c r="AD1056" t="n">
        <v>39.4</v>
      </c>
      <c r="AE1056" t="n">
        <v>54.4</v>
      </c>
      <c r="AF1056" t="n">
        <v>11.2</v>
      </c>
      <c r="AG1056" t="inlineStr">
        <is>
          <t>1:11.2</t>
        </is>
      </c>
      <c r="AH1056" t="inlineStr">
        <is>
          <t>26%</t>
        </is>
      </c>
      <c r="AI1056" t="inlineStr"/>
      <c r="AJ1056" t="n">
        <v>37.33</v>
      </c>
    </row>
    <row r="1057">
      <c r="A1057" t="inlineStr">
        <is>
          <t>Ovidius University of Constanța</t>
        </is>
      </c>
      <c r="B1057" t="inlineStr">
        <is>
          <t>Romania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>
        <is>
          <t>1501+</t>
        </is>
      </c>
      <c r="O1057" t="inlineStr">
        <is>
          <t>9.7–22.7</t>
        </is>
      </c>
      <c r="P1057" t="n">
        <v>19.4</v>
      </c>
      <c r="Q1057" t="n">
        <v>9.199999999999999</v>
      </c>
      <c r="R1057" t="n">
        <v>9.6</v>
      </c>
      <c r="S1057" t="n">
        <v>15.9</v>
      </c>
      <c r="T1057" t="n">
        <v>27</v>
      </c>
      <c r="U1057" t="inlineStr">
        <is>
          <t>17,355</t>
        </is>
      </c>
      <c r="V1057" t="n">
        <v>12.5</v>
      </c>
      <c r="W1057" t="inlineStr">
        <is>
          <t>7%</t>
        </is>
      </c>
      <c r="X1057" t="inlineStr">
        <is>
          <t>61 : 39</t>
        </is>
      </c>
      <c r="Y1057" t="inlineStr"/>
      <c r="Z1057" t="n">
        <v>1501</v>
      </c>
      <c r="AA1057" t="n">
        <v>16.2</v>
      </c>
      <c r="AB1057" t="inlineStr">
        <is>
          <t>U1056</t>
        </is>
      </c>
      <c r="AC1057" t="inlineStr">
        <is>
          <t>RO</t>
        </is>
      </c>
      <c r="AD1057" t="n">
        <v>16.2</v>
      </c>
      <c r="AE1057" t="n">
        <v>9.6</v>
      </c>
      <c r="AF1057" t="n">
        <v>12.5</v>
      </c>
      <c r="AG1057" t="inlineStr">
        <is>
          <t>1:12.5</t>
        </is>
      </c>
      <c r="AH1057" t="inlineStr">
        <is>
          <t>7%</t>
        </is>
      </c>
      <c r="AI1057" t="inlineStr"/>
      <c r="AJ1057" t="n">
        <v>7.65</v>
      </c>
    </row>
    <row r="1058">
      <c r="A1058" t="inlineStr">
        <is>
          <t>Oxford Brookes University</t>
        </is>
      </c>
      <c r="B1058" t="inlineStr">
        <is>
          <t>United Kingdom</t>
        </is>
      </c>
      <c r="C1058" t="inlineStr">
        <is>
          <t>416</t>
        </is>
      </c>
      <c r="D1058" t="n">
        <v>28.6</v>
      </c>
      <c r="E1058" t="n">
        <v>30.7</v>
      </c>
      <c r="F1058" t="n">
        <v>37.6</v>
      </c>
      <c r="G1058" t="n">
        <v>13.7</v>
      </c>
      <c r="H1058" t="n">
        <v>7</v>
      </c>
      <c r="I1058" t="n">
        <v>67.5</v>
      </c>
      <c r="J1058" t="n">
        <v>67.40000000000001</v>
      </c>
      <c r="K1058" t="n">
        <v>68.40000000000001</v>
      </c>
      <c r="L1058" t="n">
        <v>20.5</v>
      </c>
      <c r="M1058" t="n">
        <v>13.2</v>
      </c>
      <c r="N1058" t="inlineStr">
        <is>
          <t>601–800</t>
        </is>
      </c>
      <c r="O1058" t="inlineStr">
        <is>
          <t>37.0–41.8</t>
        </is>
      </c>
      <c r="P1058" t="n">
        <v>25.1</v>
      </c>
      <c r="Q1058" t="n">
        <v>21.1</v>
      </c>
      <c r="R1058" t="n">
        <v>62.5</v>
      </c>
      <c r="S1058" t="n">
        <v>29.1</v>
      </c>
      <c r="T1058" t="n">
        <v>87.90000000000001</v>
      </c>
      <c r="U1058" t="inlineStr">
        <is>
          <t>13,860</t>
        </is>
      </c>
      <c r="V1058" t="n">
        <v>14</v>
      </c>
      <c r="W1058" t="inlineStr">
        <is>
          <t>25%</t>
        </is>
      </c>
      <c r="X1058" t="inlineStr">
        <is>
          <t>58 : 42</t>
        </is>
      </c>
      <c r="Y1058" t="n">
        <v>416</v>
      </c>
      <c r="Z1058" t="n">
        <v>601</v>
      </c>
      <c r="AA1058" t="n">
        <v>39.4</v>
      </c>
      <c r="AB1058" t="inlineStr">
        <is>
          <t>U1057</t>
        </is>
      </c>
      <c r="AC1058" t="inlineStr">
        <is>
          <t>UN</t>
        </is>
      </c>
      <c r="AD1058" t="n">
        <v>28.6</v>
      </c>
      <c r="AE1058" t="n">
        <v>7</v>
      </c>
      <c r="AF1058" t="n">
        <v>14</v>
      </c>
      <c r="AG1058" t="inlineStr">
        <is>
          <t>1:14.0</t>
        </is>
      </c>
      <c r="AH1058" t="inlineStr">
        <is>
          <t>25%</t>
        </is>
      </c>
      <c r="AI1058" t="n">
        <v>30.7</v>
      </c>
      <c r="AJ1058" t="n">
        <v>27.83</v>
      </c>
    </row>
    <row r="1059">
      <c r="A1059" t="inlineStr">
        <is>
          <t>Ozyegin University</t>
        </is>
      </c>
      <c r="B1059" t="inlineStr">
        <is>
          <t>Turkey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>
        <is>
          <t>801–1000</t>
        </is>
      </c>
      <c r="O1059" t="inlineStr">
        <is>
          <t>32.7–36.9</t>
        </is>
      </c>
      <c r="P1059" t="n">
        <v>16.3</v>
      </c>
      <c r="Q1059" t="n">
        <v>23.9</v>
      </c>
      <c r="R1059" t="n">
        <v>53.5</v>
      </c>
      <c r="S1059" t="n">
        <v>58</v>
      </c>
      <c r="T1059" t="n">
        <v>57.7</v>
      </c>
      <c r="U1059" t="inlineStr">
        <is>
          <t>6,181</t>
        </is>
      </c>
      <c r="V1059" t="n">
        <v>26.7</v>
      </c>
      <c r="W1059" t="inlineStr">
        <is>
          <t>8%</t>
        </is>
      </c>
      <c r="X1059" t="inlineStr">
        <is>
          <t>44 : 56</t>
        </is>
      </c>
      <c r="Y1059" t="inlineStr"/>
      <c r="Z1059" t="n">
        <v>801</v>
      </c>
      <c r="AA1059" t="n">
        <v>34.8</v>
      </c>
      <c r="AB1059" t="inlineStr">
        <is>
          <t>U1058</t>
        </is>
      </c>
      <c r="AC1059" t="inlineStr">
        <is>
          <t>TU</t>
        </is>
      </c>
      <c r="AD1059" t="n">
        <v>34.8</v>
      </c>
      <c r="AE1059" t="n">
        <v>53.5</v>
      </c>
      <c r="AF1059" t="n">
        <v>26.7</v>
      </c>
      <c r="AG1059" t="inlineStr">
        <is>
          <t>1:26.7</t>
        </is>
      </c>
      <c r="AH1059" t="inlineStr">
        <is>
          <t>8%</t>
        </is>
      </c>
      <c r="AI1059" t="inlineStr"/>
      <c r="AJ1059" t="n">
        <v>36.08</v>
      </c>
    </row>
    <row r="1060">
      <c r="A1060" t="inlineStr">
        <is>
          <t>Pablo de Olavide University</t>
        </is>
      </c>
      <c r="B1060" t="inlineStr">
        <is>
          <t>Spain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>
        <is>
          <t>801–1000</t>
        </is>
      </c>
      <c r="O1060" t="inlineStr">
        <is>
          <t>32.7–36.9</t>
        </is>
      </c>
      <c r="P1060" t="n">
        <v>23.8</v>
      </c>
      <c r="Q1060" t="n">
        <v>17.5</v>
      </c>
      <c r="R1060" t="n">
        <v>58.5</v>
      </c>
      <c r="S1060" t="n">
        <v>66.90000000000001</v>
      </c>
      <c r="T1060" t="n">
        <v>47.8</v>
      </c>
      <c r="U1060" t="inlineStr">
        <is>
          <t>11,069</t>
        </is>
      </c>
      <c r="V1060" t="n">
        <v>12.2</v>
      </c>
      <c r="W1060" t="inlineStr">
        <is>
          <t>11%</t>
        </is>
      </c>
      <c r="X1060" t="inlineStr">
        <is>
          <t>59 : 41</t>
        </is>
      </c>
      <c r="Y1060" t="inlineStr"/>
      <c r="Z1060" t="n">
        <v>801</v>
      </c>
      <c r="AA1060" t="n">
        <v>34.8</v>
      </c>
      <c r="AB1060" t="inlineStr">
        <is>
          <t>U1059</t>
        </is>
      </c>
      <c r="AC1060" t="inlineStr">
        <is>
          <t>SP</t>
        </is>
      </c>
      <c r="AD1060" t="n">
        <v>34.8</v>
      </c>
      <c r="AE1060" t="n">
        <v>58.5</v>
      </c>
      <c r="AF1060" t="n">
        <v>12.2</v>
      </c>
      <c r="AG1060" t="inlineStr">
        <is>
          <t>1:12.2</t>
        </is>
      </c>
      <c r="AH1060" t="inlineStr">
        <is>
          <t>11%</t>
        </is>
      </c>
      <c r="AI1060" t="inlineStr"/>
      <c r="AJ1060" t="n">
        <v>31.85</v>
      </c>
    </row>
    <row r="1061">
      <c r="A1061" t="inlineStr">
        <is>
          <t>Pakistan Institute of Engineering and Applied Sciences (PIEAS)</t>
        </is>
      </c>
      <c r="B1061" t="inlineStr">
        <is>
          <t>Pakistan</t>
        </is>
      </c>
      <c r="C1061" t="inlineStr">
        <is>
          <t>691-700</t>
        </is>
      </c>
      <c r="D1061" t="inlineStr"/>
      <c r="E1061" t="n">
        <v>6.5</v>
      </c>
      <c r="F1061" t="n">
        <v>9.6</v>
      </c>
      <c r="G1061" t="n">
        <v>66.09999999999999</v>
      </c>
      <c r="H1061" t="n">
        <v>41</v>
      </c>
      <c r="I1061" t="inlineStr"/>
      <c r="J1061" t="n">
        <v>1</v>
      </c>
      <c r="K1061" t="n">
        <v>14.7</v>
      </c>
      <c r="L1061" t="n">
        <v>3.5</v>
      </c>
      <c r="M1061" t="n">
        <v>1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n">
        <v>691</v>
      </c>
      <c r="Z1061" t="inlineStr"/>
      <c r="AA1061" t="inlineStr"/>
      <c r="AB1061" t="inlineStr">
        <is>
          <t>U1060</t>
        </is>
      </c>
      <c r="AC1061" t="inlineStr">
        <is>
          <t>PA</t>
        </is>
      </c>
      <c r="AD1061" t="inlineStr"/>
      <c r="AE1061" t="n">
        <v>41</v>
      </c>
      <c r="AF1061" t="inlineStr"/>
      <c r="AG1061" t="inlineStr"/>
      <c r="AH1061" t="inlineStr"/>
      <c r="AI1061" t="n">
        <v>6.5</v>
      </c>
      <c r="AJ1061" t="n">
        <v>25.81</v>
      </c>
    </row>
    <row r="1062">
      <c r="A1062" t="inlineStr">
        <is>
          <t>Palacký University Olomouc</t>
        </is>
      </c>
      <c r="B1062" t="inlineStr">
        <is>
          <t>Czech Republic</t>
        </is>
      </c>
      <c r="C1062" t="inlineStr">
        <is>
          <t>651-660</t>
        </is>
      </c>
      <c r="D1062" t="inlineStr"/>
      <c r="E1062" t="n">
        <v>15.2</v>
      </c>
      <c r="F1062" t="n">
        <v>13.9</v>
      </c>
      <c r="G1062" t="n">
        <v>29.9</v>
      </c>
      <c r="H1062" t="n">
        <v>8.5</v>
      </c>
      <c r="I1062" t="n">
        <v>32.7</v>
      </c>
      <c r="J1062" t="n">
        <v>17.8</v>
      </c>
      <c r="K1062" t="n">
        <v>87.3</v>
      </c>
      <c r="L1062" t="n">
        <v>6.8</v>
      </c>
      <c r="M1062" t="n">
        <v>33</v>
      </c>
      <c r="N1062" t="inlineStr">
        <is>
          <t>801–1000</t>
        </is>
      </c>
      <c r="O1062" t="inlineStr">
        <is>
          <t>32.7–36.9</t>
        </is>
      </c>
      <c r="P1062" t="n">
        <v>23.4</v>
      </c>
      <c r="Q1062" t="n">
        <v>23.9</v>
      </c>
      <c r="R1062" t="n">
        <v>49.8</v>
      </c>
      <c r="S1062" t="n">
        <v>36.8</v>
      </c>
      <c r="T1062" t="n">
        <v>61.8</v>
      </c>
      <c r="U1062" t="inlineStr">
        <is>
          <t>19,474</t>
        </is>
      </c>
      <c r="V1062" t="n">
        <v>15.2</v>
      </c>
      <c r="W1062" t="inlineStr">
        <is>
          <t>14%</t>
        </is>
      </c>
      <c r="X1062" t="inlineStr">
        <is>
          <t>68 : 32</t>
        </is>
      </c>
      <c r="Y1062" t="n">
        <v>651</v>
      </c>
      <c r="Z1062" t="n">
        <v>801</v>
      </c>
      <c r="AA1062" t="n">
        <v>34.8</v>
      </c>
      <c r="AB1062" t="inlineStr">
        <is>
          <t>U1061</t>
        </is>
      </c>
      <c r="AC1062" t="inlineStr">
        <is>
          <t>CZ</t>
        </is>
      </c>
      <c r="AD1062" t="n">
        <v>34.8</v>
      </c>
      <c r="AE1062" t="n">
        <v>8.5</v>
      </c>
      <c r="AF1062" t="n">
        <v>15.2</v>
      </c>
      <c r="AG1062" t="inlineStr">
        <is>
          <t>1:15.2</t>
        </is>
      </c>
      <c r="AH1062" t="inlineStr">
        <is>
          <t>14%</t>
        </is>
      </c>
      <c r="AI1062" t="n">
        <v>15.2</v>
      </c>
      <c r="AJ1062" t="n">
        <v>23.44</v>
      </c>
    </row>
    <row r="1063">
      <c r="A1063" t="inlineStr">
        <is>
          <t>Pamukkale University</t>
        </is>
      </c>
      <c r="B1063" t="inlineStr">
        <is>
          <t>Turkey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>
        <is>
          <t>1501+</t>
        </is>
      </c>
      <c r="O1063" t="inlineStr">
        <is>
          <t>9.7–22.7</t>
        </is>
      </c>
      <c r="P1063" t="n">
        <v>15.2</v>
      </c>
      <c r="Q1063" t="n">
        <v>9.5</v>
      </c>
      <c r="R1063" t="n">
        <v>16.7</v>
      </c>
      <c r="S1063" t="n">
        <v>18.5</v>
      </c>
      <c r="T1063" t="n">
        <v>20.4</v>
      </c>
      <c r="U1063" t="inlineStr">
        <is>
          <t>33,761</t>
        </is>
      </c>
      <c r="V1063" t="n">
        <v>22</v>
      </c>
      <c r="W1063" t="inlineStr">
        <is>
          <t>3%</t>
        </is>
      </c>
      <c r="X1063" t="inlineStr">
        <is>
          <t>44 : 56</t>
        </is>
      </c>
      <c r="Y1063" t="inlineStr"/>
      <c r="Z1063" t="n">
        <v>1501</v>
      </c>
      <c r="AA1063" t="n">
        <v>16.2</v>
      </c>
      <c r="AB1063" t="inlineStr">
        <is>
          <t>U1062</t>
        </is>
      </c>
      <c r="AC1063" t="inlineStr">
        <is>
          <t>TU</t>
        </is>
      </c>
      <c r="AD1063" t="n">
        <v>16.2</v>
      </c>
      <c r="AE1063" t="n">
        <v>16.7</v>
      </c>
      <c r="AF1063" t="n">
        <v>22</v>
      </c>
      <c r="AG1063" t="inlineStr">
        <is>
          <t>1:22.0</t>
        </is>
      </c>
      <c r="AH1063" t="inlineStr">
        <is>
          <t>3%</t>
        </is>
      </c>
      <c r="AI1063" t="inlineStr"/>
      <c r="AJ1063" t="n">
        <v>8.369999999999999</v>
      </c>
    </row>
    <row r="1064">
      <c r="A1064" t="inlineStr">
        <is>
          <t>Panjab University</t>
        </is>
      </c>
      <c r="B1064" t="inlineStr">
        <is>
          <t>India</t>
        </is>
      </c>
      <c r="C1064" t="inlineStr">
        <is>
          <t>1001-1200</t>
        </is>
      </c>
      <c r="D1064" t="inlineStr"/>
      <c r="E1064" t="n">
        <v>7.8</v>
      </c>
      <c r="F1064" t="n">
        <v>7.3</v>
      </c>
      <c r="G1064" t="n">
        <v>6.2</v>
      </c>
      <c r="H1064" t="n">
        <v>24.1</v>
      </c>
      <c r="I1064" t="inlineStr"/>
      <c r="J1064" t="n">
        <v>1.7</v>
      </c>
      <c r="K1064" t="n">
        <v>30.9</v>
      </c>
      <c r="L1064" t="n">
        <v>31.8</v>
      </c>
      <c r="M1064" t="n">
        <v>2.4</v>
      </c>
      <c r="N1064" t="inlineStr">
        <is>
          <t>601–800</t>
        </is>
      </c>
      <c r="O1064" t="inlineStr">
        <is>
          <t>37.0–41.8</t>
        </is>
      </c>
      <c r="P1064" t="n">
        <v>32.6</v>
      </c>
      <c r="Q1064" t="n">
        <v>16.2</v>
      </c>
      <c r="R1064" t="n">
        <v>67.90000000000001</v>
      </c>
      <c r="S1064" t="n">
        <v>39.2</v>
      </c>
      <c r="T1064" t="n">
        <v>23.5</v>
      </c>
      <c r="U1064" t="inlineStr">
        <is>
          <t>19,695</t>
        </is>
      </c>
      <c r="V1064" t="n">
        <v>18.6</v>
      </c>
      <c r="W1064" t="inlineStr">
        <is>
          <t>1%</t>
        </is>
      </c>
      <c r="X1064" t="inlineStr">
        <is>
          <t>51 : 49</t>
        </is>
      </c>
      <c r="Y1064" t="n">
        <v>1001</v>
      </c>
      <c r="Z1064" t="n">
        <v>601</v>
      </c>
      <c r="AA1064" t="n">
        <v>39.4</v>
      </c>
      <c r="AB1064" t="inlineStr">
        <is>
          <t>U1063</t>
        </is>
      </c>
      <c r="AC1064" t="inlineStr">
        <is>
          <t>IN</t>
        </is>
      </c>
      <c r="AD1064" t="n">
        <v>39.4</v>
      </c>
      <c r="AE1064" t="n">
        <v>24.1</v>
      </c>
      <c r="AF1064" t="n">
        <v>18.6</v>
      </c>
      <c r="AG1064" t="inlineStr">
        <is>
          <t>1:18.6</t>
        </is>
      </c>
      <c r="AH1064" t="inlineStr">
        <is>
          <t>1%</t>
        </is>
      </c>
      <c r="AI1064" t="n">
        <v>7.8</v>
      </c>
      <c r="AJ1064" t="n">
        <v>14.87</v>
      </c>
    </row>
    <row r="1065">
      <c r="A1065" t="inlineStr">
        <is>
          <t>Panthéon-Sorbonne University – Paris 1</t>
        </is>
      </c>
      <c r="B1065" t="inlineStr">
        <is>
          <t>France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>
        <is>
          <t>801–1000</t>
        </is>
      </c>
      <c r="O1065" t="inlineStr">
        <is>
          <t>32.7–36.9</t>
        </is>
      </c>
      <c r="P1065" t="n">
        <v>33.9</v>
      </c>
      <c r="Q1065" t="n">
        <v>31.8</v>
      </c>
      <c r="R1065" t="n">
        <v>36.6</v>
      </c>
      <c r="S1065" t="n">
        <v>27.3</v>
      </c>
      <c r="T1065" t="n">
        <v>67.7</v>
      </c>
      <c r="U1065" t="inlineStr">
        <is>
          <t>36,995</t>
        </is>
      </c>
      <c r="V1065" t="n">
        <v>29.8</v>
      </c>
      <c r="W1065" t="inlineStr">
        <is>
          <t>20%</t>
        </is>
      </c>
      <c r="X1065" t="inlineStr">
        <is>
          <t>62 : 38</t>
        </is>
      </c>
      <c r="Y1065" t="inlineStr"/>
      <c r="Z1065" t="n">
        <v>801</v>
      </c>
      <c r="AA1065" t="n">
        <v>34.8</v>
      </c>
      <c r="AB1065" t="inlineStr">
        <is>
          <t>U1064</t>
        </is>
      </c>
      <c r="AC1065" t="inlineStr">
        <is>
          <t>FR</t>
        </is>
      </c>
      <c r="AD1065" t="n">
        <v>34.8</v>
      </c>
      <c r="AE1065" t="n">
        <v>36.6</v>
      </c>
      <c r="AF1065" t="n">
        <v>29.8</v>
      </c>
      <c r="AG1065" t="inlineStr">
        <is>
          <t>1:29.8</t>
        </is>
      </c>
      <c r="AH1065" t="inlineStr">
        <is>
          <t>20%</t>
        </is>
      </c>
      <c r="AI1065" t="inlineStr"/>
      <c r="AJ1065" t="n">
        <v>37.52</v>
      </c>
    </row>
    <row r="1066">
      <c r="A1066" t="inlineStr">
        <is>
          <t>Paris Lodron Universität Salzburg</t>
        </is>
      </c>
      <c r="B1066" t="inlineStr">
        <is>
          <t>Austria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>
        <is>
          <t>601–800</t>
        </is>
      </c>
      <c r="O1066" t="inlineStr">
        <is>
          <t>37.0–41.8</t>
        </is>
      </c>
      <c r="P1066" t="n">
        <v>31.6</v>
      </c>
      <c r="Q1066" t="n">
        <v>23.4</v>
      </c>
      <c r="R1066" t="n">
        <v>55</v>
      </c>
      <c r="S1066" t="n">
        <v>45.8</v>
      </c>
      <c r="T1066" t="n">
        <v>93.40000000000001</v>
      </c>
      <c r="U1066" t="inlineStr">
        <is>
          <t>6,307</t>
        </is>
      </c>
      <c r="V1066" t="n">
        <v>10</v>
      </c>
      <c r="W1066" t="inlineStr">
        <is>
          <t>35%</t>
        </is>
      </c>
      <c r="X1066" t="inlineStr">
        <is>
          <t>67 : 33</t>
        </is>
      </c>
      <c r="Y1066" t="inlineStr"/>
      <c r="Z1066" t="n">
        <v>601</v>
      </c>
      <c r="AA1066" t="n">
        <v>39.4</v>
      </c>
      <c r="AB1066" t="inlineStr">
        <is>
          <t>U1065</t>
        </is>
      </c>
      <c r="AC1066" t="inlineStr">
        <is>
          <t>AU</t>
        </is>
      </c>
      <c r="AD1066" t="n">
        <v>39.4</v>
      </c>
      <c r="AE1066" t="n">
        <v>55</v>
      </c>
      <c r="AF1066" t="n">
        <v>10</v>
      </c>
      <c r="AG1066" t="inlineStr">
        <is>
          <t>1:10.0</t>
        </is>
      </c>
      <c r="AH1066" t="inlineStr">
        <is>
          <t>35%</t>
        </is>
      </c>
      <c r="AI1066" t="inlineStr"/>
      <c r="AJ1066" t="n">
        <v>44.91</v>
      </c>
    </row>
    <row r="1067">
      <c r="A1067" t="inlineStr">
        <is>
          <t>Paris Lodron University of Salzburg</t>
        </is>
      </c>
      <c r="B1067" t="inlineStr">
        <is>
          <t>Austria</t>
        </is>
      </c>
      <c r="C1067" t="inlineStr">
        <is>
          <t>601-610</t>
        </is>
      </c>
      <c r="D1067" t="inlineStr"/>
      <c r="E1067" t="n">
        <v>9.699999999999999</v>
      </c>
      <c r="F1067" t="n">
        <v>2.9</v>
      </c>
      <c r="G1067" t="n">
        <v>20.8</v>
      </c>
      <c r="H1067" t="n">
        <v>6.8</v>
      </c>
      <c r="I1067" t="n">
        <v>96.09999999999999</v>
      </c>
      <c r="J1067" t="n">
        <v>93.7</v>
      </c>
      <c r="K1067" t="n">
        <v>55.5</v>
      </c>
      <c r="L1067" t="n">
        <v>15.7</v>
      </c>
      <c r="M1067" t="n">
        <v>39.5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n">
        <v>601</v>
      </c>
      <c r="Z1067" t="inlineStr"/>
      <c r="AA1067" t="inlineStr"/>
      <c r="AB1067" t="inlineStr">
        <is>
          <t>U1066</t>
        </is>
      </c>
      <c r="AC1067" t="inlineStr">
        <is>
          <t>AU</t>
        </is>
      </c>
      <c r="AD1067" t="inlineStr"/>
      <c r="AE1067" t="n">
        <v>6.8</v>
      </c>
      <c r="AF1067" t="inlineStr"/>
      <c r="AG1067" t="inlineStr"/>
      <c r="AH1067" t="inlineStr"/>
      <c r="AI1067" t="n">
        <v>9.699999999999999</v>
      </c>
      <c r="AJ1067" t="n">
        <v>15.45</v>
      </c>
    </row>
    <row r="1068">
      <c r="A1068" t="inlineStr">
        <is>
          <t>Paris Nanterre University</t>
        </is>
      </c>
      <c r="B1068" t="inlineStr">
        <is>
          <t>France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>
        <is>
          <t>1201–1500</t>
        </is>
      </c>
      <c r="O1068" t="inlineStr">
        <is>
          <t>22.8–28.2</t>
        </is>
      </c>
      <c r="P1068" t="n">
        <v>20.9</v>
      </c>
      <c r="Q1068" t="n">
        <v>16.8</v>
      </c>
      <c r="R1068" t="n">
        <v>27.9</v>
      </c>
      <c r="S1068" t="n">
        <v>42.9</v>
      </c>
      <c r="T1068" t="n">
        <v>66.7</v>
      </c>
      <c r="U1068" t="inlineStr">
        <is>
          <t>35,218</t>
        </is>
      </c>
      <c r="V1068" t="n">
        <v>23.4</v>
      </c>
      <c r="W1068" t="inlineStr">
        <is>
          <t>16%</t>
        </is>
      </c>
      <c r="X1068" t="inlineStr">
        <is>
          <t>64 : 36</t>
        </is>
      </c>
      <c r="Y1068" t="inlineStr"/>
      <c r="Z1068" t="n">
        <v>1201</v>
      </c>
      <c r="AA1068" t="n">
        <v>25.5</v>
      </c>
      <c r="AB1068" t="inlineStr">
        <is>
          <t>U1067</t>
        </is>
      </c>
      <c r="AC1068" t="inlineStr">
        <is>
          <t>FR</t>
        </is>
      </c>
      <c r="AD1068" t="n">
        <v>25.5</v>
      </c>
      <c r="AE1068" t="n">
        <v>27.9</v>
      </c>
      <c r="AF1068" t="n">
        <v>23.4</v>
      </c>
      <c r="AG1068" t="inlineStr">
        <is>
          <t>1:23.4</t>
        </is>
      </c>
      <c r="AH1068" t="inlineStr">
        <is>
          <t>16%</t>
        </is>
      </c>
      <c r="AI1068" t="inlineStr"/>
      <c r="AJ1068" t="n">
        <v>26.78</v>
      </c>
    </row>
    <row r="1069">
      <c r="A1069" t="inlineStr">
        <is>
          <t>Paris Sciences et Lettres – PSL Research University Paris</t>
        </is>
      </c>
      <c r="B1069" t="inlineStr">
        <is>
          <t>France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>
        <is>
          <t>40</t>
        </is>
      </c>
      <c r="O1069" t="inlineStr">
        <is>
          <t>78.5</t>
        </is>
      </c>
      <c r="P1069" t="n">
        <v>75.7</v>
      </c>
      <c r="Q1069" t="n">
        <v>72.8</v>
      </c>
      <c r="R1069" t="n">
        <v>83.2</v>
      </c>
      <c r="S1069" t="n">
        <v>99.7</v>
      </c>
      <c r="T1069" t="n">
        <v>81.59999999999999</v>
      </c>
      <c r="U1069" t="inlineStr">
        <is>
          <t>16,120</t>
        </is>
      </c>
      <c r="V1069" t="n">
        <v>15</v>
      </c>
      <c r="W1069" t="inlineStr">
        <is>
          <t>22%</t>
        </is>
      </c>
      <c r="X1069" t="inlineStr">
        <is>
          <t>51 : 49</t>
        </is>
      </c>
      <c r="Y1069" t="inlineStr"/>
      <c r="Z1069" t="n">
        <v>40</v>
      </c>
      <c r="AA1069" t="n">
        <v>78.5</v>
      </c>
      <c r="AB1069" t="inlineStr">
        <is>
          <t>U1068</t>
        </is>
      </c>
      <c r="AC1069" t="inlineStr">
        <is>
          <t>FR</t>
        </is>
      </c>
      <c r="AD1069" t="n">
        <v>78.5</v>
      </c>
      <c r="AE1069" t="n">
        <v>83.2</v>
      </c>
      <c r="AF1069" t="n">
        <v>15</v>
      </c>
      <c r="AG1069" t="inlineStr">
        <is>
          <t>1:15.0</t>
        </is>
      </c>
      <c r="AH1069" t="inlineStr">
        <is>
          <t>22%</t>
        </is>
      </c>
      <c r="AI1069" t="inlineStr"/>
      <c r="AJ1069" t="n">
        <v>76.48999999999999</v>
      </c>
    </row>
    <row r="1070">
      <c r="A1070" t="inlineStr">
        <is>
          <t>Parthenope University of Naples</t>
        </is>
      </c>
      <c r="B1070" t="inlineStr">
        <is>
          <t>Italy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>
        <is>
          <t>601–800</t>
        </is>
      </c>
      <c r="O1070" t="inlineStr">
        <is>
          <t>37.0–41.8</t>
        </is>
      </c>
      <c r="P1070" t="n">
        <v>18.5</v>
      </c>
      <c r="Q1070" t="n">
        <v>22.6</v>
      </c>
      <c r="R1070" t="n">
        <v>78.2</v>
      </c>
      <c r="S1070" t="n">
        <v>25.6</v>
      </c>
      <c r="T1070" t="n">
        <v>32.2</v>
      </c>
      <c r="U1070" t="inlineStr">
        <is>
          <t>11,126</t>
        </is>
      </c>
      <c r="V1070" t="n">
        <v>32.4</v>
      </c>
      <c r="W1070" t="inlineStr">
        <is>
          <t>1%</t>
        </is>
      </c>
      <c r="X1070" t="inlineStr">
        <is>
          <t>42 : 58</t>
        </is>
      </c>
      <c r="Y1070" t="inlineStr"/>
      <c r="Z1070" t="n">
        <v>601</v>
      </c>
      <c r="AA1070" t="n">
        <v>39.4</v>
      </c>
      <c r="AB1070" t="inlineStr">
        <is>
          <t>U1069</t>
        </is>
      </c>
      <c r="AC1070" t="inlineStr">
        <is>
          <t>IT</t>
        </is>
      </c>
      <c r="AD1070" t="n">
        <v>39.4</v>
      </c>
      <c r="AE1070" t="n">
        <v>78.2</v>
      </c>
      <c r="AF1070" t="n">
        <v>32.4</v>
      </c>
      <c r="AG1070" t="inlineStr">
        <is>
          <t>1:32.4</t>
        </is>
      </c>
      <c r="AH1070" t="inlineStr">
        <is>
          <t>1%</t>
        </is>
      </c>
      <c r="AI1070" t="inlineStr"/>
      <c r="AJ1070" t="n">
        <v>36.72</v>
      </c>
    </row>
    <row r="1071">
      <c r="A1071" t="inlineStr">
        <is>
          <t>Paul Valéry University Montpellier</t>
        </is>
      </c>
      <c r="B1071" t="inlineStr">
        <is>
          <t>France</t>
        </is>
      </c>
      <c r="C1071" t="inlineStr">
        <is>
          <t>1001-1200</t>
        </is>
      </c>
      <c r="D1071" t="inlineStr"/>
      <c r="E1071" t="n">
        <v>11.8</v>
      </c>
      <c r="F1071" t="n">
        <v>2.8</v>
      </c>
      <c r="G1071" t="n">
        <v>2.9</v>
      </c>
      <c r="H1071" t="n">
        <v>5.3</v>
      </c>
      <c r="I1071" t="n">
        <v>5</v>
      </c>
      <c r="J1071" t="n">
        <v>32.2</v>
      </c>
      <c r="K1071" t="n">
        <v>48.3</v>
      </c>
      <c r="L1071" t="n">
        <v>2.1</v>
      </c>
      <c r="M1071" t="n">
        <v>2.8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n">
        <v>1001</v>
      </c>
      <c r="Z1071" t="inlineStr"/>
      <c r="AA1071" t="inlineStr"/>
      <c r="AB1071" t="inlineStr">
        <is>
          <t>U1070</t>
        </is>
      </c>
      <c r="AC1071" t="inlineStr">
        <is>
          <t>FR</t>
        </is>
      </c>
      <c r="AD1071" t="inlineStr"/>
      <c r="AE1071" t="n">
        <v>5.3</v>
      </c>
      <c r="AF1071" t="inlineStr"/>
      <c r="AG1071" t="inlineStr"/>
      <c r="AH1071" t="inlineStr"/>
      <c r="AI1071" t="n">
        <v>11.8</v>
      </c>
      <c r="AJ1071" t="n">
        <v>14.99</v>
      </c>
    </row>
    <row r="1072">
      <c r="A1072" t="inlineStr">
        <is>
          <t>Pavlov First Saint Petersburg State Medical University</t>
        </is>
      </c>
      <c r="B1072" t="inlineStr">
        <is>
          <t>Russian Federation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>
        <is>
          <t>1501+</t>
        </is>
      </c>
      <c r="O1072" t="inlineStr">
        <is>
          <t>9.7–22.7</t>
        </is>
      </c>
      <c r="P1072" t="n">
        <v>29.4</v>
      </c>
      <c r="Q1072" t="n">
        <v>10.7</v>
      </c>
      <c r="R1072" t="n">
        <v>12.5</v>
      </c>
      <c r="S1072" t="n">
        <v>25.3</v>
      </c>
      <c r="T1072" t="n">
        <v>34.4</v>
      </c>
      <c r="U1072" t="inlineStr">
        <is>
          <t>5,462</t>
        </is>
      </c>
      <c r="V1072" t="n">
        <v>7</v>
      </c>
      <c r="W1072" t="inlineStr">
        <is>
          <t>14%</t>
        </is>
      </c>
      <c r="X1072" t="inlineStr">
        <is>
          <t>75 : 25</t>
        </is>
      </c>
      <c r="Y1072" t="inlineStr"/>
      <c r="Z1072" t="n">
        <v>1501</v>
      </c>
      <c r="AA1072" t="n">
        <v>16.2</v>
      </c>
      <c r="AB1072" t="inlineStr">
        <is>
          <t>U1071</t>
        </is>
      </c>
      <c r="AC1072" t="inlineStr">
        <is>
          <t>RU</t>
        </is>
      </c>
      <c r="AD1072" t="n">
        <v>16.2</v>
      </c>
      <c r="AE1072" t="n">
        <v>12.5</v>
      </c>
      <c r="AF1072" t="n">
        <v>7</v>
      </c>
      <c r="AG1072" t="inlineStr">
        <is>
          <t>1:7.0</t>
        </is>
      </c>
      <c r="AH1072" t="inlineStr">
        <is>
          <t>14%</t>
        </is>
      </c>
      <c r="AI1072" t="inlineStr"/>
      <c r="AJ1072" t="n">
        <v>11.11</v>
      </c>
    </row>
    <row r="1073">
      <c r="A1073" t="inlineStr">
        <is>
          <t>Pavol Jozef Šafárik University in Košice</t>
        </is>
      </c>
      <c r="B1073" t="inlineStr">
        <is>
          <t>Slovakia</t>
        </is>
      </c>
      <c r="C1073" t="inlineStr">
        <is>
          <t>851-900</t>
        </is>
      </c>
      <c r="D1073" t="inlineStr"/>
      <c r="E1073" t="n">
        <v>4.7</v>
      </c>
      <c r="F1073" t="n">
        <v>5.1</v>
      </c>
      <c r="G1073" t="n">
        <v>59.7</v>
      </c>
      <c r="H1073" t="n">
        <v>3</v>
      </c>
      <c r="I1073" t="n">
        <v>5.1</v>
      </c>
      <c r="J1073" t="n">
        <v>65.3</v>
      </c>
      <c r="K1073" t="n">
        <v>41.7</v>
      </c>
      <c r="L1073" t="n">
        <v>4.6</v>
      </c>
      <c r="M1073" t="n">
        <v>1</v>
      </c>
      <c r="N1073" t="inlineStr">
        <is>
          <t>1201–1500</t>
        </is>
      </c>
      <c r="O1073" t="inlineStr">
        <is>
          <t>22.8–28.2</t>
        </is>
      </c>
      <c r="P1073" t="n">
        <v>40.7</v>
      </c>
      <c r="Q1073" t="n">
        <v>10.2</v>
      </c>
      <c r="R1073" t="n">
        <v>17.1</v>
      </c>
      <c r="S1073" t="n">
        <v>24.9</v>
      </c>
      <c r="T1073" t="n">
        <v>62.1</v>
      </c>
      <c r="U1073" t="inlineStr">
        <is>
          <t>7,060</t>
        </is>
      </c>
      <c r="V1073" t="n">
        <v>10.3</v>
      </c>
      <c r="W1073" t="inlineStr">
        <is>
          <t>24%</t>
        </is>
      </c>
      <c r="X1073" t="inlineStr">
        <is>
          <t>67 : 33</t>
        </is>
      </c>
      <c r="Y1073" t="n">
        <v>851</v>
      </c>
      <c r="Z1073" t="n">
        <v>1201</v>
      </c>
      <c r="AA1073" t="n">
        <v>25.5</v>
      </c>
      <c r="AB1073" t="inlineStr">
        <is>
          <t>U1072</t>
        </is>
      </c>
      <c r="AC1073" t="inlineStr">
        <is>
          <t>SL</t>
        </is>
      </c>
      <c r="AD1073" t="n">
        <v>25.5</v>
      </c>
      <c r="AE1073" t="n">
        <v>3</v>
      </c>
      <c r="AF1073" t="n">
        <v>10.3</v>
      </c>
      <c r="AG1073" t="inlineStr">
        <is>
          <t>1:10.3</t>
        </is>
      </c>
      <c r="AH1073" t="inlineStr">
        <is>
          <t>24%</t>
        </is>
      </c>
      <c r="AI1073" t="n">
        <v>4.7</v>
      </c>
      <c r="AJ1073" t="n">
        <v>14.67</v>
      </c>
    </row>
    <row r="1074">
      <c r="A1074" t="inlineStr">
        <is>
          <t>Payame Noor University</t>
        </is>
      </c>
      <c r="B1074" t="inlineStr">
        <is>
          <t>Iran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>
        <is>
          <t>1501+</t>
        </is>
      </c>
      <c r="O1074" t="inlineStr">
        <is>
          <t>9.7–22.7</t>
        </is>
      </c>
      <c r="P1074" t="n">
        <v>12.9</v>
      </c>
      <c r="Q1074" t="n">
        <v>9.1</v>
      </c>
      <c r="R1074" t="n">
        <v>26.1</v>
      </c>
      <c r="S1074" t="n">
        <v>19.6</v>
      </c>
      <c r="T1074" t="n">
        <v>21.3</v>
      </c>
      <c r="U1074" t="inlineStr">
        <is>
          <t>428,888</t>
        </is>
      </c>
      <c r="V1074" t="n">
        <v>120.3</v>
      </c>
      <c r="W1074" t="inlineStr">
        <is>
          <t>1%</t>
        </is>
      </c>
      <c r="X1074" t="inlineStr">
        <is>
          <t>60 : 40</t>
        </is>
      </c>
      <c r="Y1074" t="inlineStr"/>
      <c r="Z1074" t="n">
        <v>1501</v>
      </c>
      <c r="AA1074" t="n">
        <v>16.2</v>
      </c>
      <c r="AB1074" t="inlineStr">
        <is>
          <t>U1073</t>
        </is>
      </c>
      <c r="AC1074" t="inlineStr">
        <is>
          <t>IR</t>
        </is>
      </c>
      <c r="AD1074" t="n">
        <v>16.2</v>
      </c>
      <c r="AE1074" t="n">
        <v>26.1</v>
      </c>
      <c r="AF1074" t="n">
        <v>120.3</v>
      </c>
      <c r="AG1074" t="inlineStr">
        <is>
          <t>1:120.3</t>
        </is>
      </c>
      <c r="AH1074" t="inlineStr">
        <is>
          <t>1%</t>
        </is>
      </c>
      <c r="AI1074" t="inlineStr"/>
      <c r="AJ1074" t="n">
        <v>11.22</v>
      </c>
    </row>
    <row r="1075">
      <c r="A1075" t="inlineStr">
        <is>
          <t>Pedagogical and Technological University of Colombia</t>
        </is>
      </c>
      <c r="B1075" t="inlineStr">
        <is>
          <t>Colombia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>
        <is>
          <t>1501+</t>
        </is>
      </c>
      <c r="O1075" t="inlineStr">
        <is>
          <t>9.7–22.7</t>
        </is>
      </c>
      <c r="P1075" t="n">
        <v>19.3</v>
      </c>
      <c r="Q1075" t="n">
        <v>7.7</v>
      </c>
      <c r="R1075" t="n">
        <v>5.2</v>
      </c>
      <c r="S1075" t="n">
        <v>16</v>
      </c>
      <c r="T1075" t="n">
        <v>35.5</v>
      </c>
      <c r="U1075" t="inlineStr">
        <is>
          <t>33,268</t>
        </is>
      </c>
      <c r="V1075" t="n">
        <v>16</v>
      </c>
      <c r="W1075" t="inlineStr">
        <is>
          <t>0%</t>
        </is>
      </c>
      <c r="X1075" t="inlineStr">
        <is>
          <t>54 : 46</t>
        </is>
      </c>
      <c r="Y1075" t="inlineStr"/>
      <c r="Z1075" t="n">
        <v>1501</v>
      </c>
      <c r="AA1075" t="n">
        <v>16.2</v>
      </c>
      <c r="AB1075" t="inlineStr">
        <is>
          <t>U1074</t>
        </is>
      </c>
      <c r="AC1075" t="inlineStr">
        <is>
          <t>CO</t>
        </is>
      </c>
      <c r="AD1075" t="n">
        <v>16.2</v>
      </c>
      <c r="AE1075" t="n">
        <v>5.2</v>
      </c>
      <c r="AF1075" t="n">
        <v>16</v>
      </c>
      <c r="AG1075" t="inlineStr">
        <is>
          <t>1:16.0</t>
        </is>
      </c>
      <c r="AH1075" t="inlineStr">
        <is>
          <t>0%</t>
        </is>
      </c>
      <c r="AI1075" t="inlineStr"/>
      <c r="AJ1075" t="n">
        <v>7.59</v>
      </c>
    </row>
    <row r="1076">
      <c r="A1076" t="inlineStr">
        <is>
          <t>Peking University</t>
        </is>
      </c>
      <c r="B1076" t="inlineStr">
        <is>
          <t>China</t>
        </is>
      </c>
      <c r="C1076" t="inlineStr">
        <is>
          <t>14</t>
        </is>
      </c>
      <c r="D1076" t="n">
        <v>88.5</v>
      </c>
      <c r="E1076" t="n">
        <v>99.5</v>
      </c>
      <c r="F1076" t="n">
        <v>96.59999999999999</v>
      </c>
      <c r="G1076" t="n">
        <v>92.59999999999999</v>
      </c>
      <c r="H1076" t="n">
        <v>97.7</v>
      </c>
      <c r="I1076" t="n">
        <v>50.3</v>
      </c>
      <c r="J1076" t="n">
        <v>23.6</v>
      </c>
      <c r="K1076" t="n">
        <v>79.8</v>
      </c>
      <c r="L1076" t="n">
        <v>94.2</v>
      </c>
      <c r="M1076" t="n">
        <v>46.9</v>
      </c>
      <c r="N1076" t="inlineStr">
        <is>
          <t>14</t>
        </is>
      </c>
      <c r="O1076" t="inlineStr">
        <is>
          <t>91.8</t>
        </is>
      </c>
      <c r="P1076" t="n">
        <v>95.59999999999999</v>
      </c>
      <c r="Q1076" t="n">
        <v>97.3</v>
      </c>
      <c r="R1076" t="n">
        <v>87.2</v>
      </c>
      <c r="S1076" t="n">
        <v>98.8</v>
      </c>
      <c r="T1076" t="n">
        <v>70.2</v>
      </c>
      <c r="U1076" t="inlineStr">
        <is>
          <t>33,064</t>
        </is>
      </c>
      <c r="V1076" t="n">
        <v>10.9</v>
      </c>
      <c r="W1076" t="inlineStr">
        <is>
          <t>14%</t>
        </is>
      </c>
      <c r="X1076" t="inlineStr"/>
      <c r="Y1076" t="n">
        <v>14</v>
      </c>
      <c r="Z1076" t="n">
        <v>14</v>
      </c>
      <c r="AA1076" t="n">
        <v>91.8</v>
      </c>
      <c r="AB1076" t="inlineStr">
        <is>
          <t>U1075</t>
        </is>
      </c>
      <c r="AC1076" t="inlineStr">
        <is>
          <t>CH</t>
        </is>
      </c>
      <c r="AD1076" t="n">
        <v>88.5</v>
      </c>
      <c r="AE1076" t="n">
        <v>97.7</v>
      </c>
      <c r="AF1076" t="n">
        <v>10.9</v>
      </c>
      <c r="AG1076" t="inlineStr">
        <is>
          <t>1:10.9</t>
        </is>
      </c>
      <c r="AH1076" t="inlineStr">
        <is>
          <t>14%</t>
        </is>
      </c>
      <c r="AI1076" t="n">
        <v>99.5</v>
      </c>
      <c r="AJ1076" t="n">
        <v>90.97</v>
      </c>
    </row>
    <row r="1077">
      <c r="A1077" t="inlineStr">
        <is>
          <t>Penn State (Main campus)</t>
        </is>
      </c>
      <c r="B1077" t="inlineStr">
        <is>
          <t>United States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>
        <is>
          <t>122</t>
        </is>
      </c>
      <c r="O1077" t="inlineStr">
        <is>
          <t>65.0</t>
        </is>
      </c>
      <c r="P1077" t="n">
        <v>53.1</v>
      </c>
      <c r="Q1077" t="n">
        <v>58.7</v>
      </c>
      <c r="R1077" t="n">
        <v>83.7</v>
      </c>
      <c r="S1077" t="n">
        <v>70.40000000000001</v>
      </c>
      <c r="T1077" t="n">
        <v>58.4</v>
      </c>
      <c r="U1077" t="inlineStr">
        <is>
          <t>45,875</t>
        </is>
      </c>
      <c r="V1077" t="n">
        <v>14.2</v>
      </c>
      <c r="W1077" t="inlineStr">
        <is>
          <t>15%</t>
        </is>
      </c>
      <c r="X1077" t="inlineStr">
        <is>
          <t>48 : 52</t>
        </is>
      </c>
      <c r="Y1077" t="inlineStr"/>
      <c r="Z1077" t="n">
        <v>122</v>
      </c>
      <c r="AA1077" t="n">
        <v>65</v>
      </c>
      <c r="AB1077" t="inlineStr">
        <is>
          <t>U1076</t>
        </is>
      </c>
      <c r="AC1077" t="inlineStr">
        <is>
          <t>UN</t>
        </is>
      </c>
      <c r="AD1077" t="n">
        <v>65</v>
      </c>
      <c r="AE1077" t="n">
        <v>83.7</v>
      </c>
      <c r="AF1077" t="n">
        <v>14.2</v>
      </c>
      <c r="AG1077" t="inlineStr">
        <is>
          <t>1:14.2</t>
        </is>
      </c>
      <c r="AH1077" t="inlineStr">
        <is>
          <t>15%</t>
        </is>
      </c>
      <c r="AI1077" t="inlineStr"/>
      <c r="AJ1077" t="n">
        <v>63.64</v>
      </c>
    </row>
    <row r="1078">
      <c r="A1078" t="inlineStr">
        <is>
          <t>Pennsylvania State University</t>
        </is>
      </c>
      <c r="B1078" t="inlineStr">
        <is>
          <t>United States</t>
        </is>
      </c>
      <c r="C1078" t="inlineStr">
        <is>
          <t>89</t>
        </is>
      </c>
      <c r="D1078" t="n">
        <v>61.7</v>
      </c>
      <c r="E1078" t="n">
        <v>76.59999999999999</v>
      </c>
      <c r="F1078" t="n">
        <v>64.5</v>
      </c>
      <c r="G1078" t="n">
        <v>25</v>
      </c>
      <c r="H1078" t="n">
        <v>55.4</v>
      </c>
      <c r="I1078" t="n">
        <v>25.1</v>
      </c>
      <c r="J1078" t="n">
        <v>28</v>
      </c>
      <c r="K1078" t="n">
        <v>97.90000000000001</v>
      </c>
      <c r="L1078" t="n">
        <v>61.9</v>
      </c>
      <c r="M1078" t="n">
        <v>96.5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n">
        <v>89</v>
      </c>
      <c r="Z1078" t="inlineStr"/>
      <c r="AA1078" t="inlineStr"/>
      <c r="AB1078" t="inlineStr">
        <is>
          <t>U1077</t>
        </is>
      </c>
      <c r="AC1078" t="inlineStr">
        <is>
          <t>UN</t>
        </is>
      </c>
      <c r="AD1078" t="n">
        <v>61.7</v>
      </c>
      <c r="AE1078" t="n">
        <v>55.4</v>
      </c>
      <c r="AF1078" t="inlineStr"/>
      <c r="AG1078" t="inlineStr"/>
      <c r="AH1078" t="inlineStr"/>
      <c r="AI1078" t="n">
        <v>76.59999999999999</v>
      </c>
      <c r="AJ1078" t="n">
        <v>30.18</v>
      </c>
    </row>
    <row r="1079">
      <c r="A1079" t="inlineStr">
        <is>
          <t>Penza State University</t>
        </is>
      </c>
      <c r="B1079" t="inlineStr">
        <is>
          <t>Russian Federation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>
        <is>
          <t>1501+</t>
        </is>
      </c>
      <c r="O1079" t="inlineStr">
        <is>
          <t>9.7–22.7</t>
        </is>
      </c>
      <c r="P1079" t="n">
        <v>14.3</v>
      </c>
      <c r="Q1079" t="n">
        <v>8.699999999999999</v>
      </c>
      <c r="R1079" t="n">
        <v>7.8</v>
      </c>
      <c r="S1079" t="n">
        <v>16.3</v>
      </c>
      <c r="T1079" t="n">
        <v>32.8</v>
      </c>
      <c r="U1079" t="inlineStr">
        <is>
          <t>17,934</t>
        </is>
      </c>
      <c r="V1079" t="n">
        <v>17.2</v>
      </c>
      <c r="W1079" t="inlineStr">
        <is>
          <t>12%</t>
        </is>
      </c>
      <c r="X1079" t="inlineStr">
        <is>
          <t>56 : 44</t>
        </is>
      </c>
      <c r="Y1079" t="inlineStr"/>
      <c r="Z1079" t="n">
        <v>1501</v>
      </c>
      <c r="AA1079" t="n">
        <v>16.2</v>
      </c>
      <c r="AB1079" t="inlineStr">
        <is>
          <t>U1078</t>
        </is>
      </c>
      <c r="AC1079" t="inlineStr">
        <is>
          <t>RU</t>
        </is>
      </c>
      <c r="AD1079" t="n">
        <v>16.2</v>
      </c>
      <c r="AE1079" t="n">
        <v>7.8</v>
      </c>
      <c r="AF1079" t="n">
        <v>17.2</v>
      </c>
      <c r="AG1079" t="inlineStr">
        <is>
          <t>1:17.2</t>
        </is>
      </c>
      <c r="AH1079" t="inlineStr">
        <is>
          <t>12%</t>
        </is>
      </c>
      <c r="AI1079" t="inlineStr"/>
      <c r="AJ1079" t="n">
        <v>8.25</v>
      </c>
    </row>
    <row r="1080">
      <c r="A1080" t="inlineStr">
        <is>
          <t>Perm National Research Polytechnic University</t>
        </is>
      </c>
      <c r="B1080" t="inlineStr">
        <is>
          <t>Russian Federation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>
        <is>
          <t>1501+</t>
        </is>
      </c>
      <c r="O1080" t="inlineStr">
        <is>
          <t>9.7–22.7</t>
        </is>
      </c>
      <c r="P1080" t="n">
        <v>23.7</v>
      </c>
      <c r="Q1080" t="n">
        <v>13.4</v>
      </c>
      <c r="R1080" t="n">
        <v>9.9</v>
      </c>
      <c r="S1080" t="n">
        <v>50</v>
      </c>
      <c r="T1080" t="n">
        <v>28.4</v>
      </c>
      <c r="U1080" t="inlineStr">
        <is>
          <t>8,719</t>
        </is>
      </c>
      <c r="V1080" t="n">
        <v>10.2</v>
      </c>
      <c r="W1080" t="inlineStr">
        <is>
          <t>9%</t>
        </is>
      </c>
      <c r="X1080" t="inlineStr">
        <is>
          <t>37 : 63</t>
        </is>
      </c>
      <c r="Y1080" t="inlineStr"/>
      <c r="Z1080" t="n">
        <v>1501</v>
      </c>
      <c r="AA1080" t="n">
        <v>16.2</v>
      </c>
      <c r="AB1080" t="inlineStr">
        <is>
          <t>U1079</t>
        </is>
      </c>
      <c r="AC1080" t="inlineStr">
        <is>
          <t>RU</t>
        </is>
      </c>
      <c r="AD1080" t="n">
        <v>16.2</v>
      </c>
      <c r="AE1080" t="n">
        <v>9.9</v>
      </c>
      <c r="AF1080" t="n">
        <v>10.2</v>
      </c>
      <c r="AG1080" t="inlineStr">
        <is>
          <t>1:10.2</t>
        </is>
      </c>
      <c r="AH1080" t="inlineStr">
        <is>
          <t>9%</t>
        </is>
      </c>
      <c r="AI1080" t="inlineStr"/>
      <c r="AJ1080" t="n">
        <v>10.28</v>
      </c>
    </row>
    <row r="1081">
      <c r="A1081" t="inlineStr">
        <is>
          <t>Perm State National Research University</t>
        </is>
      </c>
      <c r="B1081" t="inlineStr">
        <is>
          <t>Russian Federation</t>
        </is>
      </c>
      <c r="C1081" t="inlineStr">
        <is>
          <t>1201-1400</t>
        </is>
      </c>
      <c r="D1081" t="inlineStr"/>
      <c r="E1081" t="n">
        <v>4.4</v>
      </c>
      <c r="F1081" t="n">
        <v>1.7</v>
      </c>
      <c r="G1081" t="n">
        <v>34.5</v>
      </c>
      <c r="H1081" t="n">
        <v>1.5</v>
      </c>
      <c r="I1081" t="n">
        <v>1.4</v>
      </c>
      <c r="J1081" t="n">
        <v>8.300000000000001</v>
      </c>
      <c r="K1081" t="n">
        <v>6.3</v>
      </c>
      <c r="L1081" t="n">
        <v>2</v>
      </c>
      <c r="M1081" t="n">
        <v>1.2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n">
        <v>1201</v>
      </c>
      <c r="Z1081" t="inlineStr"/>
      <c r="AA1081" t="inlineStr"/>
      <c r="AB1081" t="inlineStr">
        <is>
          <t>U1080</t>
        </is>
      </c>
      <c r="AC1081" t="inlineStr">
        <is>
          <t>RU</t>
        </is>
      </c>
      <c r="AD1081" t="inlineStr"/>
      <c r="AE1081" t="n">
        <v>1.5</v>
      </c>
      <c r="AF1081" t="inlineStr"/>
      <c r="AG1081" t="inlineStr"/>
      <c r="AH1081" t="inlineStr"/>
      <c r="AI1081" t="n">
        <v>4.4</v>
      </c>
      <c r="AJ1081" t="n">
        <v>13.84</v>
      </c>
    </row>
    <row r="1082">
      <c r="A1082" t="inlineStr">
        <is>
          <t>Perm State University</t>
        </is>
      </c>
      <c r="B1082" t="inlineStr">
        <is>
          <t>Russian Federation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>
        <is>
          <t>1501+</t>
        </is>
      </c>
      <c r="O1082" t="inlineStr">
        <is>
          <t>9.7–22.7</t>
        </is>
      </c>
      <c r="P1082" t="n">
        <v>21.2</v>
      </c>
      <c r="Q1082" t="n">
        <v>12.5</v>
      </c>
      <c r="R1082" t="n">
        <v>8.199999999999999</v>
      </c>
      <c r="S1082" t="n">
        <v>24.6</v>
      </c>
      <c r="T1082" t="n">
        <v>23.7</v>
      </c>
      <c r="U1082" t="inlineStr">
        <is>
          <t>9,845</t>
        </is>
      </c>
      <c r="V1082" t="n">
        <v>12</v>
      </c>
      <c r="W1082" t="inlineStr">
        <is>
          <t>5%</t>
        </is>
      </c>
      <c r="X1082" t="inlineStr">
        <is>
          <t>59 : 41</t>
        </is>
      </c>
      <c r="Y1082" t="inlineStr"/>
      <c r="Z1082" t="n">
        <v>1501</v>
      </c>
      <c r="AA1082" t="n">
        <v>16.2</v>
      </c>
      <c r="AB1082" t="inlineStr">
        <is>
          <t>U1081</t>
        </is>
      </c>
      <c r="AC1082" t="inlineStr">
        <is>
          <t>RU</t>
        </is>
      </c>
      <c r="AD1082" t="n">
        <v>16.2</v>
      </c>
      <c r="AE1082" t="n">
        <v>8.199999999999999</v>
      </c>
      <c r="AF1082" t="n">
        <v>12</v>
      </c>
      <c r="AG1082" t="inlineStr">
        <is>
          <t>1:12.0</t>
        </is>
      </c>
      <c r="AH1082" t="inlineStr">
        <is>
          <t>5%</t>
        </is>
      </c>
      <c r="AI1082" t="inlineStr"/>
      <c r="AJ1082" t="n">
        <v>8.16</v>
      </c>
    </row>
    <row r="1083">
      <c r="A1083" t="inlineStr">
        <is>
          <t>Persian Gulf University</t>
        </is>
      </c>
      <c r="B1083" t="inlineStr">
        <is>
          <t>Iran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>
        <is>
          <t>1201–1500</t>
        </is>
      </c>
      <c r="O1083" t="inlineStr">
        <is>
          <t>22.8–28.2</t>
        </is>
      </c>
      <c r="P1083" t="n">
        <v>17.8</v>
      </c>
      <c r="Q1083" t="n">
        <v>14.1</v>
      </c>
      <c r="R1083" t="n">
        <v>45.5</v>
      </c>
      <c r="S1083" t="n">
        <v>28.8</v>
      </c>
      <c r="T1083" t="n">
        <v>38.2</v>
      </c>
      <c r="U1083" t="inlineStr">
        <is>
          <t>5,499</t>
        </is>
      </c>
      <c r="V1083" t="n">
        <v>23.1</v>
      </c>
      <c r="W1083" t="inlineStr">
        <is>
          <t>5%</t>
        </is>
      </c>
      <c r="X1083" t="inlineStr">
        <is>
          <t>55 : 45</t>
        </is>
      </c>
      <c r="Y1083" t="inlineStr"/>
      <c r="Z1083" t="n">
        <v>1201</v>
      </c>
      <c r="AA1083" t="n">
        <v>25.5</v>
      </c>
      <c r="AB1083" t="inlineStr">
        <is>
          <t>U1082</t>
        </is>
      </c>
      <c r="AC1083" t="inlineStr">
        <is>
          <t>IR</t>
        </is>
      </c>
      <c r="AD1083" t="n">
        <v>25.5</v>
      </c>
      <c r="AE1083" t="n">
        <v>45.5</v>
      </c>
      <c r="AF1083" t="n">
        <v>23.1</v>
      </c>
      <c r="AG1083" t="inlineStr">
        <is>
          <t>1:23.1</t>
        </is>
      </c>
      <c r="AH1083" t="inlineStr">
        <is>
          <t>5%</t>
        </is>
      </c>
      <c r="AI1083" t="inlineStr"/>
      <c r="AJ1083" t="n">
        <v>23.81</v>
      </c>
    </row>
    <row r="1084">
      <c r="A1084" t="inlineStr">
        <is>
          <t>Peter the Great St. Petersburg Polytechnic University</t>
        </is>
      </c>
      <c r="B1084" t="inlineStr">
        <is>
          <t>Russian Federation</t>
        </is>
      </c>
      <c r="C1084" t="inlineStr">
        <is>
          <t>559</t>
        </is>
      </c>
      <c r="D1084" t="n">
        <v>22.3</v>
      </c>
      <c r="E1084" t="n">
        <v>16</v>
      </c>
      <c r="F1084" t="n">
        <v>10.9</v>
      </c>
      <c r="G1084" t="n">
        <v>74.3</v>
      </c>
      <c r="H1084" t="n">
        <v>2.9</v>
      </c>
      <c r="I1084" t="n">
        <v>14.1</v>
      </c>
      <c r="J1084" t="n">
        <v>84</v>
      </c>
      <c r="K1084" t="n">
        <v>64.7</v>
      </c>
      <c r="L1084" t="n">
        <v>4.9</v>
      </c>
      <c r="M1084" t="n">
        <v>11.2</v>
      </c>
      <c r="N1084" t="inlineStr">
        <is>
          <t>351–400</t>
        </is>
      </c>
      <c r="O1084" t="inlineStr">
        <is>
          <t>49.1–51.0</t>
        </is>
      </c>
      <c r="P1084" t="n">
        <v>43.4</v>
      </c>
      <c r="Q1084" t="n">
        <v>31.3</v>
      </c>
      <c r="R1084" t="n">
        <v>67.40000000000001</v>
      </c>
      <c r="S1084" t="n">
        <v>61.6</v>
      </c>
      <c r="T1084" t="n">
        <v>65.2</v>
      </c>
      <c r="U1084" t="inlineStr">
        <is>
          <t>16,400</t>
        </is>
      </c>
      <c r="V1084" t="n">
        <v>10</v>
      </c>
      <c r="W1084" t="inlineStr">
        <is>
          <t>33%</t>
        </is>
      </c>
      <c r="X1084" t="inlineStr">
        <is>
          <t>42 : 58</t>
        </is>
      </c>
      <c r="Y1084" t="n">
        <v>559</v>
      </c>
      <c r="Z1084" t="n">
        <v>351</v>
      </c>
      <c r="AA1084" t="n">
        <v>50.05</v>
      </c>
      <c r="AB1084" t="inlineStr">
        <is>
          <t>U1083</t>
        </is>
      </c>
      <c r="AC1084" t="inlineStr">
        <is>
          <t>RU</t>
        </is>
      </c>
      <c r="AD1084" t="n">
        <v>22.3</v>
      </c>
      <c r="AE1084" t="n">
        <v>2.9</v>
      </c>
      <c r="AF1084" t="n">
        <v>10</v>
      </c>
      <c r="AG1084" t="inlineStr">
        <is>
          <t>1:10.0</t>
        </is>
      </c>
      <c r="AH1084" t="inlineStr">
        <is>
          <t>33%</t>
        </is>
      </c>
      <c r="AI1084" t="n">
        <v>16</v>
      </c>
      <c r="AJ1084" t="n">
        <v>26.44</v>
      </c>
    </row>
    <row r="1085">
      <c r="A1085" t="inlineStr">
        <is>
          <t xml:space="preserve">Philipps-Universität Marburg </t>
        </is>
      </c>
      <c r="B1085" t="inlineStr">
        <is>
          <t>Germany</t>
        </is>
      </c>
      <c r="C1085" t="inlineStr">
        <is>
          <t>801-850</t>
        </is>
      </c>
      <c r="D1085" t="inlineStr"/>
      <c r="E1085" t="n">
        <v>12.7</v>
      </c>
      <c r="F1085" t="n">
        <v>8.800000000000001</v>
      </c>
      <c r="G1085" t="n">
        <v>5.2</v>
      </c>
      <c r="H1085" t="n">
        <v>25</v>
      </c>
      <c r="I1085" t="n">
        <v>14.9</v>
      </c>
      <c r="J1085" t="n">
        <v>20.7</v>
      </c>
      <c r="K1085" t="n">
        <v>61.6</v>
      </c>
      <c r="L1085" t="n">
        <v>4.8</v>
      </c>
      <c r="M1085" t="n">
        <v>5.1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n">
        <v>801</v>
      </c>
      <c r="Z1085" t="inlineStr"/>
      <c r="AA1085" t="inlineStr"/>
      <c r="AB1085" t="inlineStr">
        <is>
          <t>U1084</t>
        </is>
      </c>
      <c r="AC1085" t="inlineStr">
        <is>
          <t>GE</t>
        </is>
      </c>
      <c r="AD1085" t="inlineStr"/>
      <c r="AE1085" t="n">
        <v>25</v>
      </c>
      <c r="AF1085" t="inlineStr"/>
      <c r="AG1085" t="inlineStr"/>
      <c r="AH1085" t="inlineStr"/>
      <c r="AI1085" t="n">
        <v>12.7</v>
      </c>
      <c r="AJ1085" t="n">
        <v>20.96</v>
      </c>
    </row>
    <row r="1086">
      <c r="A1086" t="inlineStr">
        <is>
          <t>Pirogov Russian National Research Medical University</t>
        </is>
      </c>
      <c r="B1086" t="inlineStr">
        <is>
          <t>Russian Federation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>
        <is>
          <t>1201–1500</t>
        </is>
      </c>
      <c r="O1086" t="inlineStr">
        <is>
          <t>22.8–28.2</t>
        </is>
      </c>
      <c r="P1086" t="n">
        <v>44.2</v>
      </c>
      <c r="Q1086" t="n">
        <v>13.3</v>
      </c>
      <c r="R1086" t="n">
        <v>14.5</v>
      </c>
      <c r="S1086" t="n">
        <v>28.1</v>
      </c>
      <c r="T1086" t="n">
        <v>22.6</v>
      </c>
      <c r="U1086" t="inlineStr">
        <is>
          <t>9,613</t>
        </is>
      </c>
      <c r="V1086" t="n">
        <v>6.9</v>
      </c>
      <c r="W1086" t="inlineStr">
        <is>
          <t>4%</t>
        </is>
      </c>
      <c r="X1086" t="inlineStr"/>
      <c r="Y1086" t="inlineStr"/>
      <c r="Z1086" t="n">
        <v>1201</v>
      </c>
      <c r="AA1086" t="n">
        <v>25.5</v>
      </c>
      <c r="AB1086" t="inlineStr">
        <is>
          <t>U1085</t>
        </is>
      </c>
      <c r="AC1086" t="inlineStr">
        <is>
          <t>RU</t>
        </is>
      </c>
      <c r="AD1086" t="n">
        <v>25.5</v>
      </c>
      <c r="AE1086" t="n">
        <v>14.5</v>
      </c>
      <c r="AF1086" t="n">
        <v>6.9</v>
      </c>
      <c r="AG1086" t="inlineStr">
        <is>
          <t>1:6.9</t>
        </is>
      </c>
      <c r="AH1086" t="inlineStr">
        <is>
          <t>4%</t>
        </is>
      </c>
      <c r="AI1086" t="inlineStr"/>
      <c r="AJ1086" t="n">
        <v>10.22</v>
      </c>
    </row>
    <row r="1087">
      <c r="A1087" t="inlineStr">
        <is>
          <t>Plekhanov Russian University of Economics</t>
        </is>
      </c>
      <c r="B1087" t="inlineStr">
        <is>
          <t>Russian Federation</t>
        </is>
      </c>
      <c r="C1087" t="inlineStr">
        <is>
          <t>711-720</t>
        </is>
      </c>
      <c r="D1087" t="inlineStr"/>
      <c r="E1087" t="n">
        <v>14</v>
      </c>
      <c r="F1087" t="n">
        <v>19.1</v>
      </c>
      <c r="G1087" t="n">
        <v>49.8</v>
      </c>
      <c r="H1087" t="n">
        <v>2.3</v>
      </c>
      <c r="I1087" t="n">
        <v>3</v>
      </c>
      <c r="J1087" t="n">
        <v>16.2</v>
      </c>
      <c r="K1087" t="n">
        <v>51.9</v>
      </c>
      <c r="L1087" t="n">
        <v>38.5</v>
      </c>
      <c r="M1087" t="n">
        <v>11.6</v>
      </c>
      <c r="N1087" t="inlineStr">
        <is>
          <t>1001–1200</t>
        </is>
      </c>
      <c r="O1087" t="inlineStr">
        <is>
          <t>28.3–32.6</t>
        </is>
      </c>
      <c r="P1087" t="n">
        <v>25.9</v>
      </c>
      <c r="Q1087" t="n">
        <v>12.9</v>
      </c>
      <c r="R1087" t="n">
        <v>44.7</v>
      </c>
      <c r="S1087" t="n">
        <v>20.6</v>
      </c>
      <c r="T1087" t="n">
        <v>59</v>
      </c>
      <c r="U1087" t="inlineStr">
        <is>
          <t>12,595</t>
        </is>
      </c>
      <c r="V1087" t="n">
        <v>9.1</v>
      </c>
      <c r="W1087" t="inlineStr">
        <is>
          <t>15%</t>
        </is>
      </c>
      <c r="X1087" t="inlineStr">
        <is>
          <t>57 : 43</t>
        </is>
      </c>
      <c r="Y1087" t="n">
        <v>711</v>
      </c>
      <c r="Z1087" t="n">
        <v>1001</v>
      </c>
      <c r="AA1087" t="n">
        <v>30.45</v>
      </c>
      <c r="AB1087" t="inlineStr">
        <is>
          <t>U1086</t>
        </is>
      </c>
      <c r="AC1087" t="inlineStr">
        <is>
          <t>RU</t>
        </is>
      </c>
      <c r="AD1087" t="n">
        <v>30.45</v>
      </c>
      <c r="AE1087" t="n">
        <v>2.3</v>
      </c>
      <c r="AF1087" t="n">
        <v>9.1</v>
      </c>
      <c r="AG1087" t="inlineStr">
        <is>
          <t>1:9.1</t>
        </is>
      </c>
      <c r="AH1087" t="inlineStr">
        <is>
          <t>15%</t>
        </is>
      </c>
      <c r="AI1087" t="n">
        <v>14</v>
      </c>
      <c r="AJ1087" t="n">
        <v>15.12</v>
      </c>
    </row>
    <row r="1088">
      <c r="A1088" t="inlineStr">
        <is>
          <t>PMAS Arid Agriculture University Rawalpindi</t>
        </is>
      </c>
      <c r="B1088" t="inlineStr">
        <is>
          <t>Pakistan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>
        <is>
          <t>1001–1200</t>
        </is>
      </c>
      <c r="O1088" t="inlineStr">
        <is>
          <t>28.3–32.6</t>
        </is>
      </c>
      <c r="P1088" t="n">
        <v>18.8</v>
      </c>
      <c r="Q1088" t="n">
        <v>11.3</v>
      </c>
      <c r="R1088" t="n">
        <v>53.9</v>
      </c>
      <c r="S1088" t="n">
        <v>19.1</v>
      </c>
      <c r="T1088" t="n">
        <v>47.8</v>
      </c>
      <c r="U1088" t="inlineStr">
        <is>
          <t>12,702</t>
        </is>
      </c>
      <c r="V1088" t="n">
        <v>44.7</v>
      </c>
      <c r="W1088" t="inlineStr">
        <is>
          <t>0%</t>
        </is>
      </c>
      <c r="X1088" t="inlineStr">
        <is>
          <t>37 : 63</t>
        </is>
      </c>
      <c r="Y1088" t="inlineStr"/>
      <c r="Z1088" t="n">
        <v>1001</v>
      </c>
      <c r="AA1088" t="n">
        <v>30.45</v>
      </c>
      <c r="AB1088" t="inlineStr">
        <is>
          <t>U1087</t>
        </is>
      </c>
      <c r="AC1088" t="inlineStr">
        <is>
          <t>PA</t>
        </is>
      </c>
      <c r="AD1088" t="n">
        <v>30.45</v>
      </c>
      <c r="AE1088" t="n">
        <v>53.9</v>
      </c>
      <c r="AF1088" t="n">
        <v>44.7</v>
      </c>
      <c r="AG1088" t="inlineStr">
        <is>
          <t>1:44.7</t>
        </is>
      </c>
      <c r="AH1088" t="inlineStr">
        <is>
          <t>0%</t>
        </is>
      </c>
      <c r="AI1088" t="inlineStr"/>
      <c r="AJ1088" t="n">
        <v>27.21</v>
      </c>
    </row>
    <row r="1089">
      <c r="A1089" t="inlineStr">
        <is>
          <t>Pohang University of Science And Technology (POSTECH)</t>
        </is>
      </c>
      <c r="B1089" t="inlineStr">
        <is>
          <t>South Korea</t>
        </is>
      </c>
      <c r="C1089" t="inlineStr">
        <is>
          <t>98</t>
        </is>
      </c>
      <c r="D1089" t="n">
        <v>60.3</v>
      </c>
      <c r="E1089" t="n">
        <v>45.9</v>
      </c>
      <c r="F1089" t="n">
        <v>80</v>
      </c>
      <c r="G1089" t="n">
        <v>99.90000000000001</v>
      </c>
      <c r="H1089" t="n">
        <v>96.90000000000001</v>
      </c>
      <c r="I1089" t="n">
        <v>27.6</v>
      </c>
      <c r="J1089" t="n">
        <v>2.7</v>
      </c>
      <c r="K1089" t="n">
        <v>26.6</v>
      </c>
      <c r="L1089" t="n">
        <v>11</v>
      </c>
      <c r="M1089" t="n">
        <v>36.6</v>
      </c>
      <c r="N1089" t="inlineStr">
        <is>
          <t>149</t>
        </is>
      </c>
      <c r="O1089" t="inlineStr">
        <is>
          <t>62.2</t>
        </is>
      </c>
      <c r="P1089" t="n">
        <v>58.1</v>
      </c>
      <c r="Q1089" t="n">
        <v>51.5</v>
      </c>
      <c r="R1089" t="n">
        <v>77.2</v>
      </c>
      <c r="S1089" t="n">
        <v>100</v>
      </c>
      <c r="T1089" t="n">
        <v>40</v>
      </c>
      <c r="U1089" t="inlineStr">
        <is>
          <t>3,300</t>
        </is>
      </c>
      <c r="V1089" t="n">
        <v>10.5</v>
      </c>
      <c r="W1089" t="inlineStr">
        <is>
          <t>5%</t>
        </is>
      </c>
      <c r="X1089" t="inlineStr"/>
      <c r="Y1089" t="n">
        <v>98</v>
      </c>
      <c r="Z1089" t="n">
        <v>149</v>
      </c>
      <c r="AA1089" t="n">
        <v>62.2</v>
      </c>
      <c r="AB1089" t="inlineStr">
        <is>
          <t>U1088</t>
        </is>
      </c>
      <c r="AC1089" t="inlineStr">
        <is>
          <t>SO</t>
        </is>
      </c>
      <c r="AD1089" t="n">
        <v>60.3</v>
      </c>
      <c r="AE1089" t="n">
        <v>96.90000000000001</v>
      </c>
      <c r="AF1089" t="n">
        <v>10.5</v>
      </c>
      <c r="AG1089" t="inlineStr">
        <is>
          <t>1:10.5</t>
        </is>
      </c>
      <c r="AH1089" t="inlineStr">
        <is>
          <t>5%</t>
        </is>
      </c>
      <c r="AI1089" t="n">
        <v>45.9</v>
      </c>
      <c r="AJ1089" t="n">
        <v>59.42</v>
      </c>
    </row>
    <row r="1090">
      <c r="A1090" t="inlineStr">
        <is>
          <t>Politecnico di Bari</t>
        </is>
      </c>
      <c r="B1090" t="inlineStr">
        <is>
          <t>Italy</t>
        </is>
      </c>
      <c r="C1090" t="inlineStr">
        <is>
          <t>580</t>
        </is>
      </c>
      <c r="D1090" t="n">
        <v>21.3</v>
      </c>
      <c r="E1090" t="n">
        <v>6.9</v>
      </c>
      <c r="F1090" t="n">
        <v>4.8</v>
      </c>
      <c r="G1090" t="n">
        <v>11.3</v>
      </c>
      <c r="H1090" t="n">
        <v>76.5</v>
      </c>
      <c r="I1090" t="n">
        <v>4.6</v>
      </c>
      <c r="J1090" t="n">
        <v>7.2</v>
      </c>
      <c r="K1090" t="n">
        <v>46.6</v>
      </c>
      <c r="L1090" t="n">
        <v>3.5</v>
      </c>
      <c r="M1090" t="n">
        <v>1.3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n">
        <v>580</v>
      </c>
      <c r="Z1090" t="inlineStr"/>
      <c r="AA1090" t="inlineStr"/>
      <c r="AB1090" t="inlineStr">
        <is>
          <t>U1089</t>
        </is>
      </c>
      <c r="AC1090" t="inlineStr">
        <is>
          <t>IT</t>
        </is>
      </c>
      <c r="AD1090" t="n">
        <v>21.3</v>
      </c>
      <c r="AE1090" t="n">
        <v>76.5</v>
      </c>
      <c r="AF1090" t="inlineStr"/>
      <c r="AG1090" t="inlineStr"/>
      <c r="AH1090" t="inlineStr"/>
      <c r="AI1090" t="n">
        <v>6.9</v>
      </c>
      <c r="AJ1090" t="n">
        <v>36.57</v>
      </c>
    </row>
    <row r="1091">
      <c r="A1091" t="inlineStr">
        <is>
          <t>Politecnico di Milano</t>
        </is>
      </c>
      <c r="B1091" t="inlineStr">
        <is>
          <t>Italy</t>
        </is>
      </c>
      <c r="C1091" t="inlineStr">
        <is>
          <t>111</t>
        </is>
      </c>
      <c r="D1091" t="n">
        <v>58.2</v>
      </c>
      <c r="E1091" t="n">
        <v>70.8</v>
      </c>
      <c r="F1091" t="n">
        <v>77</v>
      </c>
      <c r="G1091" t="n">
        <v>5.8</v>
      </c>
      <c r="H1091" t="n">
        <v>40.2</v>
      </c>
      <c r="I1091" t="n">
        <v>67.40000000000001</v>
      </c>
      <c r="J1091" t="n">
        <v>56.8</v>
      </c>
      <c r="K1091" t="n">
        <v>88.09999999999999</v>
      </c>
      <c r="L1091" t="n">
        <v>52.9</v>
      </c>
      <c r="M1091" t="n">
        <v>72.59999999999999</v>
      </c>
      <c r="N1091" t="inlineStr">
        <is>
          <t>201–250</t>
        </is>
      </c>
      <c r="O1091" t="inlineStr">
        <is>
          <t>55.9–58.6</t>
        </is>
      </c>
      <c r="P1091" t="n">
        <v>42.9</v>
      </c>
      <c r="Q1091" t="n">
        <v>49.7</v>
      </c>
      <c r="R1091" t="n">
        <v>71.90000000000001</v>
      </c>
      <c r="S1091" t="n">
        <v>95.3</v>
      </c>
      <c r="T1091" t="n">
        <v>65.3</v>
      </c>
      <c r="U1091" t="inlineStr">
        <is>
          <t>38,978</t>
        </is>
      </c>
      <c r="V1091" t="n">
        <v>25.7</v>
      </c>
      <c r="W1091" t="inlineStr">
        <is>
          <t>19%</t>
        </is>
      </c>
      <c r="X1091" t="inlineStr">
        <is>
          <t>35 : 65</t>
        </is>
      </c>
      <c r="Y1091" t="n">
        <v>111</v>
      </c>
      <c r="Z1091" t="n">
        <v>201</v>
      </c>
      <c r="AA1091" t="n">
        <v>57.25</v>
      </c>
      <c r="AB1091" t="inlineStr">
        <is>
          <t>U1090</t>
        </is>
      </c>
      <c r="AC1091" t="inlineStr">
        <is>
          <t>IT</t>
        </is>
      </c>
      <c r="AD1091" t="n">
        <v>58.2</v>
      </c>
      <c r="AE1091" t="n">
        <v>40.2</v>
      </c>
      <c r="AF1091" t="n">
        <v>25.7</v>
      </c>
      <c r="AG1091" t="inlineStr">
        <is>
          <t>1:25.7</t>
        </is>
      </c>
      <c r="AH1091" t="inlineStr">
        <is>
          <t>19%</t>
        </is>
      </c>
      <c r="AI1091" t="n">
        <v>70.8</v>
      </c>
      <c r="AJ1091" t="n">
        <v>47.41</v>
      </c>
    </row>
    <row r="1092">
      <c r="A1092" t="inlineStr">
        <is>
          <t>Politecnico di Torino</t>
        </is>
      </c>
      <c r="B1092" t="inlineStr">
        <is>
          <t>Italy</t>
        </is>
      </c>
      <c r="C1092" t="inlineStr">
        <is>
          <t>241</t>
        </is>
      </c>
      <c r="D1092" t="n">
        <v>41.7</v>
      </c>
      <c r="E1092" t="n">
        <v>40.2</v>
      </c>
      <c r="F1092" t="n">
        <v>52.1</v>
      </c>
      <c r="G1092" t="n">
        <v>3.1</v>
      </c>
      <c r="H1092" t="n">
        <v>51.6</v>
      </c>
      <c r="I1092" t="n">
        <v>4.9</v>
      </c>
      <c r="J1092" t="n">
        <v>41</v>
      </c>
      <c r="K1092" t="n">
        <v>81.40000000000001</v>
      </c>
      <c r="L1092" t="n">
        <v>30.6</v>
      </c>
      <c r="M1092" t="n">
        <v>77.90000000000001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n">
        <v>241</v>
      </c>
      <c r="Z1092" t="inlineStr"/>
      <c r="AA1092" t="inlineStr"/>
      <c r="AB1092" t="inlineStr">
        <is>
          <t>U1091</t>
        </is>
      </c>
      <c r="AC1092" t="inlineStr">
        <is>
          <t>IT</t>
        </is>
      </c>
      <c r="AD1092" t="n">
        <v>41.7</v>
      </c>
      <c r="AE1092" t="n">
        <v>51.6</v>
      </c>
      <c r="AF1092" t="inlineStr"/>
      <c r="AG1092" t="inlineStr"/>
      <c r="AH1092" t="inlineStr"/>
      <c r="AI1092" t="n">
        <v>40.2</v>
      </c>
      <c r="AJ1092" t="n">
        <v>29.02</v>
      </c>
    </row>
    <row r="1093">
      <c r="A1093" t="inlineStr">
        <is>
          <t>Polytechnic Institute of Porto</t>
        </is>
      </c>
      <c r="B1093" t="inlineStr">
        <is>
          <t>Portugal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>
        <is>
          <t>1201–1500</t>
        </is>
      </c>
      <c r="O1093" t="inlineStr">
        <is>
          <t>22.8–28.2</t>
        </is>
      </c>
      <c r="P1093" t="n">
        <v>15</v>
      </c>
      <c r="Q1093" t="n">
        <v>11.9</v>
      </c>
      <c r="R1093" t="n">
        <v>49.6</v>
      </c>
      <c r="S1093" t="n">
        <v>22.1</v>
      </c>
      <c r="T1093" t="n">
        <v>31.8</v>
      </c>
      <c r="U1093" t="inlineStr">
        <is>
          <t>19,211</t>
        </is>
      </c>
      <c r="V1093" t="n">
        <v>16.9</v>
      </c>
      <c r="W1093" t="inlineStr">
        <is>
          <t>5%</t>
        </is>
      </c>
      <c r="X1093" t="inlineStr">
        <is>
          <t>47 : 53</t>
        </is>
      </c>
      <c r="Y1093" t="inlineStr"/>
      <c r="Z1093" t="n">
        <v>1201</v>
      </c>
      <c r="AA1093" t="n">
        <v>25.5</v>
      </c>
      <c r="AB1093" t="inlineStr">
        <is>
          <t>U1092</t>
        </is>
      </c>
      <c r="AC1093" t="inlineStr">
        <is>
          <t>PO</t>
        </is>
      </c>
      <c r="AD1093" t="n">
        <v>25.5</v>
      </c>
      <c r="AE1093" t="n">
        <v>49.6</v>
      </c>
      <c r="AF1093" t="n">
        <v>16.9</v>
      </c>
      <c r="AG1093" t="inlineStr">
        <is>
          <t>1:16.9</t>
        </is>
      </c>
      <c r="AH1093" t="inlineStr">
        <is>
          <t>5%</t>
        </is>
      </c>
      <c r="AI1093" t="inlineStr"/>
      <c r="AJ1093" t="n">
        <v>22.35</v>
      </c>
    </row>
    <row r="1094">
      <c r="A1094" t="inlineStr">
        <is>
          <t>Polytechnic University of Bari</t>
        </is>
      </c>
      <c r="B1094" t="inlineStr">
        <is>
          <t>Italy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>
        <is>
          <t>501–600</t>
        </is>
      </c>
      <c r="O1094" t="inlineStr">
        <is>
          <t>41.9–45.3</t>
        </is>
      </c>
      <c r="P1094" t="n">
        <v>23</v>
      </c>
      <c r="Q1094" t="n">
        <v>27.6</v>
      </c>
      <c r="R1094" t="n">
        <v>76.90000000000001</v>
      </c>
      <c r="S1094" t="n">
        <v>59.9</v>
      </c>
      <c r="T1094" t="n">
        <v>42.5</v>
      </c>
      <c r="U1094" t="inlineStr">
        <is>
          <t>10,460</t>
        </is>
      </c>
      <c r="V1094" t="n">
        <v>43</v>
      </c>
      <c r="W1094" t="inlineStr">
        <is>
          <t>1%</t>
        </is>
      </c>
      <c r="X1094" t="inlineStr">
        <is>
          <t>29 : 71</t>
        </is>
      </c>
      <c r="Y1094" t="inlineStr"/>
      <c r="Z1094" t="n">
        <v>501</v>
      </c>
      <c r="AA1094" t="n">
        <v>43.59999999999999</v>
      </c>
      <c r="AB1094" t="inlineStr">
        <is>
          <t>U1093</t>
        </is>
      </c>
      <c r="AC1094" t="inlineStr">
        <is>
          <t>IT</t>
        </is>
      </c>
      <c r="AD1094" t="n">
        <v>43.59999999999999</v>
      </c>
      <c r="AE1094" t="n">
        <v>76.90000000000001</v>
      </c>
      <c r="AF1094" t="n">
        <v>43</v>
      </c>
      <c r="AG1094" t="inlineStr">
        <is>
          <t>1:43.0</t>
        </is>
      </c>
      <c r="AH1094" t="inlineStr">
        <is>
          <t>1%</t>
        </is>
      </c>
      <c r="AI1094" t="inlineStr"/>
      <c r="AJ1094" t="n">
        <v>41.44</v>
      </c>
    </row>
    <row r="1095">
      <c r="A1095" t="inlineStr">
        <is>
          <t>Polytechnic University of Bucharest</t>
        </is>
      </c>
      <c r="B1095" t="inlineStr">
        <is>
          <t>Romania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>
        <is>
          <t>1501+</t>
        </is>
      </c>
      <c r="O1095" t="inlineStr">
        <is>
          <t>9.7–22.7</t>
        </is>
      </c>
      <c r="P1095" t="n">
        <v>19.8</v>
      </c>
      <c r="Q1095" t="n">
        <v>11.4</v>
      </c>
      <c r="R1095" t="n">
        <v>28.8</v>
      </c>
      <c r="S1095" t="n">
        <v>29.7</v>
      </c>
      <c r="T1095" t="n">
        <v>24.2</v>
      </c>
      <c r="U1095" t="inlineStr">
        <is>
          <t>29,166</t>
        </is>
      </c>
      <c r="V1095" t="n">
        <v>23.2</v>
      </c>
      <c r="W1095" t="inlineStr">
        <is>
          <t>4%</t>
        </is>
      </c>
      <c r="X1095" t="inlineStr">
        <is>
          <t>36 : 64</t>
        </is>
      </c>
      <c r="Y1095" t="inlineStr"/>
      <c r="Z1095" t="n">
        <v>1501</v>
      </c>
      <c r="AA1095" t="n">
        <v>16.2</v>
      </c>
      <c r="AB1095" t="inlineStr">
        <is>
          <t>U1094</t>
        </is>
      </c>
      <c r="AC1095" t="inlineStr">
        <is>
          <t>RO</t>
        </is>
      </c>
      <c r="AD1095" t="n">
        <v>16.2</v>
      </c>
      <c r="AE1095" t="n">
        <v>28.8</v>
      </c>
      <c r="AF1095" t="n">
        <v>23.2</v>
      </c>
      <c r="AG1095" t="inlineStr">
        <is>
          <t>1:23.2</t>
        </is>
      </c>
      <c r="AH1095" t="inlineStr">
        <is>
          <t>4%</t>
        </is>
      </c>
      <c r="AI1095" t="inlineStr"/>
      <c r="AJ1095" t="n">
        <v>13.95</v>
      </c>
    </row>
    <row r="1096">
      <c r="A1096" t="inlineStr">
        <is>
          <t>Polytechnic University of Timişoara</t>
        </is>
      </c>
      <c r="B1096" t="inlineStr">
        <is>
          <t>Romania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>
        <is>
          <t>1501+</t>
        </is>
      </c>
      <c r="O1096" t="inlineStr">
        <is>
          <t>9.7–22.7</t>
        </is>
      </c>
      <c r="P1096" t="n">
        <v>16.7</v>
      </c>
      <c r="Q1096" t="n">
        <v>10.1</v>
      </c>
      <c r="R1096" t="n">
        <v>33.9</v>
      </c>
      <c r="S1096" t="n">
        <v>30.9</v>
      </c>
      <c r="T1096" t="n">
        <v>22.6</v>
      </c>
      <c r="U1096" t="inlineStr">
        <is>
          <t>11,846</t>
        </is>
      </c>
      <c r="V1096" t="n">
        <v>18.7</v>
      </c>
      <c r="W1096" t="inlineStr">
        <is>
          <t>3%</t>
        </is>
      </c>
      <c r="X1096" t="inlineStr">
        <is>
          <t>38 : 62</t>
        </is>
      </c>
      <c r="Y1096" t="inlineStr"/>
      <c r="Z1096" t="n">
        <v>1501</v>
      </c>
      <c r="AA1096" t="n">
        <v>16.2</v>
      </c>
      <c r="AB1096" t="inlineStr">
        <is>
          <t>U1095</t>
        </is>
      </c>
      <c r="AC1096" t="inlineStr">
        <is>
          <t>RO</t>
        </is>
      </c>
      <c r="AD1096" t="n">
        <v>16.2</v>
      </c>
      <c r="AE1096" t="n">
        <v>33.9</v>
      </c>
      <c r="AF1096" t="n">
        <v>18.7</v>
      </c>
      <c r="AG1096" t="inlineStr">
        <is>
          <t>1:18.7</t>
        </is>
      </c>
      <c r="AH1096" t="inlineStr">
        <is>
          <t>3%</t>
        </is>
      </c>
      <c r="AI1096" t="inlineStr"/>
      <c r="AJ1096" t="n">
        <v>14.42</v>
      </c>
    </row>
    <row r="1097">
      <c r="A1097" t="inlineStr">
        <is>
          <t>Polytechnic University of Turin</t>
        </is>
      </c>
      <c r="B1097" t="inlineStr">
        <is>
          <t>Italy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>
        <is>
          <t>401–500</t>
        </is>
      </c>
      <c r="O1097" t="inlineStr">
        <is>
          <t>45.4–49.0</t>
        </is>
      </c>
      <c r="P1097" t="n">
        <v>29.7</v>
      </c>
      <c r="Q1097" t="n">
        <v>30.2</v>
      </c>
      <c r="R1097" t="n">
        <v>73.5</v>
      </c>
      <c r="S1097" t="n">
        <v>85.8</v>
      </c>
      <c r="T1097" t="n">
        <v>53.2</v>
      </c>
      <c r="U1097" t="inlineStr">
        <is>
          <t>30,497</t>
        </is>
      </c>
      <c r="V1097" t="n">
        <v>31.9</v>
      </c>
      <c r="W1097" t="inlineStr">
        <is>
          <t>15%</t>
        </is>
      </c>
      <c r="X1097" t="inlineStr">
        <is>
          <t>30 : 70</t>
        </is>
      </c>
      <c r="Y1097" t="inlineStr"/>
      <c r="Z1097" t="n">
        <v>401</v>
      </c>
      <c r="AA1097" t="n">
        <v>47.2</v>
      </c>
      <c r="AB1097" t="inlineStr">
        <is>
          <t>U1096</t>
        </is>
      </c>
      <c r="AC1097" t="inlineStr">
        <is>
          <t>IT</t>
        </is>
      </c>
      <c r="AD1097" t="n">
        <v>47.2</v>
      </c>
      <c r="AE1097" t="n">
        <v>73.5</v>
      </c>
      <c r="AF1097" t="n">
        <v>31.9</v>
      </c>
      <c r="AG1097" t="inlineStr">
        <is>
          <t>1:31.9</t>
        </is>
      </c>
      <c r="AH1097" t="inlineStr">
        <is>
          <t>15%</t>
        </is>
      </c>
      <c r="AI1097" t="inlineStr"/>
      <c r="AJ1097" t="n">
        <v>44.36</v>
      </c>
    </row>
    <row r="1098">
      <c r="A1098" t="inlineStr">
        <is>
          <t>Polytechnic University of Valencia</t>
        </is>
      </c>
      <c r="B1098" t="inlineStr">
        <is>
          <t>Spain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>
        <is>
          <t>601–800</t>
        </is>
      </c>
      <c r="O1098" t="inlineStr">
        <is>
          <t>37.0–41.8</t>
        </is>
      </c>
      <c r="P1098" t="n">
        <v>30</v>
      </c>
      <c r="Q1098" t="n">
        <v>25</v>
      </c>
      <c r="R1098" t="n">
        <v>55.4</v>
      </c>
      <c r="S1098" t="n">
        <v>83.2</v>
      </c>
      <c r="T1098" t="n">
        <v>57.6</v>
      </c>
      <c r="U1098" t="inlineStr">
        <is>
          <t>26,967</t>
        </is>
      </c>
      <c r="V1098" t="n">
        <v>14.5</v>
      </c>
      <c r="W1098" t="inlineStr">
        <is>
          <t>14%</t>
        </is>
      </c>
      <c r="X1098" t="inlineStr">
        <is>
          <t>41 : 59</t>
        </is>
      </c>
      <c r="Y1098" t="inlineStr"/>
      <c r="Z1098" t="n">
        <v>601</v>
      </c>
      <c r="AA1098" t="n">
        <v>39.4</v>
      </c>
      <c r="AB1098" t="inlineStr">
        <is>
          <t>U1097</t>
        </is>
      </c>
      <c r="AC1098" t="inlineStr">
        <is>
          <t>SP</t>
        </is>
      </c>
      <c r="AD1098" t="n">
        <v>39.4</v>
      </c>
      <c r="AE1098" t="n">
        <v>55.4</v>
      </c>
      <c r="AF1098" t="n">
        <v>14.5</v>
      </c>
      <c r="AG1098" t="inlineStr">
        <is>
          <t>1:14.5</t>
        </is>
      </c>
      <c r="AH1098" t="inlineStr">
        <is>
          <t>14%</t>
        </is>
      </c>
      <c r="AI1098" t="inlineStr"/>
      <c r="AJ1098" t="n">
        <v>37.21</v>
      </c>
    </row>
    <row r="1099">
      <c r="A1099" t="inlineStr">
        <is>
          <t>Pompeu Fabra University</t>
        </is>
      </c>
      <c r="B1099" t="inlineStr">
        <is>
          <t>Spain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>
        <is>
          <t>201–250</t>
        </is>
      </c>
      <c r="O1099" t="inlineStr">
        <is>
          <t>55.9–58.6</t>
        </is>
      </c>
      <c r="P1099" t="n">
        <v>35.9</v>
      </c>
      <c r="Q1099" t="n">
        <v>38.3</v>
      </c>
      <c r="R1099" t="n">
        <v>90.5</v>
      </c>
      <c r="S1099" t="n">
        <v>78.40000000000001</v>
      </c>
      <c r="T1099" t="n">
        <v>74.7</v>
      </c>
      <c r="U1099" t="inlineStr">
        <is>
          <t>12,173</t>
        </is>
      </c>
      <c r="V1099" t="n">
        <v>22.7</v>
      </c>
      <c r="W1099" t="inlineStr">
        <is>
          <t>13%</t>
        </is>
      </c>
      <c r="X1099" t="inlineStr">
        <is>
          <t>61 : 39</t>
        </is>
      </c>
      <c r="Y1099" t="inlineStr"/>
      <c r="Z1099" t="n">
        <v>201</v>
      </c>
      <c r="AA1099" t="n">
        <v>57.25</v>
      </c>
      <c r="AB1099" t="inlineStr">
        <is>
          <t>U1098</t>
        </is>
      </c>
      <c r="AC1099" t="inlineStr">
        <is>
          <t>SP</t>
        </is>
      </c>
      <c r="AD1099" t="n">
        <v>57.25</v>
      </c>
      <c r="AE1099" t="n">
        <v>90.5</v>
      </c>
      <c r="AF1099" t="n">
        <v>22.7</v>
      </c>
      <c r="AG1099" t="inlineStr">
        <is>
          <t>1:22.7</t>
        </is>
      </c>
      <c r="AH1099" t="inlineStr">
        <is>
          <t>13%</t>
        </is>
      </c>
      <c r="AI1099" t="inlineStr"/>
      <c r="AJ1099" t="n">
        <v>58.96</v>
      </c>
    </row>
    <row r="1100">
      <c r="A1100" t="inlineStr">
        <is>
          <t>Pondicherry University</t>
        </is>
      </c>
      <c r="B1100" t="inlineStr">
        <is>
          <t>India</t>
        </is>
      </c>
      <c r="C1100" t="inlineStr">
        <is>
          <t>1201-1400</t>
        </is>
      </c>
      <c r="D1100" t="inlineStr"/>
      <c r="E1100" t="n">
        <v>4.1</v>
      </c>
      <c r="F1100" t="n">
        <v>2.1</v>
      </c>
      <c r="G1100" t="n">
        <v>5.4</v>
      </c>
      <c r="H1100" t="n">
        <v>16.5</v>
      </c>
      <c r="I1100" t="n">
        <v>1.9</v>
      </c>
      <c r="J1100" t="n">
        <v>1.1</v>
      </c>
      <c r="K1100" t="n">
        <v>21.1</v>
      </c>
      <c r="L1100" t="n">
        <v>2.7</v>
      </c>
      <c r="M1100" t="n">
        <v>5.8</v>
      </c>
      <c r="N1100" t="inlineStr">
        <is>
          <t>1001–1200</t>
        </is>
      </c>
      <c r="O1100" t="inlineStr">
        <is>
          <t>28.3–32.6</t>
        </is>
      </c>
      <c r="P1100" t="n">
        <v>33.5</v>
      </c>
      <c r="Q1100" t="n">
        <v>18.4</v>
      </c>
      <c r="R1100" t="n">
        <v>38.3</v>
      </c>
      <c r="S1100" t="n">
        <v>42.5</v>
      </c>
      <c r="T1100" t="n">
        <v>19.4</v>
      </c>
      <c r="U1100" t="inlineStr">
        <is>
          <t>8,187</t>
        </is>
      </c>
      <c r="V1100" t="n">
        <v>21.5</v>
      </c>
      <c r="W1100" t="inlineStr">
        <is>
          <t>1%</t>
        </is>
      </c>
      <c r="X1100" t="inlineStr">
        <is>
          <t>46 : 54</t>
        </is>
      </c>
      <c r="Y1100" t="n">
        <v>1201</v>
      </c>
      <c r="Z1100" t="n">
        <v>1001</v>
      </c>
      <c r="AA1100" t="n">
        <v>30.45</v>
      </c>
      <c r="AB1100" t="inlineStr">
        <is>
          <t>U1099</t>
        </is>
      </c>
      <c r="AC1100" t="inlineStr">
        <is>
          <t>IN</t>
        </is>
      </c>
      <c r="AD1100" t="n">
        <v>30.45</v>
      </c>
      <c r="AE1100" t="n">
        <v>16.5</v>
      </c>
      <c r="AF1100" t="n">
        <v>21.5</v>
      </c>
      <c r="AG1100" t="inlineStr">
        <is>
          <t>1:21.5</t>
        </is>
      </c>
      <c r="AH1100" t="inlineStr">
        <is>
          <t>1%</t>
        </is>
      </c>
      <c r="AI1100" t="n">
        <v>4.1</v>
      </c>
      <c r="AJ1100" t="n">
        <v>12.73</v>
      </c>
    </row>
    <row r="1101">
      <c r="A1101" t="inlineStr">
        <is>
          <t>Pontifícia Universidade Católica de Minas Gerais – PUC Minas</t>
        </is>
      </c>
      <c r="B1101" t="inlineStr">
        <is>
          <t>Brazil</t>
        </is>
      </c>
      <c r="C1101" t="inlineStr">
        <is>
          <t>1401+</t>
        </is>
      </c>
      <c r="D1101" t="inlineStr"/>
      <c r="E1101" t="n">
        <v>4.9</v>
      </c>
      <c r="F1101" t="n">
        <v>4.6</v>
      </c>
      <c r="G1101" t="n">
        <v>1.9</v>
      </c>
      <c r="H1101" t="n">
        <v>1.5</v>
      </c>
      <c r="I1101" t="n">
        <v>1.9</v>
      </c>
      <c r="J1101" t="n">
        <v>1.1</v>
      </c>
      <c r="K1101" t="n">
        <v>8.300000000000001</v>
      </c>
      <c r="L1101" t="n">
        <v>9.4</v>
      </c>
      <c r="M1101" t="n">
        <v>1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n">
        <v>1401</v>
      </c>
      <c r="Z1101" t="inlineStr"/>
      <c r="AA1101" t="inlineStr"/>
      <c r="AB1101" t="inlineStr">
        <is>
          <t>U1100</t>
        </is>
      </c>
      <c r="AC1101" t="inlineStr">
        <is>
          <t>BR</t>
        </is>
      </c>
      <c r="AD1101" t="inlineStr"/>
      <c r="AE1101" t="n">
        <v>1.5</v>
      </c>
      <c r="AF1101" t="inlineStr"/>
      <c r="AG1101" t="inlineStr"/>
      <c r="AH1101" t="inlineStr"/>
      <c r="AI1101" t="n">
        <v>4.9</v>
      </c>
      <c r="AJ1101" t="n">
        <v>13.84</v>
      </c>
    </row>
    <row r="1102">
      <c r="A1102" t="inlineStr">
        <is>
          <t>Pontifícia Universidade Católica de São Paulo</t>
        </is>
      </c>
      <c r="B1102" t="inlineStr">
        <is>
          <t>Brazil</t>
        </is>
      </c>
      <c r="C1102" t="inlineStr">
        <is>
          <t>1001-1200</t>
        </is>
      </c>
      <c r="D1102" t="inlineStr"/>
      <c r="E1102" t="n">
        <v>10.1</v>
      </c>
      <c r="F1102" t="n">
        <v>14.8</v>
      </c>
      <c r="G1102" t="n">
        <v>37.6</v>
      </c>
      <c r="H1102" t="n">
        <v>1.2</v>
      </c>
      <c r="I1102" t="n">
        <v>3.8</v>
      </c>
      <c r="J1102" t="n">
        <v>1.2</v>
      </c>
      <c r="K1102" t="n">
        <v>1.8</v>
      </c>
      <c r="L1102" t="n">
        <v>34.1</v>
      </c>
      <c r="M1102" t="n">
        <v>1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n">
        <v>1001</v>
      </c>
      <c r="Z1102" t="inlineStr"/>
      <c r="AA1102" t="inlineStr"/>
      <c r="AB1102" t="inlineStr">
        <is>
          <t>U1101</t>
        </is>
      </c>
      <c r="AC1102" t="inlineStr">
        <is>
          <t>BR</t>
        </is>
      </c>
      <c r="AD1102" t="inlineStr"/>
      <c r="AE1102" t="n">
        <v>1.2</v>
      </c>
      <c r="AF1102" t="inlineStr"/>
      <c r="AG1102" t="inlineStr"/>
      <c r="AH1102" t="inlineStr"/>
      <c r="AI1102" t="n">
        <v>10.1</v>
      </c>
      <c r="AJ1102" t="n">
        <v>13.75</v>
      </c>
    </row>
    <row r="1103">
      <c r="A1103" t="inlineStr">
        <is>
          <t>Pontifícia Universidade Católica do Paraná</t>
        </is>
      </c>
      <c r="B1103" t="inlineStr">
        <is>
          <t>Brazil</t>
        </is>
      </c>
      <c r="C1103" t="inlineStr">
        <is>
          <t>1401+</t>
        </is>
      </c>
      <c r="D1103" t="inlineStr"/>
      <c r="E1103" t="n">
        <v>4.1</v>
      </c>
      <c r="F1103" t="n">
        <v>2.9</v>
      </c>
      <c r="G1103" t="n">
        <v>7.6</v>
      </c>
      <c r="H1103" t="n">
        <v>3.9</v>
      </c>
      <c r="I1103" t="n">
        <v>1.8</v>
      </c>
      <c r="J1103" t="n">
        <v>1.3</v>
      </c>
      <c r="K1103" t="n">
        <v>28.9</v>
      </c>
      <c r="L1103" t="n">
        <v>3.9</v>
      </c>
      <c r="M1103" t="n">
        <v>1.4</v>
      </c>
      <c r="N1103" t="inlineStr">
        <is>
          <t>1201–1500</t>
        </is>
      </c>
      <c r="O1103" t="inlineStr">
        <is>
          <t>22.8–28.2</t>
        </is>
      </c>
      <c r="P1103" t="n">
        <v>26.3</v>
      </c>
      <c r="Q1103" t="n">
        <v>12.8</v>
      </c>
      <c r="R1103" t="n">
        <v>34.3</v>
      </c>
      <c r="S1103" t="n">
        <v>43</v>
      </c>
      <c r="T1103" t="n">
        <v>30.7</v>
      </c>
      <c r="U1103" t="inlineStr">
        <is>
          <t>11,476</t>
        </is>
      </c>
      <c r="V1103" t="n">
        <v>13</v>
      </c>
      <c r="W1103" t="inlineStr">
        <is>
          <t>1%</t>
        </is>
      </c>
      <c r="X1103" t="inlineStr">
        <is>
          <t>56 : 44</t>
        </is>
      </c>
      <c r="Y1103" t="n">
        <v>1401</v>
      </c>
      <c r="Z1103" t="n">
        <v>1201</v>
      </c>
      <c r="AA1103" t="n">
        <v>25.5</v>
      </c>
      <c r="AB1103" t="inlineStr">
        <is>
          <t>U1102</t>
        </is>
      </c>
      <c r="AC1103" t="inlineStr">
        <is>
          <t>BR</t>
        </is>
      </c>
      <c r="AD1103" t="n">
        <v>25.5</v>
      </c>
      <c r="AE1103" t="n">
        <v>3.9</v>
      </c>
      <c r="AF1103" t="n">
        <v>13</v>
      </c>
      <c r="AG1103" t="inlineStr">
        <is>
          <t>1:13.0</t>
        </is>
      </c>
      <c r="AH1103" t="inlineStr">
        <is>
          <t>1%</t>
        </is>
      </c>
      <c r="AI1103" t="n">
        <v>4.1</v>
      </c>
      <c r="AJ1103" t="n">
        <v>8.710000000000001</v>
      </c>
    </row>
    <row r="1104">
      <c r="A1104" t="inlineStr">
        <is>
          <t>Pontifícia Universidade Católica do Rio de Janeiro</t>
        </is>
      </c>
      <c r="B1104" t="inlineStr">
        <is>
          <t>Brazil</t>
        </is>
      </c>
      <c r="C1104" t="inlineStr">
        <is>
          <t>611-620</t>
        </is>
      </c>
      <c r="D1104" t="inlineStr"/>
      <c r="E1104" t="n">
        <v>32.4</v>
      </c>
      <c r="F1104" t="n">
        <v>16.2</v>
      </c>
      <c r="G1104" t="n">
        <v>10.8</v>
      </c>
      <c r="H1104" t="n">
        <v>7.5</v>
      </c>
      <c r="I1104" t="n">
        <v>12.6</v>
      </c>
      <c r="J1104" t="n">
        <v>1.6</v>
      </c>
      <c r="K1104" t="n">
        <v>44.5</v>
      </c>
      <c r="L1104" t="n">
        <v>68</v>
      </c>
      <c r="M1104" t="n">
        <v>5.4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n">
        <v>611</v>
      </c>
      <c r="Z1104" t="inlineStr"/>
      <c r="AA1104" t="inlineStr"/>
      <c r="AB1104" t="inlineStr">
        <is>
          <t>U1103</t>
        </is>
      </c>
      <c r="AC1104" t="inlineStr">
        <is>
          <t>BR</t>
        </is>
      </c>
      <c r="AD1104" t="inlineStr"/>
      <c r="AE1104" t="n">
        <v>7.5</v>
      </c>
      <c r="AF1104" t="inlineStr"/>
      <c r="AG1104" t="inlineStr"/>
      <c r="AH1104" t="inlineStr"/>
      <c r="AI1104" t="n">
        <v>32.4</v>
      </c>
      <c r="AJ1104" t="n">
        <v>15.66</v>
      </c>
    </row>
    <row r="1105">
      <c r="A1105" t="inlineStr">
        <is>
          <t>Pontifícia Universidade Católica do Rio Grande do Sul (PUCRS)</t>
        </is>
      </c>
      <c r="B1105" t="inlineStr">
        <is>
          <t>Brazil</t>
        </is>
      </c>
      <c r="C1105" t="inlineStr">
        <is>
          <t>1201-1400</t>
        </is>
      </c>
      <c r="D1105" t="inlineStr"/>
      <c r="E1105" t="n">
        <v>6.3</v>
      </c>
      <c r="F1105" t="n">
        <v>3.9</v>
      </c>
      <c r="G1105" t="n">
        <v>12.3</v>
      </c>
      <c r="H1105" t="n">
        <v>9.4</v>
      </c>
      <c r="I1105" t="n">
        <v>2.6</v>
      </c>
      <c r="J1105" t="n">
        <v>1.7</v>
      </c>
      <c r="K1105" t="n">
        <v>30.5</v>
      </c>
      <c r="L1105" t="n">
        <v>9.199999999999999</v>
      </c>
      <c r="M1105" t="n">
        <v>1.1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n">
        <v>1201</v>
      </c>
      <c r="Z1105" t="inlineStr"/>
      <c r="AA1105" t="inlineStr"/>
      <c r="AB1105" t="inlineStr">
        <is>
          <t>U1104</t>
        </is>
      </c>
      <c r="AC1105" t="inlineStr">
        <is>
          <t>BR</t>
        </is>
      </c>
      <c r="AD1105" t="inlineStr"/>
      <c r="AE1105" t="n">
        <v>9.4</v>
      </c>
      <c r="AF1105" t="inlineStr"/>
      <c r="AG1105" t="inlineStr"/>
      <c r="AH1105" t="inlineStr"/>
      <c r="AI1105" t="n">
        <v>6.3</v>
      </c>
      <c r="AJ1105" t="n">
        <v>16.24</v>
      </c>
    </row>
    <row r="1106">
      <c r="A1106" t="inlineStr">
        <is>
          <t>Pontifical Catholic University of Minas Gerais</t>
        </is>
      </c>
      <c r="B1106" t="inlineStr">
        <is>
          <t>Brazil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>
        <is>
          <t>1501+</t>
        </is>
      </c>
      <c r="O1106" t="inlineStr">
        <is>
          <t>9.7–22.7</t>
        </is>
      </c>
      <c r="P1106" t="n">
        <v>24.4</v>
      </c>
      <c r="Q1106" t="n">
        <v>10.7</v>
      </c>
      <c r="R1106" t="n">
        <v>14.6</v>
      </c>
      <c r="S1106" t="n">
        <v>20.5</v>
      </c>
      <c r="T1106" t="n">
        <v>24.7</v>
      </c>
      <c r="U1106" t="inlineStr">
        <is>
          <t>37,267</t>
        </is>
      </c>
      <c r="V1106" t="n">
        <v>36</v>
      </c>
      <c r="W1106" t="inlineStr">
        <is>
          <t>1%</t>
        </is>
      </c>
      <c r="X1106" t="inlineStr">
        <is>
          <t>57 : 43</t>
        </is>
      </c>
      <c r="Y1106" t="inlineStr"/>
      <c r="Z1106" t="n">
        <v>1501</v>
      </c>
      <c r="AA1106" t="n">
        <v>16.2</v>
      </c>
      <c r="AB1106" t="inlineStr">
        <is>
          <t>U1105</t>
        </is>
      </c>
      <c r="AC1106" t="inlineStr">
        <is>
          <t>BR</t>
        </is>
      </c>
      <c r="AD1106" t="n">
        <v>16.2</v>
      </c>
      <c r="AE1106" t="n">
        <v>14.6</v>
      </c>
      <c r="AF1106" t="n">
        <v>36</v>
      </c>
      <c r="AG1106" t="inlineStr">
        <is>
          <t>1:36.0</t>
        </is>
      </c>
      <c r="AH1106" t="inlineStr">
        <is>
          <t>1%</t>
        </is>
      </c>
      <c r="AI1106" t="inlineStr"/>
      <c r="AJ1106" t="n">
        <v>9.4</v>
      </c>
    </row>
    <row r="1107">
      <c r="A1107" t="inlineStr">
        <is>
          <t>Pontifical Catholic University of Peru</t>
        </is>
      </c>
      <c r="B1107" t="inlineStr">
        <is>
          <t>Peru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>
        <is>
          <t>1201–1500</t>
        </is>
      </c>
      <c r="O1107" t="inlineStr">
        <is>
          <t>22.8–28.2</t>
        </is>
      </c>
      <c r="P1107" t="n">
        <v>24.8</v>
      </c>
      <c r="Q1107" t="n">
        <v>9.800000000000001</v>
      </c>
      <c r="R1107" t="n">
        <v>29.7</v>
      </c>
      <c r="S1107" t="n">
        <v>16.9</v>
      </c>
      <c r="T1107" t="n">
        <v>45.6</v>
      </c>
      <c r="U1107" t="inlineStr">
        <is>
          <t>27,960</t>
        </is>
      </c>
      <c r="V1107" t="n">
        <v>7.3</v>
      </c>
      <c r="W1107" t="inlineStr">
        <is>
          <t>1%</t>
        </is>
      </c>
      <c r="X1107" t="inlineStr">
        <is>
          <t>47 : 53</t>
        </is>
      </c>
      <c r="Y1107" t="inlineStr"/>
      <c r="Z1107" t="n">
        <v>1201</v>
      </c>
      <c r="AA1107" t="n">
        <v>25.5</v>
      </c>
      <c r="AB1107" t="inlineStr">
        <is>
          <t>U1106</t>
        </is>
      </c>
      <c r="AC1107" t="inlineStr">
        <is>
          <t>PE</t>
        </is>
      </c>
      <c r="AD1107" t="n">
        <v>25.5</v>
      </c>
      <c r="AE1107" t="n">
        <v>29.7</v>
      </c>
      <c r="AF1107" t="n">
        <v>7.3</v>
      </c>
      <c r="AG1107" t="inlineStr">
        <is>
          <t>1:7.3</t>
        </is>
      </c>
      <c r="AH1107" t="inlineStr">
        <is>
          <t>1%</t>
        </is>
      </c>
      <c r="AI1107" t="inlineStr"/>
      <c r="AJ1107" t="n">
        <v>18.56</v>
      </c>
    </row>
    <row r="1108">
      <c r="A1108" t="inlineStr">
        <is>
          <t>Pontifical Catholic University of Rio de Janeiro (PUC-Rio)</t>
        </is>
      </c>
      <c r="B1108" t="inlineStr">
        <is>
          <t>Brazil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>
        <is>
          <t>801–1000</t>
        </is>
      </c>
      <c r="O1108" t="inlineStr">
        <is>
          <t>32.7–36.9</t>
        </is>
      </c>
      <c r="P1108" t="n">
        <v>33.4</v>
      </c>
      <c r="Q1108" t="n">
        <v>30.5</v>
      </c>
      <c r="R1108" t="n">
        <v>37.1</v>
      </c>
      <c r="S1108" t="n">
        <v>62.9</v>
      </c>
      <c r="T1108" t="n">
        <v>43.2</v>
      </c>
      <c r="U1108" t="inlineStr">
        <is>
          <t>13,154</t>
        </is>
      </c>
      <c r="V1108" t="n">
        <v>18.7</v>
      </c>
      <c r="W1108" t="inlineStr">
        <is>
          <t>2%</t>
        </is>
      </c>
      <c r="X1108" t="inlineStr">
        <is>
          <t>50 : 50</t>
        </is>
      </c>
      <c r="Y1108" t="inlineStr"/>
      <c r="Z1108" t="n">
        <v>801</v>
      </c>
      <c r="AA1108" t="n">
        <v>34.8</v>
      </c>
      <c r="AB1108" t="inlineStr">
        <is>
          <t>U1107</t>
        </is>
      </c>
      <c r="AC1108" t="inlineStr">
        <is>
          <t>BR</t>
        </is>
      </c>
      <c r="AD1108" t="n">
        <v>34.8</v>
      </c>
      <c r="AE1108" t="n">
        <v>37.1</v>
      </c>
      <c r="AF1108" t="n">
        <v>18.7</v>
      </c>
      <c r="AG1108" t="inlineStr">
        <is>
          <t>1:18.7</t>
        </is>
      </c>
      <c r="AH1108" t="inlineStr">
        <is>
          <t>2%</t>
        </is>
      </c>
      <c r="AI1108" t="inlineStr"/>
      <c r="AJ1108" t="n">
        <v>31.07</v>
      </c>
    </row>
    <row r="1109">
      <c r="A1109" t="inlineStr">
        <is>
          <t>Pontifical Catholic University of Rio Grande do Sul (PUCRS)</t>
        </is>
      </c>
      <c r="B1109" t="inlineStr">
        <is>
          <t>Brazil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>1001–1200</t>
        </is>
      </c>
      <c r="O1109" t="inlineStr">
        <is>
          <t>28.3–32.6</t>
        </is>
      </c>
      <c r="P1109" t="n">
        <v>32.9</v>
      </c>
      <c r="Q1109" t="n">
        <v>16.9</v>
      </c>
      <c r="R1109" t="n">
        <v>42.3</v>
      </c>
      <c r="S1109" t="n">
        <v>39.2</v>
      </c>
      <c r="T1109" t="n">
        <v>35.1</v>
      </c>
      <c r="U1109" t="inlineStr">
        <is>
          <t>12,686</t>
        </is>
      </c>
      <c r="V1109" t="n">
        <v>21.1</v>
      </c>
      <c r="W1109" t="inlineStr">
        <is>
          <t>1%</t>
        </is>
      </c>
      <c r="X1109" t="inlineStr">
        <is>
          <t>51 : 49</t>
        </is>
      </c>
      <c r="Y1109" t="inlineStr"/>
      <c r="Z1109" t="n">
        <v>1001</v>
      </c>
      <c r="AA1109" t="n">
        <v>30.45</v>
      </c>
      <c r="AB1109" t="inlineStr">
        <is>
          <t>U1108</t>
        </is>
      </c>
      <c r="AC1109" t="inlineStr">
        <is>
          <t>BR</t>
        </is>
      </c>
      <c r="AD1109" t="n">
        <v>30.45</v>
      </c>
      <c r="AE1109" t="n">
        <v>42.3</v>
      </c>
      <c r="AF1109" t="n">
        <v>21.1</v>
      </c>
      <c r="AG1109" t="inlineStr">
        <is>
          <t>1:21.1</t>
        </is>
      </c>
      <c r="AH1109" t="inlineStr">
        <is>
          <t>1%</t>
        </is>
      </c>
      <c r="AI1109" t="inlineStr"/>
      <c r="AJ1109" t="n">
        <v>23.56</v>
      </c>
    </row>
    <row r="1110">
      <c r="A1110" t="inlineStr">
        <is>
          <t>Pontifical Catholic University of Valparaíso</t>
        </is>
      </c>
      <c r="B1110" t="inlineStr">
        <is>
          <t>Chile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>
        <is>
          <t>1201–1500</t>
        </is>
      </c>
      <c r="O1110" t="inlineStr">
        <is>
          <t>22.8–28.2</t>
        </is>
      </c>
      <c r="P1110" t="n">
        <v>15.8</v>
      </c>
      <c r="Q1110" t="n">
        <v>17.1</v>
      </c>
      <c r="R1110" t="n">
        <v>32.8</v>
      </c>
      <c r="S1110" t="n">
        <v>38.1</v>
      </c>
      <c r="T1110" t="n">
        <v>51.1</v>
      </c>
      <c r="U1110" t="inlineStr">
        <is>
          <t>18,104</t>
        </is>
      </c>
      <c r="V1110" t="n">
        <v>26.2</v>
      </c>
      <c r="W1110" t="inlineStr">
        <is>
          <t>1%</t>
        </is>
      </c>
      <c r="X1110" t="inlineStr">
        <is>
          <t>43 : 57</t>
        </is>
      </c>
      <c r="Y1110" t="inlineStr"/>
      <c r="Z1110" t="n">
        <v>1201</v>
      </c>
      <c r="AA1110" t="n">
        <v>25.5</v>
      </c>
      <c r="AB1110" t="inlineStr">
        <is>
          <t>U1109</t>
        </is>
      </c>
      <c r="AC1110" t="inlineStr">
        <is>
          <t>CH</t>
        </is>
      </c>
      <c r="AD1110" t="n">
        <v>25.5</v>
      </c>
      <c r="AE1110" t="n">
        <v>32.8</v>
      </c>
      <c r="AF1110" t="n">
        <v>26.2</v>
      </c>
      <c r="AG1110" t="inlineStr">
        <is>
          <t>1:26.2</t>
        </is>
      </c>
      <c r="AH1110" t="inlineStr">
        <is>
          <t>1%</t>
        </is>
      </c>
      <c r="AI1110" t="inlineStr"/>
      <c r="AJ1110" t="n">
        <v>24.65</v>
      </c>
    </row>
    <row r="1111">
      <c r="A1111" t="inlineStr">
        <is>
          <t>Pontifical Javeriana University</t>
        </is>
      </c>
      <c r="B1111" t="inlineStr">
        <is>
          <t>Colombia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>
        <is>
          <t>1201–1500</t>
        </is>
      </c>
      <c r="O1111" t="inlineStr">
        <is>
          <t>22.8–28.2</t>
        </is>
      </c>
      <c r="P1111" t="n">
        <v>20.7</v>
      </c>
      <c r="Q1111" t="n">
        <v>11.5</v>
      </c>
      <c r="R1111" t="n">
        <v>37.4</v>
      </c>
      <c r="S1111" t="n">
        <v>21</v>
      </c>
      <c r="T1111" t="n">
        <v>45.3</v>
      </c>
      <c r="U1111" t="inlineStr">
        <is>
          <t>28,879</t>
        </is>
      </c>
      <c r="V1111" t="n">
        <v>12.9</v>
      </c>
      <c r="W1111" t="inlineStr">
        <is>
          <t>2%</t>
        </is>
      </c>
      <c r="X1111" t="inlineStr">
        <is>
          <t>56 : 44</t>
        </is>
      </c>
      <c r="Y1111" t="inlineStr"/>
      <c r="Z1111" t="n">
        <v>1201</v>
      </c>
      <c r="AA1111" t="n">
        <v>25.5</v>
      </c>
      <c r="AB1111" t="inlineStr">
        <is>
          <t>U1110</t>
        </is>
      </c>
      <c r="AC1111" t="inlineStr">
        <is>
          <t>CO</t>
        </is>
      </c>
      <c r="AD1111" t="n">
        <v>25.5</v>
      </c>
      <c r="AE1111" t="n">
        <v>37.4</v>
      </c>
      <c r="AF1111" t="n">
        <v>12.9</v>
      </c>
      <c r="AG1111" t="inlineStr">
        <is>
          <t>1:12.9</t>
        </is>
      </c>
      <c r="AH1111" t="inlineStr">
        <is>
          <t>2%</t>
        </is>
      </c>
      <c r="AI1111" t="inlineStr"/>
      <c r="AJ1111" t="n">
        <v>21.71</v>
      </c>
    </row>
    <row r="1112">
      <c r="A1112" t="inlineStr">
        <is>
          <t>Pontificia Universidad Católica Argentina</t>
        </is>
      </c>
      <c r="B1112" t="inlineStr">
        <is>
          <t>Argentina</t>
        </is>
      </c>
      <c r="C1112" t="inlineStr">
        <is>
          <t>481</t>
        </is>
      </c>
      <c r="D1112" t="n">
        <v>25</v>
      </c>
      <c r="E1112" t="n">
        <v>19.9</v>
      </c>
      <c r="F1112" t="n">
        <v>29.4</v>
      </c>
      <c r="G1112" t="n">
        <v>99.90000000000001</v>
      </c>
      <c r="H1112" t="n">
        <v>1.1</v>
      </c>
      <c r="I1112" t="n">
        <v>1.9</v>
      </c>
      <c r="J1112" t="n">
        <v>6.7</v>
      </c>
      <c r="K1112" t="n">
        <v>12.5</v>
      </c>
      <c r="L1112" t="n">
        <v>85.7</v>
      </c>
      <c r="M1112" t="n">
        <v>1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n">
        <v>481</v>
      </c>
      <c r="Z1112" t="inlineStr"/>
      <c r="AA1112" t="inlineStr"/>
      <c r="AB1112" t="inlineStr">
        <is>
          <t>U1111</t>
        </is>
      </c>
      <c r="AC1112" t="inlineStr">
        <is>
          <t>AR</t>
        </is>
      </c>
      <c r="AD1112" t="n">
        <v>25</v>
      </c>
      <c r="AE1112" t="n">
        <v>1.1</v>
      </c>
      <c r="AF1112" t="inlineStr"/>
      <c r="AG1112" t="inlineStr"/>
      <c r="AH1112" t="inlineStr"/>
      <c r="AI1112" t="n">
        <v>19.9</v>
      </c>
      <c r="AJ1112" t="n">
        <v>13.72</v>
      </c>
    </row>
    <row r="1113">
      <c r="A1113" t="inlineStr">
        <is>
          <t>Pontificia Universidad Católica de Chile (UC)</t>
        </is>
      </c>
      <c r="B1113" t="inlineStr">
        <is>
          <t>Chile</t>
        </is>
      </c>
      <c r="C1113" t="inlineStr">
        <is>
          <t>93</t>
        </is>
      </c>
      <c r="D1113" t="n">
        <v>61.5</v>
      </c>
      <c r="E1113" t="n">
        <v>93.7</v>
      </c>
      <c r="F1113" t="n">
        <v>98</v>
      </c>
      <c r="G1113" t="n">
        <v>23.7</v>
      </c>
      <c r="H1113" t="n">
        <v>8.800000000000001</v>
      </c>
      <c r="I1113" t="n">
        <v>26</v>
      </c>
      <c r="J1113" t="n">
        <v>3.7</v>
      </c>
      <c r="K1113" t="n">
        <v>82.5</v>
      </c>
      <c r="L1113" t="n">
        <v>99.90000000000001</v>
      </c>
      <c r="M1113" t="n">
        <v>79.3</v>
      </c>
      <c r="N1113" t="inlineStr">
        <is>
          <t>401–500</t>
        </is>
      </c>
      <c r="O1113" t="inlineStr">
        <is>
          <t>45.4–49.0</t>
        </is>
      </c>
      <c r="P1113" t="n">
        <v>29.7</v>
      </c>
      <c r="Q1113" t="n">
        <v>34.3</v>
      </c>
      <c r="R1113" t="n">
        <v>67.59999999999999</v>
      </c>
      <c r="S1113" t="n">
        <v>84.7</v>
      </c>
      <c r="T1113" t="n">
        <v>57.9</v>
      </c>
      <c r="U1113" t="inlineStr">
        <is>
          <t>30,448</t>
        </is>
      </c>
      <c r="V1113" t="n">
        <v>15</v>
      </c>
      <c r="W1113" t="inlineStr">
        <is>
          <t>3%</t>
        </is>
      </c>
      <c r="X1113" t="inlineStr"/>
      <c r="Y1113" t="n">
        <v>93</v>
      </c>
      <c r="Z1113" t="n">
        <v>401</v>
      </c>
      <c r="AA1113" t="n">
        <v>47.2</v>
      </c>
      <c r="AB1113" t="inlineStr">
        <is>
          <t>U1112</t>
        </is>
      </c>
      <c r="AC1113" t="inlineStr">
        <is>
          <t>CH</t>
        </is>
      </c>
      <c r="AD1113" t="n">
        <v>61.5</v>
      </c>
      <c r="AE1113" t="n">
        <v>8.800000000000001</v>
      </c>
      <c r="AF1113" t="n">
        <v>15</v>
      </c>
      <c r="AG1113" t="inlineStr">
        <is>
          <t>1:15.0</t>
        </is>
      </c>
      <c r="AH1113" t="inlineStr">
        <is>
          <t>3%</t>
        </is>
      </c>
      <c r="AI1113" t="n">
        <v>93.7</v>
      </c>
      <c r="AJ1113" t="n">
        <v>28.04</v>
      </c>
    </row>
    <row r="1114">
      <c r="A1114" t="inlineStr">
        <is>
          <t>Pontificia Universidad Católica de Valparaíso</t>
        </is>
      </c>
      <c r="B1114" t="inlineStr">
        <is>
          <t>Chile</t>
        </is>
      </c>
      <c r="C1114" t="inlineStr">
        <is>
          <t>801-850</t>
        </is>
      </c>
      <c r="D1114" t="inlineStr"/>
      <c r="E1114" t="n">
        <v>27</v>
      </c>
      <c r="F1114" t="n">
        <v>24.4</v>
      </c>
      <c r="G1114" t="n">
        <v>4.7</v>
      </c>
      <c r="H1114" t="n">
        <v>6.6</v>
      </c>
      <c r="I1114" t="n">
        <v>11.3</v>
      </c>
      <c r="J1114" t="n">
        <v>1.6</v>
      </c>
      <c r="K1114" t="n">
        <v>39.9</v>
      </c>
      <c r="L1114" t="n">
        <v>8.699999999999999</v>
      </c>
      <c r="M1114" t="n">
        <v>1.6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n">
        <v>801</v>
      </c>
      <c r="Z1114" t="inlineStr"/>
      <c r="AA1114" t="inlineStr"/>
      <c r="AB1114" t="inlineStr">
        <is>
          <t>U1113</t>
        </is>
      </c>
      <c r="AC1114" t="inlineStr">
        <is>
          <t>CH</t>
        </is>
      </c>
      <c r="AD1114" t="inlineStr"/>
      <c r="AE1114" t="n">
        <v>6.6</v>
      </c>
      <c r="AF1114" t="inlineStr"/>
      <c r="AG1114" t="inlineStr"/>
      <c r="AH1114" t="inlineStr"/>
      <c r="AI1114" t="n">
        <v>27</v>
      </c>
      <c r="AJ1114" t="n">
        <v>15.39</v>
      </c>
    </row>
    <row r="1115">
      <c r="A1115" t="inlineStr">
        <is>
          <t>Pontificia Universidad Católica del Ecuador (PUCE)</t>
        </is>
      </c>
      <c r="B1115" t="inlineStr">
        <is>
          <t>Ecuador</t>
        </is>
      </c>
      <c r="C1115" t="inlineStr">
        <is>
          <t>951-1000</t>
        </is>
      </c>
      <c r="D1115" t="inlineStr"/>
      <c r="E1115" t="n">
        <v>17.3</v>
      </c>
      <c r="F1115" t="n">
        <v>16.2</v>
      </c>
      <c r="G1115" t="n">
        <v>11.5</v>
      </c>
      <c r="H1115" t="n">
        <v>1.3</v>
      </c>
      <c r="I1115" t="n">
        <v>14.2</v>
      </c>
      <c r="J1115" t="n">
        <v>1.7</v>
      </c>
      <c r="K1115" t="n">
        <v>27.1</v>
      </c>
      <c r="L1115" t="n">
        <v>34</v>
      </c>
      <c r="M1115" t="n">
        <v>1</v>
      </c>
      <c r="N1115" t="inlineStr">
        <is>
          <t>1501+</t>
        </is>
      </c>
      <c r="O1115" t="inlineStr">
        <is>
          <t>9.7–22.7</t>
        </is>
      </c>
      <c r="P1115" t="n">
        <v>12.2</v>
      </c>
      <c r="Q1115" t="n">
        <v>8.699999999999999</v>
      </c>
      <c r="R1115" t="n">
        <v>15.3</v>
      </c>
      <c r="S1115" t="n">
        <v>15.9</v>
      </c>
      <c r="T1115" t="n">
        <v>63.9</v>
      </c>
      <c r="U1115" t="inlineStr">
        <is>
          <t>21,237</t>
        </is>
      </c>
      <c r="V1115" t="n">
        <v>25.4</v>
      </c>
      <c r="W1115" t="inlineStr">
        <is>
          <t>1%</t>
        </is>
      </c>
      <c r="X1115" t="inlineStr">
        <is>
          <t>56 : 44</t>
        </is>
      </c>
      <c r="Y1115" t="n">
        <v>951</v>
      </c>
      <c r="Z1115" t="n">
        <v>1501</v>
      </c>
      <c r="AA1115" t="n">
        <v>16.2</v>
      </c>
      <c r="AB1115" t="inlineStr">
        <is>
          <t>U1114</t>
        </is>
      </c>
      <c r="AC1115" t="inlineStr">
        <is>
          <t>EC</t>
        </is>
      </c>
      <c r="AD1115" t="n">
        <v>16.2</v>
      </c>
      <c r="AE1115" t="n">
        <v>1.3</v>
      </c>
      <c r="AF1115" t="n">
        <v>25.4</v>
      </c>
      <c r="AG1115" t="inlineStr">
        <is>
          <t>1:25.4</t>
        </is>
      </c>
      <c r="AH1115" t="inlineStr">
        <is>
          <t>1%</t>
        </is>
      </c>
      <c r="AI1115" t="n">
        <v>17.3</v>
      </c>
      <c r="AJ1115" t="n">
        <v>13.8</v>
      </c>
    </row>
    <row r="1116">
      <c r="A1116" t="inlineStr">
        <is>
          <t>Pontificia Universidad Católica del Perú</t>
        </is>
      </c>
      <c r="B1116" t="inlineStr">
        <is>
          <t>Peru</t>
        </is>
      </c>
      <c r="C1116" t="inlineStr">
        <is>
          <t>359</t>
        </is>
      </c>
      <c r="D1116" t="n">
        <v>31.9</v>
      </c>
      <c r="E1116" t="n">
        <v>48.4</v>
      </c>
      <c r="F1116" t="n">
        <v>61.6</v>
      </c>
      <c r="G1116" t="n">
        <v>33.2</v>
      </c>
      <c r="H1116" t="n">
        <v>1.6</v>
      </c>
      <c r="I1116" t="n">
        <v>4</v>
      </c>
      <c r="J1116" t="n">
        <v>1.3</v>
      </c>
      <c r="K1116" t="n">
        <v>38.1</v>
      </c>
      <c r="L1116" t="n">
        <v>33</v>
      </c>
      <c r="M1116" t="n">
        <v>29.6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n">
        <v>359</v>
      </c>
      <c r="Z1116" t="inlineStr"/>
      <c r="AA1116" t="inlineStr"/>
      <c r="AB1116" t="inlineStr">
        <is>
          <t>U1115</t>
        </is>
      </c>
      <c r="AC1116" t="inlineStr">
        <is>
          <t>PE</t>
        </is>
      </c>
      <c r="AD1116" t="n">
        <v>31.9</v>
      </c>
      <c r="AE1116" t="n">
        <v>1.6</v>
      </c>
      <c r="AF1116" t="inlineStr"/>
      <c r="AG1116" t="inlineStr"/>
      <c r="AH1116" t="inlineStr"/>
      <c r="AI1116" t="n">
        <v>48.4</v>
      </c>
      <c r="AJ1116" t="n">
        <v>13.87</v>
      </c>
    </row>
    <row r="1117">
      <c r="A1117" t="inlineStr">
        <is>
          <t>Pontificia Universidad Catolica Madre y Maestra</t>
        </is>
      </c>
      <c r="B1117" t="inlineStr">
        <is>
          <t>Dominican Republic</t>
        </is>
      </c>
      <c r="C1117" t="inlineStr">
        <is>
          <t>1201-1400</t>
        </is>
      </c>
      <c r="D1117" t="inlineStr"/>
      <c r="E1117" t="n">
        <v>4.2</v>
      </c>
      <c r="F1117" t="n">
        <v>4.1</v>
      </c>
      <c r="G1117" t="n">
        <v>11.2</v>
      </c>
      <c r="H1117" t="n">
        <v>1.2</v>
      </c>
      <c r="I1117" t="n">
        <v>9.4</v>
      </c>
      <c r="J1117" t="n">
        <v>11.4</v>
      </c>
      <c r="K1117" t="n">
        <v>4.1</v>
      </c>
      <c r="L1117" t="n">
        <v>45.7</v>
      </c>
      <c r="M1117" t="n">
        <v>1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n">
        <v>1201</v>
      </c>
      <c r="Z1117" t="inlineStr"/>
      <c r="AA1117" t="inlineStr"/>
      <c r="AB1117" t="inlineStr">
        <is>
          <t>U1116</t>
        </is>
      </c>
      <c r="AC1117" t="inlineStr">
        <is>
          <t>DO</t>
        </is>
      </c>
      <c r="AD1117" t="inlineStr"/>
      <c r="AE1117" t="n">
        <v>1.2</v>
      </c>
      <c r="AF1117" t="inlineStr"/>
      <c r="AG1117" t="inlineStr"/>
      <c r="AH1117" t="inlineStr"/>
      <c r="AI1117" t="n">
        <v>4.2</v>
      </c>
      <c r="AJ1117" t="n">
        <v>13.75</v>
      </c>
    </row>
    <row r="1118">
      <c r="A1118" t="inlineStr">
        <is>
          <t>Pontificia Universidad Javeriana</t>
        </is>
      </c>
      <c r="B1118" t="inlineStr">
        <is>
          <t>Colombia</t>
        </is>
      </c>
      <c r="C1118" t="inlineStr">
        <is>
          <t>377</t>
        </is>
      </c>
      <c r="D1118" t="n">
        <v>31.1</v>
      </c>
      <c r="E1118" t="n">
        <v>45.3</v>
      </c>
      <c r="F1118" t="n">
        <v>56.6</v>
      </c>
      <c r="G1118" t="n">
        <v>26.3</v>
      </c>
      <c r="H1118" t="n">
        <v>1.6</v>
      </c>
      <c r="I1118" t="n">
        <v>3.4</v>
      </c>
      <c r="J1118" t="n">
        <v>2.5</v>
      </c>
      <c r="K1118" t="n">
        <v>42.2</v>
      </c>
      <c r="L1118" t="n">
        <v>78.3</v>
      </c>
      <c r="M1118" t="n">
        <v>11.3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n">
        <v>377</v>
      </c>
      <c r="Z1118" t="inlineStr"/>
      <c r="AA1118" t="inlineStr"/>
      <c r="AB1118" t="inlineStr">
        <is>
          <t>U1117</t>
        </is>
      </c>
      <c r="AC1118" t="inlineStr">
        <is>
          <t>CO</t>
        </is>
      </c>
      <c r="AD1118" t="n">
        <v>31.1</v>
      </c>
      <c r="AE1118" t="n">
        <v>1.6</v>
      </c>
      <c r="AF1118" t="inlineStr"/>
      <c r="AG1118" t="inlineStr"/>
      <c r="AH1118" t="inlineStr"/>
      <c r="AI1118" t="n">
        <v>45.3</v>
      </c>
      <c r="AJ1118" t="n">
        <v>13.87</v>
      </c>
    </row>
    <row r="1119">
      <c r="A1119" t="inlineStr">
        <is>
          <t>Pontificia Universidade Católica do Campinas - PUC Campinas</t>
        </is>
      </c>
      <c r="B1119" t="inlineStr">
        <is>
          <t>Brazil</t>
        </is>
      </c>
      <c r="C1119" t="inlineStr">
        <is>
          <t>1401+</t>
        </is>
      </c>
      <c r="D1119" t="inlineStr"/>
      <c r="E1119" t="n">
        <v>4.2</v>
      </c>
      <c r="F1119" t="n">
        <v>3.8</v>
      </c>
      <c r="G1119" t="n">
        <v>7</v>
      </c>
      <c r="H1119" t="n">
        <v>2</v>
      </c>
      <c r="I1119" t="n">
        <v>1.8</v>
      </c>
      <c r="J1119" t="n">
        <v>1.2</v>
      </c>
      <c r="K1119" t="n">
        <v>2.3</v>
      </c>
      <c r="L1119" t="n">
        <v>1.9</v>
      </c>
      <c r="M1119" t="n">
        <v>1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n">
        <v>1401</v>
      </c>
      <c r="Z1119" t="inlineStr"/>
      <c r="AA1119" t="inlineStr"/>
      <c r="AB1119" t="inlineStr">
        <is>
          <t>U1118</t>
        </is>
      </c>
      <c r="AC1119" t="inlineStr">
        <is>
          <t>BR</t>
        </is>
      </c>
      <c r="AD1119" t="inlineStr"/>
      <c r="AE1119" t="n">
        <v>2</v>
      </c>
      <c r="AF1119" t="inlineStr"/>
      <c r="AG1119" t="inlineStr"/>
      <c r="AH1119" t="inlineStr"/>
      <c r="AI1119" t="n">
        <v>4.2</v>
      </c>
      <c r="AJ1119" t="n">
        <v>13.99</v>
      </c>
    </row>
    <row r="1120">
      <c r="A1120" t="inlineStr">
        <is>
          <t>Port Said University</t>
        </is>
      </c>
      <c r="B1120" t="inlineStr">
        <is>
          <t>Egypt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>
        <is>
          <t>1201–1500</t>
        </is>
      </c>
      <c r="O1120" t="inlineStr">
        <is>
          <t>22.8–28.2</t>
        </is>
      </c>
      <c r="P1120" t="n">
        <v>13.7</v>
      </c>
      <c r="Q1120" t="n">
        <v>8.5</v>
      </c>
      <c r="R1120" t="n">
        <v>53.7</v>
      </c>
      <c r="S1120" t="n">
        <v>16.8</v>
      </c>
      <c r="T1120" t="n">
        <v>46.6</v>
      </c>
      <c r="U1120" t="inlineStr">
        <is>
          <t>29,241</t>
        </is>
      </c>
      <c r="V1120" t="n">
        <v>28.3</v>
      </c>
      <c r="W1120" t="inlineStr">
        <is>
          <t>0%</t>
        </is>
      </c>
      <c r="X1120" t="inlineStr">
        <is>
          <t>62 : 38</t>
        </is>
      </c>
      <c r="Y1120" t="inlineStr"/>
      <c r="Z1120" t="n">
        <v>1201</v>
      </c>
      <c r="AA1120" t="n">
        <v>25.5</v>
      </c>
      <c r="AB1120" t="inlineStr">
        <is>
          <t>U1119</t>
        </is>
      </c>
      <c r="AC1120" t="inlineStr">
        <is>
          <t>EG</t>
        </is>
      </c>
      <c r="AD1120" t="n">
        <v>25.5</v>
      </c>
      <c r="AE1120" t="n">
        <v>53.7</v>
      </c>
      <c r="AF1120" t="n">
        <v>28.3</v>
      </c>
      <c r="AG1120" t="inlineStr">
        <is>
          <t>1:28.3</t>
        </is>
      </c>
      <c r="AH1120" t="inlineStr">
        <is>
          <t>0%</t>
        </is>
      </c>
      <c r="AI1120" t="inlineStr"/>
      <c r="AJ1120" t="n">
        <v>25.39</v>
      </c>
    </row>
    <row r="1121">
      <c r="A1121" t="inlineStr">
        <is>
          <t>Portland State University</t>
        </is>
      </c>
      <c r="B1121" t="inlineStr">
        <is>
          <t>United States</t>
        </is>
      </c>
      <c r="C1121" t="inlineStr">
        <is>
          <t>1201-1400</t>
        </is>
      </c>
      <c r="D1121" t="inlineStr"/>
      <c r="E1121" t="n">
        <v>4.1</v>
      </c>
      <c r="F1121" t="n">
        <v>1.7</v>
      </c>
      <c r="G1121" t="n">
        <v>9.300000000000001</v>
      </c>
      <c r="H1121" t="n">
        <v>9.199999999999999</v>
      </c>
      <c r="I1121" t="n">
        <v>1.6</v>
      </c>
      <c r="J1121" t="n">
        <v>6.1</v>
      </c>
      <c r="K1121" t="n">
        <v>44.4</v>
      </c>
      <c r="L1121" t="n">
        <v>9.699999999999999</v>
      </c>
      <c r="M1121" t="n">
        <v>6.8</v>
      </c>
      <c r="N1121" t="inlineStr">
        <is>
          <t>801–1000</t>
        </is>
      </c>
      <c r="O1121" t="inlineStr">
        <is>
          <t>32.7–36.9</t>
        </is>
      </c>
      <c r="P1121" t="n">
        <v>22.1</v>
      </c>
      <c r="Q1121" t="n">
        <v>23.2</v>
      </c>
      <c r="R1121" t="n">
        <v>55.7</v>
      </c>
      <c r="S1121" t="n">
        <v>54.7</v>
      </c>
      <c r="T1121" t="n">
        <v>35</v>
      </c>
      <c r="U1121" t="inlineStr">
        <is>
          <t>18,763</t>
        </is>
      </c>
      <c r="V1121" t="n">
        <v>20.5</v>
      </c>
      <c r="W1121" t="inlineStr">
        <is>
          <t>5%</t>
        </is>
      </c>
      <c r="X1121" t="inlineStr">
        <is>
          <t>58 : 42</t>
        </is>
      </c>
      <c r="Y1121" t="n">
        <v>1201</v>
      </c>
      <c r="Z1121" t="n">
        <v>801</v>
      </c>
      <c r="AA1121" t="n">
        <v>34.8</v>
      </c>
      <c r="AB1121" t="inlineStr">
        <is>
          <t>U1120</t>
        </is>
      </c>
      <c r="AC1121" t="inlineStr">
        <is>
          <t>UN</t>
        </is>
      </c>
      <c r="AD1121" t="n">
        <v>34.8</v>
      </c>
      <c r="AE1121" t="n">
        <v>9.199999999999999</v>
      </c>
      <c r="AF1121" t="n">
        <v>20.5</v>
      </c>
      <c r="AG1121" t="inlineStr">
        <is>
          <t>1:20.5</t>
        </is>
      </c>
      <c r="AH1121" t="inlineStr">
        <is>
          <t>5%</t>
        </is>
      </c>
      <c r="AI1121" t="n">
        <v>4.1</v>
      </c>
      <c r="AJ1121" t="n">
        <v>16.8</v>
      </c>
    </row>
    <row r="1122">
      <c r="A1122" t="inlineStr">
        <is>
          <t>Poznań University of Life Sciences</t>
        </is>
      </c>
      <c r="B1122" t="inlineStr">
        <is>
          <t>Poland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>1201–1500</t>
        </is>
      </c>
      <c r="O1122" t="inlineStr">
        <is>
          <t>22.8–28.2</t>
        </is>
      </c>
      <c r="P1122" t="n">
        <v>25.1</v>
      </c>
      <c r="Q1122" t="n">
        <v>11.3</v>
      </c>
      <c r="R1122" t="n">
        <v>45.2</v>
      </c>
      <c r="S1122" t="n">
        <v>27.4</v>
      </c>
      <c r="T1122" t="n">
        <v>25.9</v>
      </c>
      <c r="U1122" t="inlineStr">
        <is>
          <t>6,184</t>
        </is>
      </c>
      <c r="V1122" t="n">
        <v>8.5</v>
      </c>
      <c r="W1122" t="inlineStr">
        <is>
          <t>6%</t>
        </is>
      </c>
      <c r="X1122" t="inlineStr">
        <is>
          <t>60 : 40</t>
        </is>
      </c>
      <c r="Y1122" t="inlineStr"/>
      <c r="Z1122" t="n">
        <v>1201</v>
      </c>
      <c r="AA1122" t="n">
        <v>25.5</v>
      </c>
      <c r="AB1122" t="inlineStr">
        <is>
          <t>U1121</t>
        </is>
      </c>
      <c r="AC1122" t="inlineStr">
        <is>
          <t>PO</t>
        </is>
      </c>
      <c r="AD1122" t="n">
        <v>25.5</v>
      </c>
      <c r="AE1122" t="n">
        <v>45.2</v>
      </c>
      <c r="AF1122" t="n">
        <v>8.5</v>
      </c>
      <c r="AG1122" t="inlineStr">
        <is>
          <t>1:8.5</t>
        </is>
      </c>
      <c r="AH1122" t="inlineStr">
        <is>
          <t>6%</t>
        </is>
      </c>
      <c r="AI1122" t="inlineStr"/>
      <c r="AJ1122" t="n">
        <v>19.28</v>
      </c>
    </row>
    <row r="1123">
      <c r="A1123" t="inlineStr">
        <is>
          <t>Pozna? University of Technology</t>
        </is>
      </c>
      <c r="B1123" t="inlineStr">
        <is>
          <t>Poland</t>
        </is>
      </c>
      <c r="C1123" t="inlineStr">
        <is>
          <t>1001-1200</t>
        </is>
      </c>
      <c r="D1123" t="inlineStr"/>
      <c r="E1123" t="n">
        <v>7.8</v>
      </c>
      <c r="F1123" t="n">
        <v>6.8</v>
      </c>
      <c r="G1123" t="n">
        <v>31.6</v>
      </c>
      <c r="H1123" t="n">
        <v>6.3</v>
      </c>
      <c r="I1123" t="n">
        <v>2.3</v>
      </c>
      <c r="J1123" t="n">
        <v>5.7</v>
      </c>
      <c r="K1123" t="n">
        <v>44.9</v>
      </c>
      <c r="L1123" t="n">
        <v>5.2</v>
      </c>
      <c r="M1123" t="n">
        <v>1.4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n">
        <v>1001</v>
      </c>
      <c r="Z1123" t="inlineStr"/>
      <c r="AA1123" t="inlineStr"/>
      <c r="AB1123" t="inlineStr">
        <is>
          <t>U1122</t>
        </is>
      </c>
      <c r="AC1123" t="inlineStr">
        <is>
          <t>PO</t>
        </is>
      </c>
      <c r="AD1123" t="inlineStr"/>
      <c r="AE1123" t="n">
        <v>6.3</v>
      </c>
      <c r="AF1123" t="inlineStr"/>
      <c r="AG1123" t="inlineStr"/>
      <c r="AH1123" t="inlineStr"/>
      <c r="AI1123" t="n">
        <v>7.8</v>
      </c>
      <c r="AJ1123" t="n">
        <v>15.3</v>
      </c>
    </row>
    <row r="1124">
      <c r="A1124" t="inlineStr">
        <is>
          <t>Poznan University of Life Sciences</t>
        </is>
      </c>
      <c r="B1124" t="inlineStr">
        <is>
          <t>Poland</t>
        </is>
      </c>
      <c r="C1124" t="inlineStr">
        <is>
          <t>851-900</t>
        </is>
      </c>
      <c r="D1124" t="inlineStr"/>
      <c r="E1124" t="n">
        <v>5.6</v>
      </c>
      <c r="F1124" t="n">
        <v>2.2</v>
      </c>
      <c r="G1124" t="n">
        <v>94.3</v>
      </c>
      <c r="H1124" t="n">
        <v>6.4</v>
      </c>
      <c r="I1124" t="n">
        <v>1.9</v>
      </c>
      <c r="J1124" t="n">
        <v>7.9</v>
      </c>
      <c r="K1124" t="n">
        <v>31</v>
      </c>
      <c r="L1124" t="n">
        <v>3.3</v>
      </c>
      <c r="M1124" t="n">
        <v>1.1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n">
        <v>851</v>
      </c>
      <c r="Z1124" t="inlineStr"/>
      <c r="AA1124" t="inlineStr"/>
      <c r="AB1124" t="inlineStr">
        <is>
          <t>U1123</t>
        </is>
      </c>
      <c r="AC1124" t="inlineStr">
        <is>
          <t>PO</t>
        </is>
      </c>
      <c r="AD1124" t="inlineStr"/>
      <c r="AE1124" t="n">
        <v>6.4</v>
      </c>
      <c r="AF1124" t="inlineStr"/>
      <c r="AG1124" t="inlineStr"/>
      <c r="AH1124" t="inlineStr"/>
      <c r="AI1124" t="n">
        <v>5.6</v>
      </c>
      <c r="AJ1124" t="n">
        <v>15.33</v>
      </c>
    </row>
    <row r="1125">
      <c r="A1125" t="inlineStr">
        <is>
          <t>Poznan University of Medical Sciences</t>
        </is>
      </c>
      <c r="B1125" t="inlineStr">
        <is>
          <t>Poland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>
        <is>
          <t>1001–1200</t>
        </is>
      </c>
      <c r="O1125" t="inlineStr">
        <is>
          <t>28.3–32.6</t>
        </is>
      </c>
      <c r="P1125" t="n">
        <v>27.1</v>
      </c>
      <c r="Q1125" t="n">
        <v>13.4</v>
      </c>
      <c r="R1125" t="n">
        <v>41.2</v>
      </c>
      <c r="S1125" t="n">
        <v>44.4</v>
      </c>
      <c r="T1125" t="n">
        <v>34.1</v>
      </c>
      <c r="U1125" t="inlineStr">
        <is>
          <t>7,296</t>
        </is>
      </c>
      <c r="V1125" t="n">
        <v>6</v>
      </c>
      <c r="W1125" t="inlineStr">
        <is>
          <t>11%</t>
        </is>
      </c>
      <c r="X1125" t="inlineStr">
        <is>
          <t>73 : 27</t>
        </is>
      </c>
      <c r="Y1125" t="inlineStr"/>
      <c r="Z1125" t="n">
        <v>1001</v>
      </c>
      <c r="AA1125" t="n">
        <v>30.45</v>
      </c>
      <c r="AB1125" t="inlineStr">
        <is>
          <t>U1124</t>
        </is>
      </c>
      <c r="AC1125" t="inlineStr">
        <is>
          <t>PO</t>
        </is>
      </c>
      <c r="AD1125" t="n">
        <v>30.45</v>
      </c>
      <c r="AE1125" t="n">
        <v>41.2</v>
      </c>
      <c r="AF1125" t="n">
        <v>6</v>
      </c>
      <c r="AG1125" t="inlineStr">
        <is>
          <t>1:6.0</t>
        </is>
      </c>
      <c r="AH1125" t="inlineStr">
        <is>
          <t>11%</t>
        </is>
      </c>
      <c r="AI1125" t="inlineStr"/>
      <c r="AJ1125" t="n">
        <v>21.15</v>
      </c>
    </row>
    <row r="1126">
      <c r="A1126" t="inlineStr">
        <is>
          <t>Poznan University of Technology</t>
        </is>
      </c>
      <c r="B1126" t="inlineStr">
        <is>
          <t>Poland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>
        <is>
          <t>1201–1500</t>
        </is>
      </c>
      <c r="O1126" t="inlineStr">
        <is>
          <t>22.8–28.2</t>
        </is>
      </c>
      <c r="P1126" t="n">
        <v>22.6</v>
      </c>
      <c r="Q1126" t="n">
        <v>13</v>
      </c>
      <c r="R1126" t="n">
        <v>35.9</v>
      </c>
      <c r="S1126" t="n">
        <v>41.8</v>
      </c>
      <c r="T1126" t="n">
        <v>26.9</v>
      </c>
      <c r="U1126" t="inlineStr">
        <is>
          <t>14,304</t>
        </is>
      </c>
      <c r="V1126" t="n">
        <v>11.4</v>
      </c>
      <c r="W1126" t="inlineStr">
        <is>
          <t>6%</t>
        </is>
      </c>
      <c r="X1126" t="inlineStr">
        <is>
          <t>32 : 68</t>
        </is>
      </c>
      <c r="Y1126" t="inlineStr"/>
      <c r="Z1126" t="n">
        <v>1201</v>
      </c>
      <c r="AA1126" t="n">
        <v>25.5</v>
      </c>
      <c r="AB1126" t="inlineStr">
        <is>
          <t>U1125</t>
        </is>
      </c>
      <c r="AC1126" t="inlineStr">
        <is>
          <t>PO</t>
        </is>
      </c>
      <c r="AD1126" t="n">
        <v>25.5</v>
      </c>
      <c r="AE1126" t="n">
        <v>35.9</v>
      </c>
      <c r="AF1126" t="n">
        <v>11.4</v>
      </c>
      <c r="AG1126" t="inlineStr">
        <is>
          <t>1:11.4</t>
        </is>
      </c>
      <c r="AH1126" t="inlineStr">
        <is>
          <t>6%</t>
        </is>
      </c>
      <c r="AI1126" t="inlineStr"/>
      <c r="AJ1126" t="n">
        <v>17.59</v>
      </c>
    </row>
    <row r="1127">
      <c r="A1127" t="inlineStr">
        <is>
          <t>Prague University of Economics and Business</t>
        </is>
      </c>
      <c r="B1127" t="inlineStr">
        <is>
          <t>Czech Republic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>
        <is>
          <t>1501+</t>
        </is>
      </c>
      <c r="O1127" t="inlineStr">
        <is>
          <t>9.7–22.7</t>
        </is>
      </c>
      <c r="P1127" t="n">
        <v>15.5</v>
      </c>
      <c r="Q1127" t="n">
        <v>14.9</v>
      </c>
      <c r="R1127" t="n">
        <v>27.6</v>
      </c>
      <c r="S1127" t="n">
        <v>16.8</v>
      </c>
      <c r="T1127" t="n">
        <v>47.9</v>
      </c>
      <c r="U1127" t="inlineStr">
        <is>
          <t>14,306</t>
        </is>
      </c>
      <c r="V1127" t="n">
        <v>29.1</v>
      </c>
      <c r="W1127" t="inlineStr">
        <is>
          <t>27%</t>
        </is>
      </c>
      <c r="X1127" t="inlineStr">
        <is>
          <t>53 : 47</t>
        </is>
      </c>
      <c r="Y1127" t="inlineStr"/>
      <c r="Z1127" t="n">
        <v>1501</v>
      </c>
      <c r="AA1127" t="n">
        <v>16.2</v>
      </c>
      <c r="AB1127" t="inlineStr">
        <is>
          <t>U1126</t>
        </is>
      </c>
      <c r="AC1127" t="inlineStr">
        <is>
          <t>CZ</t>
        </is>
      </c>
      <c r="AD1127" t="n">
        <v>16.2</v>
      </c>
      <c r="AE1127" t="n">
        <v>27.6</v>
      </c>
      <c r="AF1127" t="n">
        <v>29.1</v>
      </c>
      <c r="AG1127" t="inlineStr">
        <is>
          <t>1:29.1</t>
        </is>
      </c>
      <c r="AH1127" t="inlineStr">
        <is>
          <t>27%</t>
        </is>
      </c>
      <c r="AI1127" t="inlineStr"/>
      <c r="AJ1127" t="n">
        <v>21.15</v>
      </c>
    </row>
    <row r="1128">
      <c r="A1128" t="inlineStr">
        <is>
          <t>Prince Mohammad Bin Fahd university</t>
        </is>
      </c>
      <c r="B1128" t="inlineStr">
        <is>
          <t>Saudi Arabia</t>
        </is>
      </c>
      <c r="C1128" t="inlineStr">
        <is>
          <t>513</t>
        </is>
      </c>
      <c r="D1128" t="n">
        <v>23.7</v>
      </c>
      <c r="E1128" t="n">
        <v>20.3</v>
      </c>
      <c r="F1128" t="n">
        <v>23</v>
      </c>
      <c r="G1128" t="n">
        <v>23.1</v>
      </c>
      <c r="H1128" t="n">
        <v>27.8</v>
      </c>
      <c r="I1128" t="n">
        <v>100</v>
      </c>
      <c r="J1128" t="n">
        <v>18.8</v>
      </c>
      <c r="K1128" t="n">
        <v>23.3</v>
      </c>
      <c r="L1128" t="n">
        <v>2.8</v>
      </c>
      <c r="M1128" t="n">
        <v>1.2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n">
        <v>513</v>
      </c>
      <c r="Z1128" t="inlineStr"/>
      <c r="AA1128" t="inlineStr"/>
      <c r="AB1128" t="inlineStr">
        <is>
          <t>U1127</t>
        </is>
      </c>
      <c r="AC1128" t="inlineStr">
        <is>
          <t>SA</t>
        </is>
      </c>
      <c r="AD1128" t="n">
        <v>23.7</v>
      </c>
      <c r="AE1128" t="n">
        <v>27.8</v>
      </c>
      <c r="AF1128" t="inlineStr"/>
      <c r="AG1128" t="inlineStr"/>
      <c r="AH1128" t="inlineStr"/>
      <c r="AI1128" t="n">
        <v>20.3</v>
      </c>
      <c r="AJ1128" t="n">
        <v>21.81</v>
      </c>
    </row>
    <row r="1129">
      <c r="A1129" t="inlineStr">
        <is>
          <t>Prince of Songkla University</t>
        </is>
      </c>
      <c r="B1129" t="inlineStr">
        <is>
          <t>Thailand</t>
        </is>
      </c>
      <c r="C1129" t="inlineStr">
        <is>
          <t>951-1000</t>
        </is>
      </c>
      <c r="D1129" t="inlineStr"/>
      <c r="E1129" t="n">
        <v>21.6</v>
      </c>
      <c r="F1129" t="n">
        <v>5.6</v>
      </c>
      <c r="G1129" t="n">
        <v>16.4</v>
      </c>
      <c r="H1129" t="n">
        <v>3.3</v>
      </c>
      <c r="I1129" t="n">
        <v>5.3</v>
      </c>
      <c r="J1129" t="n">
        <v>1.9</v>
      </c>
      <c r="K1129" t="n">
        <v>40.3</v>
      </c>
      <c r="L1129" t="n">
        <v>3.9</v>
      </c>
      <c r="M1129" t="n">
        <v>24.2</v>
      </c>
      <c r="N1129" t="inlineStr">
        <is>
          <t>1201–1500</t>
        </is>
      </c>
      <c r="O1129" t="inlineStr">
        <is>
          <t>22.8–28.2</t>
        </is>
      </c>
      <c r="P1129" t="n">
        <v>23.4</v>
      </c>
      <c r="Q1129" t="n">
        <v>14.8</v>
      </c>
      <c r="R1129" t="n">
        <v>32.6</v>
      </c>
      <c r="S1129" t="n">
        <v>43.5</v>
      </c>
      <c r="T1129" t="n">
        <v>37.7</v>
      </c>
      <c r="U1129" t="inlineStr">
        <is>
          <t>33,318</t>
        </is>
      </c>
      <c r="V1129" t="n">
        <v>12.9</v>
      </c>
      <c r="W1129" t="inlineStr">
        <is>
          <t>2%</t>
        </is>
      </c>
      <c r="X1129" t="inlineStr">
        <is>
          <t>69 : 31</t>
        </is>
      </c>
      <c r="Y1129" t="n">
        <v>951</v>
      </c>
      <c r="Z1129" t="n">
        <v>1201</v>
      </c>
      <c r="AA1129" t="n">
        <v>25.5</v>
      </c>
      <c r="AB1129" t="inlineStr">
        <is>
          <t>U1128</t>
        </is>
      </c>
      <c r="AC1129" t="inlineStr">
        <is>
          <t>TH</t>
        </is>
      </c>
      <c r="AD1129" t="n">
        <v>25.5</v>
      </c>
      <c r="AE1129" t="n">
        <v>3.3</v>
      </c>
      <c r="AF1129" t="n">
        <v>12.9</v>
      </c>
      <c r="AG1129" t="inlineStr">
        <is>
          <t>1:12.9</t>
        </is>
      </c>
      <c r="AH1129" t="inlineStr">
        <is>
          <t>2%</t>
        </is>
      </c>
      <c r="AI1129" t="n">
        <v>21.6</v>
      </c>
      <c r="AJ1129" t="n">
        <v>11.27</v>
      </c>
    </row>
    <row r="1130">
      <c r="A1130" t="inlineStr">
        <is>
          <t>Prince Sattam Bin Abdulaziz University</t>
        </is>
      </c>
      <c r="B1130" t="inlineStr">
        <is>
          <t>Saudi Arabia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>
        <is>
          <t>601–800</t>
        </is>
      </c>
      <c r="O1130" t="inlineStr">
        <is>
          <t>37.0–41.8</t>
        </is>
      </c>
      <c r="P1130" t="n">
        <v>21.3</v>
      </c>
      <c r="Q1130" t="n">
        <v>12</v>
      </c>
      <c r="R1130" t="n">
        <v>80.8</v>
      </c>
      <c r="S1130" t="n">
        <v>23.5</v>
      </c>
      <c r="T1130" t="n">
        <v>75.8</v>
      </c>
      <c r="U1130" t="inlineStr">
        <is>
          <t>26,740</t>
        </is>
      </c>
      <c r="V1130" t="n">
        <v>11.9</v>
      </c>
      <c r="W1130" t="inlineStr">
        <is>
          <t>2%</t>
        </is>
      </c>
      <c r="X1130" t="inlineStr">
        <is>
          <t>61 : 39</t>
        </is>
      </c>
      <c r="Y1130" t="inlineStr"/>
      <c r="Z1130" t="n">
        <v>601</v>
      </c>
      <c r="AA1130" t="n">
        <v>39.4</v>
      </c>
      <c r="AB1130" t="inlineStr">
        <is>
          <t>U1129</t>
        </is>
      </c>
      <c r="AC1130" t="inlineStr">
        <is>
          <t>SA</t>
        </is>
      </c>
      <c r="AD1130" t="n">
        <v>39.4</v>
      </c>
      <c r="AE1130" t="n">
        <v>80.8</v>
      </c>
      <c r="AF1130" t="n">
        <v>11.9</v>
      </c>
      <c r="AG1130" t="inlineStr">
        <is>
          <t>1:11.9</t>
        </is>
      </c>
      <c r="AH1130" t="inlineStr">
        <is>
          <t>2%</t>
        </is>
      </c>
      <c r="AI1130" t="inlineStr"/>
      <c r="AJ1130" t="n">
        <v>42.5</v>
      </c>
    </row>
    <row r="1131">
      <c r="A1131" t="inlineStr">
        <is>
          <t>Prince Sultan University</t>
        </is>
      </c>
      <c r="B1131" t="inlineStr">
        <is>
          <t>Saudi Arabia</t>
        </is>
      </c>
      <c r="C1131" t="inlineStr">
        <is>
          <t>681-690</t>
        </is>
      </c>
      <c r="D1131" t="inlineStr"/>
      <c r="E1131" t="n">
        <v>6.5</v>
      </c>
      <c r="F1131" t="n">
        <v>5.3</v>
      </c>
      <c r="G1131" t="n">
        <v>14.7</v>
      </c>
      <c r="H1131" t="n">
        <v>31.7</v>
      </c>
      <c r="I1131" t="n">
        <v>100</v>
      </c>
      <c r="J1131" t="n">
        <v>13.9</v>
      </c>
      <c r="K1131" t="n">
        <v>54.3</v>
      </c>
      <c r="L1131" t="n">
        <v>11</v>
      </c>
      <c r="M1131" t="n">
        <v>3.6</v>
      </c>
      <c r="N1131" t="inlineStr">
        <is>
          <t>401–500</t>
        </is>
      </c>
      <c r="O1131" t="inlineStr">
        <is>
          <t>45.4–49.0</t>
        </is>
      </c>
      <c r="P1131" t="n">
        <v>18.4</v>
      </c>
      <c r="Q1131" t="n">
        <v>20.5</v>
      </c>
      <c r="R1131" t="n">
        <v>87</v>
      </c>
      <c r="S1131" t="n">
        <v>37.8</v>
      </c>
      <c r="T1131" t="n">
        <v>85.8</v>
      </c>
      <c r="U1131" t="inlineStr">
        <is>
          <t>5,982</t>
        </is>
      </c>
      <c r="V1131" t="n">
        <v>17.4</v>
      </c>
      <c r="W1131" t="inlineStr">
        <is>
          <t>11%</t>
        </is>
      </c>
      <c r="X1131" t="inlineStr">
        <is>
          <t>56 : 44</t>
        </is>
      </c>
      <c r="Y1131" t="n">
        <v>681</v>
      </c>
      <c r="Z1131" t="n">
        <v>401</v>
      </c>
      <c r="AA1131" t="n">
        <v>47.2</v>
      </c>
      <c r="AB1131" t="inlineStr">
        <is>
          <t>U1130</t>
        </is>
      </c>
      <c r="AC1131" t="inlineStr">
        <is>
          <t>SA</t>
        </is>
      </c>
      <c r="AD1131" t="n">
        <v>47.2</v>
      </c>
      <c r="AE1131" t="n">
        <v>31.7</v>
      </c>
      <c r="AF1131" t="n">
        <v>17.4</v>
      </c>
      <c r="AG1131" t="inlineStr">
        <is>
          <t>1:17.4</t>
        </is>
      </c>
      <c r="AH1131" t="inlineStr">
        <is>
          <t>11%</t>
        </is>
      </c>
      <c r="AI1131" t="n">
        <v>6.5</v>
      </c>
      <c r="AJ1131" t="n">
        <v>34.49</v>
      </c>
    </row>
    <row r="1132">
      <c r="A1132" t="inlineStr">
        <is>
          <t>Princess Nourah bint Abdulrahman University</t>
        </is>
      </c>
      <c r="B1132" t="inlineStr">
        <is>
          <t>Saudi Arabia</t>
        </is>
      </c>
      <c r="C1132" t="inlineStr">
        <is>
          <t>681-690</t>
        </is>
      </c>
      <c r="D1132" t="inlineStr"/>
      <c r="E1132" t="n">
        <v>16.6</v>
      </c>
      <c r="F1132" t="n">
        <v>14.8</v>
      </c>
      <c r="G1132" t="n">
        <v>18.9</v>
      </c>
      <c r="H1132" t="n">
        <v>2.5</v>
      </c>
      <c r="I1132" t="n">
        <v>94.5</v>
      </c>
      <c r="J1132" t="n">
        <v>38.4</v>
      </c>
      <c r="K1132" t="n">
        <v>64</v>
      </c>
      <c r="L1132" t="n">
        <v>2.3</v>
      </c>
      <c r="M1132" t="n">
        <v>3.1</v>
      </c>
      <c r="N1132" t="inlineStr">
        <is>
          <t>601–800</t>
        </is>
      </c>
      <c r="O1132" t="inlineStr">
        <is>
          <t>37.0–41.8</t>
        </is>
      </c>
      <c r="P1132" t="n">
        <v>26.7</v>
      </c>
      <c r="Q1132" t="n">
        <v>16.3</v>
      </c>
      <c r="R1132" t="n">
        <v>66.09999999999999</v>
      </c>
      <c r="S1132" t="n">
        <v>28.3</v>
      </c>
      <c r="T1132" t="n">
        <v>91.7</v>
      </c>
      <c r="U1132" t="inlineStr">
        <is>
          <t>22,552</t>
        </is>
      </c>
      <c r="V1132" t="n">
        <v>12.1</v>
      </c>
      <c r="W1132" t="inlineStr">
        <is>
          <t>17%</t>
        </is>
      </c>
      <c r="X1132" t="inlineStr">
        <is>
          <t>100 : 0</t>
        </is>
      </c>
      <c r="Y1132" t="n">
        <v>681</v>
      </c>
      <c r="Z1132" t="n">
        <v>601</v>
      </c>
      <c r="AA1132" t="n">
        <v>39.4</v>
      </c>
      <c r="AB1132" t="inlineStr">
        <is>
          <t>U1131</t>
        </is>
      </c>
      <c r="AC1132" t="inlineStr">
        <is>
          <t>SA</t>
        </is>
      </c>
      <c r="AD1132" t="n">
        <v>39.4</v>
      </c>
      <c r="AE1132" t="n">
        <v>2.5</v>
      </c>
      <c r="AF1132" t="n">
        <v>12.1</v>
      </c>
      <c r="AG1132" t="inlineStr">
        <is>
          <t>1:12.1</t>
        </is>
      </c>
      <c r="AH1132" t="inlineStr">
        <is>
          <t>17%</t>
        </is>
      </c>
      <c r="AI1132" t="n">
        <v>16.6</v>
      </c>
      <c r="AJ1132" t="n">
        <v>24.87</v>
      </c>
    </row>
    <row r="1133">
      <c r="A1133" t="inlineStr">
        <is>
          <t>Princess Sumaya University for Technology</t>
        </is>
      </c>
      <c r="B1133" t="inlineStr">
        <is>
          <t>Jordan</t>
        </is>
      </c>
      <c r="C1133" t="inlineStr">
        <is>
          <t>901-950</t>
        </is>
      </c>
      <c r="D1133" t="inlineStr"/>
      <c r="E1133" t="n">
        <v>9.1</v>
      </c>
      <c r="F1133" t="n">
        <v>25.3</v>
      </c>
      <c r="G1133" t="n">
        <v>11.9</v>
      </c>
      <c r="H1133" t="n">
        <v>5.1</v>
      </c>
      <c r="I1133" t="n">
        <v>47.3</v>
      </c>
      <c r="J1133" t="n">
        <v>50</v>
      </c>
      <c r="K1133" t="n">
        <v>6</v>
      </c>
      <c r="L1133" t="n">
        <v>5.1</v>
      </c>
      <c r="M1133" t="n">
        <v>1.2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n">
        <v>901</v>
      </c>
      <c r="Z1133" t="inlineStr"/>
      <c r="AA1133" t="inlineStr"/>
      <c r="AB1133" t="inlineStr">
        <is>
          <t>U1132</t>
        </is>
      </c>
      <c r="AC1133" t="inlineStr">
        <is>
          <t>JO</t>
        </is>
      </c>
      <c r="AD1133" t="inlineStr"/>
      <c r="AE1133" t="n">
        <v>5.1</v>
      </c>
      <c r="AF1133" t="inlineStr"/>
      <c r="AG1133" t="inlineStr"/>
      <c r="AH1133" t="inlineStr"/>
      <c r="AI1133" t="n">
        <v>9.1</v>
      </c>
      <c r="AJ1133" t="n">
        <v>14.93</v>
      </c>
    </row>
    <row r="1134">
      <c r="A1134" t="inlineStr">
        <is>
          <t>Princeton University</t>
        </is>
      </c>
      <c r="B1134" t="inlineStr">
        <is>
          <t>United States</t>
        </is>
      </c>
      <c r="C1134" t="inlineStr">
        <is>
          <t>22</t>
        </is>
      </c>
      <c r="D1134" t="n">
        <v>85.5</v>
      </c>
      <c r="E1134" t="n">
        <v>99.8</v>
      </c>
      <c r="F1134" t="n">
        <v>98.3</v>
      </c>
      <c r="G1134" t="n">
        <v>57</v>
      </c>
      <c r="H1134" t="n">
        <v>100</v>
      </c>
      <c r="I1134" t="n">
        <v>9.6</v>
      </c>
      <c r="J1134" t="n">
        <v>56.6</v>
      </c>
      <c r="K1134" t="n">
        <v>78.3</v>
      </c>
      <c r="L1134" t="n">
        <v>95.7</v>
      </c>
      <c r="M1134" t="n">
        <v>51.5</v>
      </c>
      <c r="N1134" t="inlineStr">
        <is>
          <t>6</t>
        </is>
      </c>
      <c r="O1134" t="inlineStr">
        <is>
          <t>96.9</t>
        </is>
      </c>
      <c r="P1134" t="n">
        <v>96.3</v>
      </c>
      <c r="Q1134" t="n">
        <v>97.90000000000001</v>
      </c>
      <c r="R1134" t="n">
        <v>98.8</v>
      </c>
      <c r="S1134" t="n">
        <v>95.09999999999999</v>
      </c>
      <c r="T1134" t="n">
        <v>89.09999999999999</v>
      </c>
      <c r="U1134" t="inlineStr">
        <is>
          <t>7,753</t>
        </is>
      </c>
      <c r="V1134" t="n">
        <v>7.3</v>
      </c>
      <c r="W1134" t="inlineStr">
        <is>
          <t>23%</t>
        </is>
      </c>
      <c r="X1134" t="inlineStr">
        <is>
          <t>47 : 53</t>
        </is>
      </c>
      <c r="Y1134" t="n">
        <v>22</v>
      </c>
      <c r="Z1134" t="n">
        <v>6</v>
      </c>
      <c r="AA1134" t="n">
        <v>96.90000000000001</v>
      </c>
      <c r="AB1134" t="inlineStr">
        <is>
          <t>U1133</t>
        </is>
      </c>
      <c r="AC1134" t="inlineStr">
        <is>
          <t>UN</t>
        </is>
      </c>
      <c r="AD1134" t="n">
        <v>85.5</v>
      </c>
      <c r="AE1134" t="n">
        <v>100</v>
      </c>
      <c r="AF1134" t="n">
        <v>7.3</v>
      </c>
      <c r="AG1134" t="inlineStr">
        <is>
          <t>1:7.3</t>
        </is>
      </c>
      <c r="AH1134" t="inlineStr">
        <is>
          <t>23%</t>
        </is>
      </c>
      <c r="AI1134" t="n">
        <v>99.8</v>
      </c>
      <c r="AJ1134" t="n">
        <v>96.55</v>
      </c>
    </row>
    <row r="1135">
      <c r="A1135" t="inlineStr">
        <is>
          <t>Privolzhsky Research Medical University</t>
        </is>
      </c>
      <c r="B1135" t="inlineStr">
        <is>
          <t>Russian Federation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>
        <is>
          <t>1501+</t>
        </is>
      </c>
      <c r="O1135" t="inlineStr">
        <is>
          <t>9.7–22.7</t>
        </is>
      </c>
      <c r="P1135" t="n">
        <v>23.9</v>
      </c>
      <c r="Q1135" t="n">
        <v>9.9</v>
      </c>
      <c r="R1135" t="n">
        <v>5.2</v>
      </c>
      <c r="S1135" t="n">
        <v>20</v>
      </c>
      <c r="T1135" t="n">
        <v>40.3</v>
      </c>
      <c r="U1135" t="inlineStr">
        <is>
          <t>5,896</t>
        </is>
      </c>
      <c r="V1135" t="n">
        <v>10.3</v>
      </c>
      <c r="W1135" t="inlineStr">
        <is>
          <t>23%</t>
        </is>
      </c>
      <c r="X1135" t="inlineStr">
        <is>
          <t>68 : 32</t>
        </is>
      </c>
      <c r="Y1135" t="inlineStr"/>
      <c r="Z1135" t="n">
        <v>1501</v>
      </c>
      <c r="AA1135" t="n">
        <v>16.2</v>
      </c>
      <c r="AB1135" t="inlineStr">
        <is>
          <t>U1134</t>
        </is>
      </c>
      <c r="AC1135" t="inlineStr">
        <is>
          <t>RU</t>
        </is>
      </c>
      <c r="AD1135" t="n">
        <v>16.2</v>
      </c>
      <c r="AE1135" t="n">
        <v>5.2</v>
      </c>
      <c r="AF1135" t="n">
        <v>10.3</v>
      </c>
      <c r="AG1135" t="inlineStr">
        <is>
          <t>1:10.3</t>
        </is>
      </c>
      <c r="AH1135" t="inlineStr">
        <is>
          <t>23%</t>
        </is>
      </c>
      <c r="AI1135" t="inlineStr"/>
      <c r="AJ1135" t="n">
        <v>9.9</v>
      </c>
    </row>
    <row r="1136">
      <c r="A1136" t="inlineStr">
        <is>
          <t>PSG College of Technology</t>
        </is>
      </c>
      <c r="B1136" t="inlineStr">
        <is>
          <t>India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>
        <is>
          <t>1501+</t>
        </is>
      </c>
      <c r="O1136" t="inlineStr">
        <is>
          <t>9.7–22.7</t>
        </is>
      </c>
      <c r="P1136" t="n">
        <v>22.9</v>
      </c>
      <c r="Q1136" t="n">
        <v>8.9</v>
      </c>
      <c r="R1136" t="n">
        <v>29.4</v>
      </c>
      <c r="S1136" t="n">
        <v>20.7</v>
      </c>
      <c r="T1136" t="n">
        <v>17.6</v>
      </c>
      <c r="U1136" t="inlineStr">
        <is>
          <t>8,140</t>
        </is>
      </c>
      <c r="V1136" t="n">
        <v>14.2</v>
      </c>
      <c r="W1136" t="inlineStr">
        <is>
          <t>0%</t>
        </is>
      </c>
      <c r="X1136" t="inlineStr">
        <is>
          <t>37 : 63</t>
        </is>
      </c>
      <c r="Y1136" t="inlineStr"/>
      <c r="Z1136" t="n">
        <v>1501</v>
      </c>
      <c r="AA1136" t="n">
        <v>16.2</v>
      </c>
      <c r="AB1136" t="inlineStr">
        <is>
          <t>U1135</t>
        </is>
      </c>
      <c r="AC1136" t="inlineStr">
        <is>
          <t>IN</t>
        </is>
      </c>
      <c r="AD1136" t="n">
        <v>16.2</v>
      </c>
      <c r="AE1136" t="n">
        <v>29.4</v>
      </c>
      <c r="AF1136" t="n">
        <v>14.2</v>
      </c>
      <c r="AG1136" t="inlineStr">
        <is>
          <t>1:14.2</t>
        </is>
      </c>
      <c r="AH1136" t="inlineStr">
        <is>
          <t>0%</t>
        </is>
      </c>
      <c r="AI1136" t="inlineStr"/>
      <c r="AJ1136" t="n">
        <v>11.22</v>
      </c>
    </row>
    <row r="1137">
      <c r="A1137" t="inlineStr">
        <is>
          <t>Public University of Navarre</t>
        </is>
      </c>
      <c r="B1137" t="inlineStr">
        <is>
          <t>Spain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>
        <is>
          <t>1001–1200</t>
        </is>
      </c>
      <c r="O1137" t="inlineStr">
        <is>
          <t>28.3–32.6</t>
        </is>
      </c>
      <c r="P1137" t="n">
        <v>22.4</v>
      </c>
      <c r="Q1137" t="n">
        <v>14.3</v>
      </c>
      <c r="R1137" t="n">
        <v>49.5</v>
      </c>
      <c r="S1137" t="n">
        <v>38.3</v>
      </c>
      <c r="T1137" t="n">
        <v>46.5</v>
      </c>
      <c r="U1137" t="inlineStr">
        <is>
          <t>8,215</t>
        </is>
      </c>
      <c r="V1137" t="n">
        <v>11.8</v>
      </c>
      <c r="W1137" t="inlineStr">
        <is>
          <t>6%</t>
        </is>
      </c>
      <c r="X1137" t="inlineStr">
        <is>
          <t>52 : 48</t>
        </is>
      </c>
      <c r="Y1137" t="inlineStr"/>
      <c r="Z1137" t="n">
        <v>1001</v>
      </c>
      <c r="AA1137" t="n">
        <v>30.45</v>
      </c>
      <c r="AB1137" t="inlineStr">
        <is>
          <t>U1136</t>
        </is>
      </c>
      <c r="AC1137" t="inlineStr">
        <is>
          <t>SP</t>
        </is>
      </c>
      <c r="AD1137" t="n">
        <v>30.45</v>
      </c>
      <c r="AE1137" t="n">
        <v>49.5</v>
      </c>
      <c r="AF1137" t="n">
        <v>11.8</v>
      </c>
      <c r="AG1137" t="inlineStr">
        <is>
          <t>1:11.8</t>
        </is>
      </c>
      <c r="AH1137" t="inlineStr">
        <is>
          <t>6%</t>
        </is>
      </c>
      <c r="AI1137" t="inlineStr"/>
      <c r="AJ1137" t="n">
        <v>27.13</v>
      </c>
    </row>
    <row r="1138">
      <c r="A1138" t="inlineStr">
        <is>
          <t xml:space="preserve">Pukyong National University </t>
        </is>
      </c>
      <c r="B1138" t="inlineStr">
        <is>
          <t>South Korea</t>
        </is>
      </c>
      <c r="C1138" t="inlineStr">
        <is>
          <t>1201-1400</t>
        </is>
      </c>
      <c r="D1138" t="inlineStr"/>
      <c r="E1138" t="n">
        <v>5.7</v>
      </c>
      <c r="F1138" t="n">
        <v>3.1</v>
      </c>
      <c r="G1138" t="n">
        <v>12.7</v>
      </c>
      <c r="H1138" t="n">
        <v>7</v>
      </c>
      <c r="I1138" t="n">
        <v>6.2</v>
      </c>
      <c r="J1138" t="n">
        <v>7.1</v>
      </c>
      <c r="K1138" t="n">
        <v>32.3</v>
      </c>
      <c r="L1138" t="n">
        <v>1.6</v>
      </c>
      <c r="M1138" t="n">
        <v>28.4</v>
      </c>
      <c r="N1138" t="inlineStr">
        <is>
          <t>1201–1500</t>
        </is>
      </c>
      <c r="O1138" t="inlineStr">
        <is>
          <t>22.8–28.2</t>
        </is>
      </c>
      <c r="P1138" t="n">
        <v>26.7</v>
      </c>
      <c r="Q1138" t="n">
        <v>13.9</v>
      </c>
      <c r="R1138" t="n">
        <v>28.5</v>
      </c>
      <c r="S1138" t="n">
        <v>39</v>
      </c>
      <c r="T1138" t="n">
        <v>36.4</v>
      </c>
      <c r="U1138" t="inlineStr">
        <is>
          <t>16,563</t>
        </is>
      </c>
      <c r="V1138" t="n">
        <v>11.4</v>
      </c>
      <c r="W1138" t="inlineStr">
        <is>
          <t>10%</t>
        </is>
      </c>
      <c r="X1138" t="inlineStr">
        <is>
          <t>52 : 48</t>
        </is>
      </c>
      <c r="Y1138" t="n">
        <v>1201</v>
      </c>
      <c r="Z1138" t="n">
        <v>1201</v>
      </c>
      <c r="AA1138" t="n">
        <v>25.5</v>
      </c>
      <c r="AB1138" t="inlineStr">
        <is>
          <t>U1137</t>
        </is>
      </c>
      <c r="AC1138" t="inlineStr">
        <is>
          <t>SO</t>
        </is>
      </c>
      <c r="AD1138" t="n">
        <v>25.5</v>
      </c>
      <c r="AE1138" t="n">
        <v>7</v>
      </c>
      <c r="AF1138" t="n">
        <v>11.4</v>
      </c>
      <c r="AG1138" t="inlineStr">
        <is>
          <t>1:11.4</t>
        </is>
      </c>
      <c r="AH1138" t="inlineStr">
        <is>
          <t>10%</t>
        </is>
      </c>
      <c r="AI1138" t="n">
        <v>5.7</v>
      </c>
      <c r="AJ1138" t="n">
        <v>11.6</v>
      </c>
    </row>
    <row r="1139">
      <c r="A1139" t="inlineStr">
        <is>
          <t>Purdue University</t>
        </is>
      </c>
      <c r="B1139" t="inlineStr">
        <is>
          <t>United States</t>
        </is>
      </c>
      <c r="C1139" t="inlineStr">
        <is>
          <t>89</t>
        </is>
      </c>
      <c r="D1139" t="n">
        <v>61.7</v>
      </c>
      <c r="E1139" t="n">
        <v>63.3</v>
      </c>
      <c r="F1139" t="n">
        <v>81.09999999999999</v>
      </c>
      <c r="G1139" t="n">
        <v>11.4</v>
      </c>
      <c r="H1139" t="n">
        <v>54.3</v>
      </c>
      <c r="I1139" t="n">
        <v>79.59999999999999</v>
      </c>
      <c r="J1139" t="n">
        <v>45.2</v>
      </c>
      <c r="K1139" t="n">
        <v>92.90000000000001</v>
      </c>
      <c r="L1139" t="n">
        <v>63.1</v>
      </c>
      <c r="M1139" t="n">
        <v>90.09999999999999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n">
        <v>89</v>
      </c>
      <c r="Z1139" t="inlineStr"/>
      <c r="AA1139" t="inlineStr"/>
      <c r="AB1139" t="inlineStr">
        <is>
          <t>U1138</t>
        </is>
      </c>
      <c r="AC1139" t="inlineStr">
        <is>
          <t>UN</t>
        </is>
      </c>
      <c r="AD1139" t="n">
        <v>61.7</v>
      </c>
      <c r="AE1139" t="n">
        <v>54.3</v>
      </c>
      <c r="AF1139" t="inlineStr"/>
      <c r="AG1139" t="inlineStr"/>
      <c r="AH1139" t="inlineStr"/>
      <c r="AI1139" t="n">
        <v>63.3</v>
      </c>
      <c r="AJ1139" t="n">
        <v>29.84</v>
      </c>
    </row>
    <row r="1140">
      <c r="A1140" t="inlineStr">
        <is>
          <t>Purdue University West Lafayette</t>
        </is>
      </c>
      <c r="B1140" t="inlineStr">
        <is>
          <t>United States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>
        <is>
          <t>86</t>
        </is>
      </c>
      <c r="O1140" t="inlineStr">
        <is>
          <t>68.5</t>
        </is>
      </c>
      <c r="P1140" t="n">
        <v>64</v>
      </c>
      <c r="Q1140" t="n">
        <v>65.3</v>
      </c>
      <c r="R1140" t="n">
        <v>71.8</v>
      </c>
      <c r="S1140" t="n">
        <v>84.3</v>
      </c>
      <c r="T1140" t="n">
        <v>76.7</v>
      </c>
      <c r="U1140" t="inlineStr">
        <is>
          <t>42,633</t>
        </is>
      </c>
      <c r="V1140" t="n">
        <v>18.3</v>
      </c>
      <c r="W1140" t="inlineStr">
        <is>
          <t>17%</t>
        </is>
      </c>
      <c r="X1140" t="inlineStr">
        <is>
          <t>44 : 56</t>
        </is>
      </c>
      <c r="Y1140" t="inlineStr"/>
      <c r="Z1140" t="n">
        <v>86</v>
      </c>
      <c r="AA1140" t="n">
        <v>68.5</v>
      </c>
      <c r="AB1140" t="inlineStr">
        <is>
          <t>U1139</t>
        </is>
      </c>
      <c r="AC1140" t="inlineStr">
        <is>
          <t>UN</t>
        </is>
      </c>
      <c r="AD1140" t="n">
        <v>68.5</v>
      </c>
      <c r="AE1140" t="n">
        <v>71.8</v>
      </c>
      <c r="AF1140" t="n">
        <v>18.3</v>
      </c>
      <c r="AG1140" t="inlineStr">
        <is>
          <t>1:18.3</t>
        </is>
      </c>
      <c r="AH1140" t="inlineStr">
        <is>
          <t>17%</t>
        </is>
      </c>
      <c r="AI1140" t="inlineStr"/>
      <c r="AJ1140" t="n">
        <v>67.92</v>
      </c>
    </row>
    <row r="1141">
      <c r="A1141" t="inlineStr">
        <is>
          <t>Pusan National University</t>
        </is>
      </c>
      <c r="B1141" t="inlineStr">
        <is>
          <t>South Korea</t>
        </is>
      </c>
      <c r="C1141" t="inlineStr">
        <is>
          <t>524</t>
        </is>
      </c>
      <c r="D1141" t="n">
        <v>23.4</v>
      </c>
      <c r="E1141" t="n">
        <v>18.7</v>
      </c>
      <c r="F1141" t="n">
        <v>16.5</v>
      </c>
      <c r="G1141" t="n">
        <v>43.5</v>
      </c>
      <c r="H1141" t="n">
        <v>19.5</v>
      </c>
      <c r="I1141" t="n">
        <v>10.5</v>
      </c>
      <c r="J1141" t="n">
        <v>13.7</v>
      </c>
      <c r="K1141" t="n">
        <v>57.7</v>
      </c>
      <c r="L1141" t="n">
        <v>13.8</v>
      </c>
      <c r="M1141" t="n">
        <v>65</v>
      </c>
      <c r="N1141" t="inlineStr">
        <is>
          <t>501–600</t>
        </is>
      </c>
      <c r="O1141" t="inlineStr">
        <is>
          <t>41.9–45.3</t>
        </is>
      </c>
      <c r="P1141" t="n">
        <v>39.2</v>
      </c>
      <c r="Q1141" t="n">
        <v>39.1</v>
      </c>
      <c r="R1141" t="n">
        <v>45.1</v>
      </c>
      <c r="S1141" t="n">
        <v>86.59999999999999</v>
      </c>
      <c r="T1141" t="n">
        <v>37.8</v>
      </c>
      <c r="U1141" t="inlineStr">
        <is>
          <t>17,195</t>
        </is>
      </c>
      <c r="V1141" t="n">
        <v>16.9</v>
      </c>
      <c r="W1141" t="inlineStr">
        <is>
          <t>10%</t>
        </is>
      </c>
      <c r="X1141" t="inlineStr">
        <is>
          <t>55 : 45</t>
        </is>
      </c>
      <c r="Y1141" t="n">
        <v>524</v>
      </c>
      <c r="Z1141" t="n">
        <v>501</v>
      </c>
      <c r="AA1141" t="n">
        <v>43.59999999999999</v>
      </c>
      <c r="AB1141" t="inlineStr">
        <is>
          <t>U1140</t>
        </is>
      </c>
      <c r="AC1141" t="inlineStr">
        <is>
          <t>SO</t>
        </is>
      </c>
      <c r="AD1141" t="n">
        <v>23.4</v>
      </c>
      <c r="AE1141" t="n">
        <v>19.5</v>
      </c>
      <c r="AF1141" t="n">
        <v>16.9</v>
      </c>
      <c r="AG1141" t="inlineStr">
        <is>
          <t>1:16.9</t>
        </is>
      </c>
      <c r="AH1141" t="inlineStr">
        <is>
          <t>10%</t>
        </is>
      </c>
      <c r="AI1141" t="n">
        <v>18.7</v>
      </c>
      <c r="AJ1141" t="n">
        <v>28.94</v>
      </c>
    </row>
    <row r="1142">
      <c r="A1142" t="inlineStr">
        <is>
          <t>Qassim University</t>
        </is>
      </c>
      <c r="B1142" t="inlineStr">
        <is>
          <t>Saudi Arabia</t>
        </is>
      </c>
      <c r="C1142" t="inlineStr">
        <is>
          <t>781-790</t>
        </is>
      </c>
      <c r="D1142" t="inlineStr"/>
      <c r="E1142" t="n">
        <v>10.6</v>
      </c>
      <c r="F1142" t="n">
        <v>5</v>
      </c>
      <c r="G1142" t="n">
        <v>33.9</v>
      </c>
      <c r="H1142" t="n">
        <v>1.8</v>
      </c>
      <c r="I1142" t="n">
        <v>98.3</v>
      </c>
      <c r="J1142" t="n">
        <v>7.9</v>
      </c>
      <c r="K1142" t="n">
        <v>68.3</v>
      </c>
      <c r="L1142" t="n">
        <v>2.4</v>
      </c>
      <c r="M1142" t="n">
        <v>9.300000000000001</v>
      </c>
      <c r="N1142" t="inlineStr">
        <is>
          <t>801–1000</t>
        </is>
      </c>
      <c r="O1142" t="inlineStr">
        <is>
          <t>32.7–36.9</t>
        </is>
      </c>
      <c r="P1142" t="n">
        <v>36</v>
      </c>
      <c r="Q1142" t="n">
        <v>20.4</v>
      </c>
      <c r="R1142" t="n">
        <v>42.8</v>
      </c>
      <c r="S1142" t="n">
        <v>21.6</v>
      </c>
      <c r="T1142" t="n">
        <v>80.2</v>
      </c>
      <c r="U1142" t="inlineStr">
        <is>
          <t>37,222</t>
        </is>
      </c>
      <c r="V1142" t="n">
        <v>10.2</v>
      </c>
      <c r="W1142" t="inlineStr">
        <is>
          <t>7%</t>
        </is>
      </c>
      <c r="X1142" t="inlineStr">
        <is>
          <t>62 : 38</t>
        </is>
      </c>
      <c r="Y1142" t="n">
        <v>781</v>
      </c>
      <c r="Z1142" t="n">
        <v>801</v>
      </c>
      <c r="AA1142" t="n">
        <v>34.8</v>
      </c>
      <c r="AB1142" t="inlineStr">
        <is>
          <t>U1141</t>
        </is>
      </c>
      <c r="AC1142" t="inlineStr">
        <is>
          <t>SA</t>
        </is>
      </c>
      <c r="AD1142" t="n">
        <v>34.8</v>
      </c>
      <c r="AE1142" t="n">
        <v>1.8</v>
      </c>
      <c r="AF1142" t="n">
        <v>10.2</v>
      </c>
      <c r="AG1142" t="inlineStr">
        <is>
          <t>1:10.2</t>
        </is>
      </c>
      <c r="AH1142" t="inlineStr">
        <is>
          <t>7%</t>
        </is>
      </c>
      <c r="AI1142" t="n">
        <v>10.6</v>
      </c>
      <c r="AJ1142" t="n">
        <v>24.03</v>
      </c>
    </row>
    <row r="1143">
      <c r="A1143" t="inlineStr">
        <is>
          <t>Qatar University</t>
        </is>
      </c>
      <c r="B1143" t="inlineStr">
        <is>
          <t>Qatar</t>
        </is>
      </c>
      <c r="C1143" t="inlineStr">
        <is>
          <t>122</t>
        </is>
      </c>
      <c r="D1143" t="n">
        <v>55.7</v>
      </c>
      <c r="E1143" t="n">
        <v>29.8</v>
      </c>
      <c r="F1143" t="n">
        <v>50.6</v>
      </c>
      <c r="G1143" t="n">
        <v>68.09999999999999</v>
      </c>
      <c r="H1143" t="n">
        <v>48.2</v>
      </c>
      <c r="I1143" t="n">
        <v>100</v>
      </c>
      <c r="J1143" t="n">
        <v>96.5</v>
      </c>
      <c r="K1143" t="n">
        <v>89.40000000000001</v>
      </c>
      <c r="L1143" t="n">
        <v>98.59999999999999</v>
      </c>
      <c r="M1143" t="n">
        <v>74</v>
      </c>
      <c r="N1143" t="inlineStr">
        <is>
          <t>251–300</t>
        </is>
      </c>
      <c r="O1143" t="inlineStr">
        <is>
          <t>53.1–55.8</t>
        </is>
      </c>
      <c r="P1143" t="n">
        <v>31.3</v>
      </c>
      <c r="Q1143" t="n">
        <v>35.6</v>
      </c>
      <c r="R1143" t="n">
        <v>83.40000000000001</v>
      </c>
      <c r="S1143" t="n">
        <v>61.8</v>
      </c>
      <c r="T1143" t="n">
        <v>96</v>
      </c>
      <c r="U1143" t="inlineStr">
        <is>
          <t>10,081</t>
        </is>
      </c>
      <c r="V1143" t="n">
        <v>8.4</v>
      </c>
      <c r="W1143" t="inlineStr">
        <is>
          <t>36%</t>
        </is>
      </c>
      <c r="X1143" t="inlineStr">
        <is>
          <t>77 : 23</t>
        </is>
      </c>
      <c r="Y1143" t="n">
        <v>122</v>
      </c>
      <c r="Z1143" t="n">
        <v>251</v>
      </c>
      <c r="AA1143" t="n">
        <v>54.45</v>
      </c>
      <c r="AB1143" t="inlineStr">
        <is>
          <t>U1142</t>
        </is>
      </c>
      <c r="AC1143" t="inlineStr">
        <is>
          <t>QA</t>
        </is>
      </c>
      <c r="AD1143" t="n">
        <v>55.7</v>
      </c>
      <c r="AE1143" t="n">
        <v>48.2</v>
      </c>
      <c r="AF1143" t="n">
        <v>8.4</v>
      </c>
      <c r="AG1143" t="inlineStr">
        <is>
          <t>1:8.4</t>
        </is>
      </c>
      <c r="AH1143" t="inlineStr">
        <is>
          <t>36%</t>
        </is>
      </c>
      <c r="AI1143" t="n">
        <v>29.8</v>
      </c>
      <c r="AJ1143" t="n">
        <v>49.87</v>
      </c>
    </row>
    <row r="1144">
      <c r="A1144" t="inlineStr">
        <is>
          <t>Qazvin University of Medical Sciences</t>
        </is>
      </c>
      <c r="B1144" t="inlineStr">
        <is>
          <t>Iran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>
        <is>
          <t>601–800</t>
        </is>
      </c>
      <c r="O1144" t="inlineStr">
        <is>
          <t>37.0–41.8</t>
        </is>
      </c>
      <c r="P1144" t="n">
        <v>38.7</v>
      </c>
      <c r="Q1144" t="n">
        <v>11.6</v>
      </c>
      <c r="R1144" t="n">
        <v>71.90000000000001</v>
      </c>
      <c r="S1144" t="n">
        <v>18.7</v>
      </c>
      <c r="T1144" t="n">
        <v>26.5</v>
      </c>
      <c r="U1144" t="inlineStr">
        <is>
          <t>480</t>
        </is>
      </c>
      <c r="V1144" t="n">
        <v>1.6</v>
      </c>
      <c r="W1144" t="inlineStr">
        <is>
          <t>2%</t>
        </is>
      </c>
      <c r="X1144" t="inlineStr">
        <is>
          <t>56 : 44</t>
        </is>
      </c>
      <c r="Y1144" t="inlineStr"/>
      <c r="Z1144" t="n">
        <v>601</v>
      </c>
      <c r="AA1144" t="n">
        <v>39.4</v>
      </c>
      <c r="AB1144" t="inlineStr">
        <is>
          <t>U1143</t>
        </is>
      </c>
      <c r="AC1144" t="inlineStr">
        <is>
          <t>IR</t>
        </is>
      </c>
      <c r="AD1144" t="n">
        <v>39.4</v>
      </c>
      <c r="AE1144" t="n">
        <v>71.90000000000001</v>
      </c>
      <c r="AF1144" t="n">
        <v>1.6</v>
      </c>
      <c r="AG1144" t="inlineStr">
        <is>
          <t>1:1.6</t>
        </is>
      </c>
      <c r="AH1144" t="inlineStr">
        <is>
          <t>2%</t>
        </is>
      </c>
      <c r="AI1144" t="inlineStr"/>
      <c r="AJ1144" t="n">
        <v>27.67</v>
      </c>
    </row>
    <row r="1145">
      <c r="A1145" t="inlineStr">
        <is>
          <t>Qingdao University</t>
        </is>
      </c>
      <c r="B1145" t="inlineStr">
        <is>
          <t>China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>
        <is>
          <t>601–800</t>
        </is>
      </c>
      <c r="O1145" t="inlineStr">
        <is>
          <t>37.0–41.8</t>
        </is>
      </c>
      <c r="P1145" t="n">
        <v>17.8</v>
      </c>
      <c r="Q1145" t="n">
        <v>18.4</v>
      </c>
      <c r="R1145" t="n">
        <v>84.09999999999999</v>
      </c>
      <c r="S1145" t="n">
        <v>40</v>
      </c>
      <c r="T1145" t="n">
        <v>24.4</v>
      </c>
      <c r="U1145" t="inlineStr">
        <is>
          <t>42,668</t>
        </is>
      </c>
      <c r="V1145" t="n">
        <v>15.1</v>
      </c>
      <c r="W1145" t="inlineStr">
        <is>
          <t>1%</t>
        </is>
      </c>
      <c r="X1145" t="inlineStr">
        <is>
          <t>53 : 47</t>
        </is>
      </c>
      <c r="Y1145" t="inlineStr"/>
      <c r="Z1145" t="n">
        <v>601</v>
      </c>
      <c r="AA1145" t="n">
        <v>39.4</v>
      </c>
      <c r="AB1145" t="inlineStr">
        <is>
          <t>U1144</t>
        </is>
      </c>
      <c r="AC1145" t="inlineStr">
        <is>
          <t>CH</t>
        </is>
      </c>
      <c r="AD1145" t="n">
        <v>39.4</v>
      </c>
      <c r="AE1145" t="n">
        <v>84.09999999999999</v>
      </c>
      <c r="AF1145" t="n">
        <v>15.1</v>
      </c>
      <c r="AG1145" t="inlineStr">
        <is>
          <t>1:15.1</t>
        </is>
      </c>
      <c r="AH1145" t="inlineStr">
        <is>
          <t>1%</t>
        </is>
      </c>
      <c r="AI1145" t="inlineStr"/>
      <c r="AJ1145" t="n">
        <v>34.42</v>
      </c>
    </row>
    <row r="1146">
      <c r="A1146" t="inlineStr">
        <is>
          <t>Qom University of Medical Sciences</t>
        </is>
      </c>
      <c r="B1146" t="inlineStr">
        <is>
          <t>Iran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>
        <is>
          <t>801–1000</t>
        </is>
      </c>
      <c r="O1146" t="inlineStr">
        <is>
          <t>32.7–36.9</t>
        </is>
      </c>
      <c r="P1146" t="n">
        <v>35.2</v>
      </c>
      <c r="Q1146" t="n">
        <v>7.3</v>
      </c>
      <c r="R1146" t="n">
        <v>60</v>
      </c>
      <c r="S1146" t="n">
        <v>17.9</v>
      </c>
      <c r="T1146" t="n">
        <v>22.4</v>
      </c>
      <c r="U1146" t="inlineStr">
        <is>
          <t>2,556</t>
        </is>
      </c>
      <c r="V1146" t="n">
        <v>9.300000000000001</v>
      </c>
      <c r="W1146" t="inlineStr">
        <is>
          <t>4%</t>
        </is>
      </c>
      <c r="X1146" t="inlineStr">
        <is>
          <t>55 : 45</t>
        </is>
      </c>
      <c r="Y1146" t="inlineStr"/>
      <c r="Z1146" t="n">
        <v>801</v>
      </c>
      <c r="AA1146" t="n">
        <v>34.8</v>
      </c>
      <c r="AB1146" t="inlineStr">
        <is>
          <t>U1145</t>
        </is>
      </c>
      <c r="AC1146" t="inlineStr">
        <is>
          <t>IR</t>
        </is>
      </c>
      <c r="AD1146" t="n">
        <v>34.8</v>
      </c>
      <c r="AE1146" t="n">
        <v>60</v>
      </c>
      <c r="AF1146" t="n">
        <v>9.300000000000001</v>
      </c>
      <c r="AG1146" t="inlineStr">
        <is>
          <t>1:9.3</t>
        </is>
      </c>
      <c r="AH1146" t="inlineStr">
        <is>
          <t>4%</t>
        </is>
      </c>
      <c r="AI1146" t="inlineStr"/>
      <c r="AJ1146" t="n">
        <v>20.82</v>
      </c>
    </row>
    <row r="1147">
      <c r="A1147" t="inlineStr">
        <is>
          <t>Quaid-i-Azam University</t>
        </is>
      </c>
      <c r="B1147" t="inlineStr">
        <is>
          <t>Pakistan</t>
        </is>
      </c>
      <c r="C1147" t="inlineStr">
        <is>
          <t>315</t>
        </is>
      </c>
      <c r="D1147" t="n">
        <v>34.8</v>
      </c>
      <c r="E1147" t="n">
        <v>17.3</v>
      </c>
      <c r="F1147" t="n">
        <v>42.4</v>
      </c>
      <c r="G1147" t="n">
        <v>3.2</v>
      </c>
      <c r="H1147" t="n">
        <v>93.59999999999999</v>
      </c>
      <c r="I1147" t="n">
        <v>7</v>
      </c>
      <c r="J1147" t="n">
        <v>1.9</v>
      </c>
      <c r="K1147" t="n">
        <v>65</v>
      </c>
      <c r="L1147" t="n">
        <v>21</v>
      </c>
      <c r="M1147" t="n">
        <v>3.4</v>
      </c>
      <c r="N1147" t="inlineStr">
        <is>
          <t>401–500</t>
        </is>
      </c>
      <c r="O1147" t="inlineStr">
        <is>
          <t>45.4–49.0</t>
        </is>
      </c>
      <c r="P1147" t="n">
        <v>29.7</v>
      </c>
      <c r="Q1147" t="n">
        <v>24.1</v>
      </c>
      <c r="R1147" t="n">
        <v>84.2</v>
      </c>
      <c r="S1147" t="n">
        <v>22.9</v>
      </c>
      <c r="T1147" t="n">
        <v>53.7</v>
      </c>
      <c r="U1147" t="inlineStr">
        <is>
          <t>11,386</t>
        </is>
      </c>
      <c r="V1147" t="n">
        <v>20.3</v>
      </c>
      <c r="W1147" t="inlineStr">
        <is>
          <t>1%</t>
        </is>
      </c>
      <c r="X1147" t="inlineStr">
        <is>
          <t>45 : 55</t>
        </is>
      </c>
      <c r="Y1147" t="n">
        <v>315</v>
      </c>
      <c r="Z1147" t="n">
        <v>401</v>
      </c>
      <c r="AA1147" t="n">
        <v>47.2</v>
      </c>
      <c r="AB1147" t="inlineStr">
        <is>
          <t>U1146</t>
        </is>
      </c>
      <c r="AC1147" t="inlineStr">
        <is>
          <t>PA</t>
        </is>
      </c>
      <c r="AD1147" t="n">
        <v>34.8</v>
      </c>
      <c r="AE1147" t="n">
        <v>93.59999999999999</v>
      </c>
      <c r="AF1147" t="n">
        <v>20.3</v>
      </c>
      <c r="AG1147" t="inlineStr">
        <is>
          <t>1:20.3</t>
        </is>
      </c>
      <c r="AH1147" t="inlineStr">
        <is>
          <t>1%</t>
        </is>
      </c>
      <c r="AI1147" t="n">
        <v>17.3</v>
      </c>
      <c r="AJ1147" t="n">
        <v>47.37</v>
      </c>
    </row>
    <row r="1148">
      <c r="A1148" t="inlineStr">
        <is>
          <t>Queen Margaret University , Edinburgh</t>
        </is>
      </c>
      <c r="B1148" t="inlineStr">
        <is>
          <t>United Kingdom</t>
        </is>
      </c>
      <c r="C1148" t="inlineStr">
        <is>
          <t>951-1000</t>
        </is>
      </c>
      <c r="D1148" t="inlineStr"/>
      <c r="E1148" t="n">
        <v>3.5</v>
      </c>
      <c r="F1148" t="n">
        <v>4.3</v>
      </c>
      <c r="G1148" t="n">
        <v>5.2</v>
      </c>
      <c r="H1148" t="n">
        <v>18.3</v>
      </c>
      <c r="I1148" t="n">
        <v>59.9</v>
      </c>
      <c r="J1148" t="n">
        <v>73.3</v>
      </c>
      <c r="K1148" t="n">
        <v>3.3</v>
      </c>
      <c r="L1148" t="n">
        <v>1.4</v>
      </c>
      <c r="M1148" t="n">
        <v>1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n">
        <v>951</v>
      </c>
      <c r="Z1148" t="inlineStr"/>
      <c r="AA1148" t="inlineStr"/>
      <c r="AB1148" t="inlineStr">
        <is>
          <t>U1147</t>
        </is>
      </c>
      <c r="AC1148" t="inlineStr">
        <is>
          <t>UN</t>
        </is>
      </c>
      <c r="AD1148" t="inlineStr"/>
      <c r="AE1148" t="n">
        <v>18.3</v>
      </c>
      <c r="AF1148" t="inlineStr"/>
      <c r="AG1148" t="inlineStr"/>
      <c r="AH1148" t="inlineStr"/>
      <c r="AI1148" t="n">
        <v>3.5</v>
      </c>
      <c r="AJ1148" t="n">
        <v>18.93</v>
      </c>
    </row>
    <row r="1149">
      <c r="A1149" t="inlineStr">
        <is>
          <t>Queen Mary University of London</t>
        </is>
      </c>
      <c r="B1149" t="inlineStr">
        <is>
          <t>United Kingdom</t>
        </is>
      </c>
      <c r="C1149" t="inlineStr">
        <is>
          <t>120</t>
        </is>
      </c>
      <c r="D1149" t="n">
        <v>55.8</v>
      </c>
      <c r="E1149" t="n">
        <v>48.3</v>
      </c>
      <c r="F1149" t="n">
        <v>36.9</v>
      </c>
      <c r="G1149" t="n">
        <v>30.4</v>
      </c>
      <c r="H1149" t="n">
        <v>62.8</v>
      </c>
      <c r="I1149" t="n">
        <v>99.5</v>
      </c>
      <c r="J1149" t="n">
        <v>99.2</v>
      </c>
      <c r="K1149" t="n">
        <v>92.5</v>
      </c>
      <c r="L1149" t="n">
        <v>21.4</v>
      </c>
      <c r="M1149" t="n">
        <v>95.59999999999999</v>
      </c>
      <c r="N1149" t="inlineStr">
        <is>
          <t>135</t>
        </is>
      </c>
      <c r="O1149" t="inlineStr">
        <is>
          <t>63.1</t>
        </is>
      </c>
      <c r="P1149" t="n">
        <v>37.6</v>
      </c>
      <c r="Q1149" t="n">
        <v>42.6</v>
      </c>
      <c r="R1149" t="n">
        <v>97.90000000000001</v>
      </c>
      <c r="S1149" t="n">
        <v>73.90000000000001</v>
      </c>
      <c r="T1149" t="n">
        <v>98.09999999999999</v>
      </c>
      <c r="U1149" t="inlineStr">
        <is>
          <t>22,205</t>
        </is>
      </c>
      <c r="V1149" t="n">
        <v>14.6</v>
      </c>
      <c r="W1149" t="inlineStr">
        <is>
          <t>45%</t>
        </is>
      </c>
      <c r="X1149" t="inlineStr">
        <is>
          <t>54 : 46</t>
        </is>
      </c>
      <c r="Y1149" t="n">
        <v>120</v>
      </c>
      <c r="Z1149" t="n">
        <v>135</v>
      </c>
      <c r="AA1149" t="n">
        <v>63.1</v>
      </c>
      <c r="AB1149" t="inlineStr">
        <is>
          <t>U1148</t>
        </is>
      </c>
      <c r="AC1149" t="inlineStr">
        <is>
          <t>UN</t>
        </is>
      </c>
      <c r="AD1149" t="n">
        <v>55.8</v>
      </c>
      <c r="AE1149" t="n">
        <v>62.8</v>
      </c>
      <c r="AF1149" t="n">
        <v>14.6</v>
      </c>
      <c r="AG1149" t="inlineStr">
        <is>
          <t>1:14.6</t>
        </is>
      </c>
      <c r="AH1149" t="inlineStr">
        <is>
          <t>45%</t>
        </is>
      </c>
      <c r="AI1149" t="n">
        <v>48.3</v>
      </c>
      <c r="AJ1149" t="n">
        <v>58.47</v>
      </c>
    </row>
    <row r="1150">
      <c r="A1150" t="inlineStr">
        <is>
          <t>Queen’s University</t>
        </is>
      </c>
      <c r="B1150" t="inlineStr">
        <is>
          <t>Canada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>
        <is>
          <t>251–300</t>
        </is>
      </c>
      <c r="O1150" t="inlineStr">
        <is>
          <t>53.1–55.8</t>
        </is>
      </c>
      <c r="P1150" t="n">
        <v>37.5</v>
      </c>
      <c r="Q1150" t="n">
        <v>38</v>
      </c>
      <c r="R1150" t="n">
        <v>72.3</v>
      </c>
      <c r="S1150" t="n">
        <v>94</v>
      </c>
      <c r="T1150" t="n">
        <v>76</v>
      </c>
      <c r="U1150" t="inlineStr">
        <is>
          <t>27,034</t>
        </is>
      </c>
      <c r="V1150" t="n">
        <v>25.9</v>
      </c>
      <c r="W1150" t="inlineStr">
        <is>
          <t>16%</t>
        </is>
      </c>
      <c r="X1150" t="inlineStr">
        <is>
          <t>58 : 42</t>
        </is>
      </c>
      <c r="Y1150" t="inlineStr"/>
      <c r="Z1150" t="n">
        <v>251</v>
      </c>
      <c r="AA1150" t="n">
        <v>54.45</v>
      </c>
      <c r="AB1150" t="inlineStr">
        <is>
          <t>U1149</t>
        </is>
      </c>
      <c r="AC1150" t="inlineStr">
        <is>
          <t>CA</t>
        </is>
      </c>
      <c r="AD1150" t="n">
        <v>54.45</v>
      </c>
      <c r="AE1150" t="n">
        <v>72.3</v>
      </c>
      <c r="AF1150" t="n">
        <v>25.9</v>
      </c>
      <c r="AG1150" t="inlineStr">
        <is>
          <t>1:25.9</t>
        </is>
      </c>
      <c r="AH1150" t="inlineStr">
        <is>
          <t>16%</t>
        </is>
      </c>
      <c r="AI1150" t="inlineStr"/>
      <c r="AJ1150" t="n">
        <v>53.6</v>
      </c>
    </row>
    <row r="1151">
      <c r="A1151" t="inlineStr">
        <is>
          <t>Queen's University at Kingston</t>
        </is>
      </c>
      <c r="B1151" t="inlineStr">
        <is>
          <t>Canada</t>
        </is>
      </c>
      <c r="C1151" t="inlineStr">
        <is>
          <t>193</t>
        </is>
      </c>
      <c r="D1151" t="n">
        <v>46.8</v>
      </c>
      <c r="E1151" t="n">
        <v>40.8</v>
      </c>
      <c r="F1151" t="n">
        <v>56.7</v>
      </c>
      <c r="G1151" t="n">
        <v>5.4</v>
      </c>
      <c r="H1151" t="n">
        <v>42.6</v>
      </c>
      <c r="I1151" t="n">
        <v>69.2</v>
      </c>
      <c r="J1151" t="n">
        <v>26.6</v>
      </c>
      <c r="K1151" t="n">
        <v>71.2</v>
      </c>
      <c r="L1151" t="n">
        <v>87.09999999999999</v>
      </c>
      <c r="M1151" t="n">
        <v>93.8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n">
        <v>193</v>
      </c>
      <c r="Z1151" t="inlineStr"/>
      <c r="AA1151" t="inlineStr"/>
      <c r="AB1151" t="inlineStr">
        <is>
          <t>U1150</t>
        </is>
      </c>
      <c r="AC1151" t="inlineStr">
        <is>
          <t>CA</t>
        </is>
      </c>
      <c r="AD1151" t="n">
        <v>46.8</v>
      </c>
      <c r="AE1151" t="n">
        <v>42.6</v>
      </c>
      <c r="AF1151" t="inlineStr"/>
      <c r="AG1151" t="inlineStr"/>
      <c r="AH1151" t="inlineStr"/>
      <c r="AI1151" t="n">
        <v>40.8</v>
      </c>
      <c r="AJ1151" t="n">
        <v>26.3</v>
      </c>
    </row>
    <row r="1152">
      <c r="A1152" t="inlineStr">
        <is>
          <t>Queen's University Belfast</t>
        </is>
      </c>
      <c r="B1152" t="inlineStr">
        <is>
          <t>United Kingdom</t>
        </is>
      </c>
      <c r="C1152" t="inlineStr">
        <is>
          <t>206</t>
        </is>
      </c>
      <c r="D1152" t="n">
        <v>45.7</v>
      </c>
      <c r="E1152" t="n">
        <v>35.4</v>
      </c>
      <c r="F1152" t="n">
        <v>33.6</v>
      </c>
      <c r="G1152" t="n">
        <v>28.6</v>
      </c>
      <c r="H1152" t="n">
        <v>40.6</v>
      </c>
      <c r="I1152" t="n">
        <v>100</v>
      </c>
      <c r="J1152" t="n">
        <v>98.2</v>
      </c>
      <c r="K1152" t="n">
        <v>92.8</v>
      </c>
      <c r="L1152" t="n">
        <v>9.9</v>
      </c>
      <c r="M1152" t="n">
        <v>88.90000000000001</v>
      </c>
      <c r="N1152" t="inlineStr">
        <is>
          <t>201–250</t>
        </is>
      </c>
      <c r="O1152" t="inlineStr">
        <is>
          <t>55.9–58.6</t>
        </is>
      </c>
      <c r="P1152" t="n">
        <v>34</v>
      </c>
      <c r="Q1152" t="n">
        <v>38</v>
      </c>
      <c r="R1152" t="n">
        <v>88.7</v>
      </c>
      <c r="S1152" t="n">
        <v>65</v>
      </c>
      <c r="T1152" t="n">
        <v>98.40000000000001</v>
      </c>
      <c r="U1152" t="inlineStr">
        <is>
          <t>20,895</t>
        </is>
      </c>
      <c r="V1152" t="n">
        <v>17.2</v>
      </c>
      <c r="W1152" t="inlineStr">
        <is>
          <t>41%</t>
        </is>
      </c>
      <c r="X1152" t="inlineStr">
        <is>
          <t>57 : 43</t>
        </is>
      </c>
      <c r="Y1152" t="n">
        <v>206</v>
      </c>
      <c r="Z1152" t="n">
        <v>201</v>
      </c>
      <c r="AA1152" t="n">
        <v>57.25</v>
      </c>
      <c r="AB1152" t="inlineStr">
        <is>
          <t>U1151</t>
        </is>
      </c>
      <c r="AC1152" t="inlineStr">
        <is>
          <t>UN</t>
        </is>
      </c>
      <c r="AD1152" t="n">
        <v>45.7</v>
      </c>
      <c r="AE1152" t="n">
        <v>40.6</v>
      </c>
      <c r="AF1152" t="n">
        <v>17.2</v>
      </c>
      <c r="AG1152" t="inlineStr">
        <is>
          <t>1:17.2</t>
        </is>
      </c>
      <c r="AH1152" t="inlineStr">
        <is>
          <t>41%</t>
        </is>
      </c>
      <c r="AI1152" t="n">
        <v>35.4</v>
      </c>
      <c r="AJ1152" t="n">
        <v>49.41</v>
      </c>
    </row>
    <row r="1153">
      <c r="A1153" t="inlineStr">
        <is>
          <t>Queensland University of Technology (QUT)</t>
        </is>
      </c>
      <c r="B1153" t="inlineStr">
        <is>
          <t>Australia</t>
        </is>
      </c>
      <c r="C1153" t="inlineStr">
        <is>
          <t>213</t>
        </is>
      </c>
      <c r="D1153" t="n">
        <v>44.7</v>
      </c>
      <c r="E1153" t="n">
        <v>39.8</v>
      </c>
      <c r="F1153" t="n">
        <v>33.1</v>
      </c>
      <c r="G1153" t="n">
        <v>8.1</v>
      </c>
      <c r="H1153" t="n">
        <v>59.9</v>
      </c>
      <c r="I1153" t="n">
        <v>97.90000000000001</v>
      </c>
      <c r="J1153" t="n">
        <v>20.7</v>
      </c>
      <c r="K1153" t="n">
        <v>83.40000000000001</v>
      </c>
      <c r="L1153" t="n">
        <v>19</v>
      </c>
      <c r="M1153" t="n">
        <v>89.40000000000001</v>
      </c>
      <c r="N1153">
        <f>199</f>
        <v/>
      </c>
      <c r="O1153" t="inlineStr">
        <is>
          <t>58.7</t>
        </is>
      </c>
      <c r="P1153" t="n">
        <v>33.9</v>
      </c>
      <c r="Q1153" t="n">
        <v>42.1</v>
      </c>
      <c r="R1153" t="n">
        <v>89.5</v>
      </c>
      <c r="S1153" t="n">
        <v>85.90000000000001</v>
      </c>
      <c r="T1153" t="n">
        <v>82.2</v>
      </c>
      <c r="U1153" t="inlineStr">
        <is>
          <t>35,164</t>
        </is>
      </c>
      <c r="V1153" t="n">
        <v>37.9</v>
      </c>
      <c r="W1153" t="inlineStr">
        <is>
          <t>14%</t>
        </is>
      </c>
      <c r="X1153" t="inlineStr">
        <is>
          <t>54 : 46</t>
        </is>
      </c>
      <c r="Y1153" t="n">
        <v>213</v>
      </c>
      <c r="Z1153" t="n">
        <v>199</v>
      </c>
      <c r="AA1153" t="n">
        <v>58.7</v>
      </c>
      <c r="AB1153" t="inlineStr">
        <is>
          <t>U1152</t>
        </is>
      </c>
      <c r="AC1153" t="inlineStr">
        <is>
          <t>AU</t>
        </is>
      </c>
      <c r="AD1153" t="n">
        <v>44.7</v>
      </c>
      <c r="AE1153" t="n">
        <v>59.9</v>
      </c>
      <c r="AF1153" t="n">
        <v>37.9</v>
      </c>
      <c r="AG1153" t="inlineStr">
        <is>
          <t>1:37.9</t>
        </is>
      </c>
      <c r="AH1153" t="inlineStr">
        <is>
          <t>14%</t>
        </is>
      </c>
      <c r="AI1153" t="n">
        <v>39.8</v>
      </c>
      <c r="AJ1153" t="n">
        <v>53.49</v>
      </c>
    </row>
    <row r="1154">
      <c r="A1154" t="inlineStr">
        <is>
          <t>R V College of Engineering</t>
        </is>
      </c>
      <c r="B1154" t="inlineStr">
        <is>
          <t>India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>
        <is>
          <t>1501+</t>
        </is>
      </c>
      <c r="O1154" t="inlineStr">
        <is>
          <t>9.7–22.7</t>
        </is>
      </c>
      <c r="P1154" t="n">
        <v>24.6</v>
      </c>
      <c r="Q1154" t="n">
        <v>9.4</v>
      </c>
      <c r="R1154" t="n">
        <v>29.3</v>
      </c>
      <c r="S1154" t="n">
        <v>17.8</v>
      </c>
      <c r="T1154" t="n">
        <v>16.1</v>
      </c>
      <c r="U1154" t="inlineStr">
        <is>
          <t>5,741</t>
        </is>
      </c>
      <c r="V1154" t="n">
        <v>14.9</v>
      </c>
      <c r="W1154" t="inlineStr">
        <is>
          <t>0%</t>
        </is>
      </c>
      <c r="X1154" t="inlineStr">
        <is>
          <t>26 : 74</t>
        </is>
      </c>
      <c r="Y1154" t="inlineStr"/>
      <c r="Z1154" t="n">
        <v>1501</v>
      </c>
      <c r="AA1154" t="n">
        <v>16.2</v>
      </c>
      <c r="AB1154" t="inlineStr">
        <is>
          <t>U1153</t>
        </is>
      </c>
      <c r="AC1154" t="inlineStr">
        <is>
          <t>IN</t>
        </is>
      </c>
      <c r="AD1154" t="n">
        <v>16.2</v>
      </c>
      <c r="AE1154" t="n">
        <v>29.3</v>
      </c>
      <c r="AF1154" t="n">
        <v>14.9</v>
      </c>
      <c r="AG1154" t="inlineStr">
        <is>
          <t>1:14.9</t>
        </is>
      </c>
      <c r="AH1154" t="inlineStr">
        <is>
          <t>0%</t>
        </is>
      </c>
      <c r="AI1154" t="inlineStr"/>
      <c r="AJ1154" t="n">
        <v>11.09</v>
      </c>
    </row>
    <row r="1155">
      <c r="A1155" t="inlineStr">
        <is>
          <t xml:space="preserve">Radboud University </t>
        </is>
      </c>
      <c r="B1155" t="inlineStr">
        <is>
          <t>Netherlands</t>
        </is>
      </c>
      <c r="C1155" t="inlineStr">
        <is>
          <t>272</t>
        </is>
      </c>
      <c r="D1155" t="n">
        <v>38.4</v>
      </c>
      <c r="E1155" t="n">
        <v>28</v>
      </c>
      <c r="F1155" t="n">
        <v>14.1</v>
      </c>
      <c r="G1155" t="n">
        <v>27</v>
      </c>
      <c r="H1155" t="n">
        <v>66</v>
      </c>
      <c r="I1155" t="n">
        <v>81.3</v>
      </c>
      <c r="J1155" t="n">
        <v>18.6</v>
      </c>
      <c r="K1155" t="n">
        <v>93.90000000000001</v>
      </c>
      <c r="L1155" t="n">
        <v>19.6</v>
      </c>
      <c r="M1155" t="n">
        <v>39.8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n">
        <v>272</v>
      </c>
      <c r="Z1155" t="inlineStr"/>
      <c r="AA1155" t="inlineStr"/>
      <c r="AB1155" t="inlineStr">
        <is>
          <t>U1154</t>
        </is>
      </c>
      <c r="AC1155" t="inlineStr">
        <is>
          <t>NE</t>
        </is>
      </c>
      <c r="AD1155" t="n">
        <v>38.4</v>
      </c>
      <c r="AE1155" t="n">
        <v>66</v>
      </c>
      <c r="AF1155" t="inlineStr"/>
      <c r="AG1155" t="inlineStr"/>
      <c r="AH1155" t="inlineStr"/>
      <c r="AI1155" t="n">
        <v>28</v>
      </c>
      <c r="AJ1155" t="n">
        <v>33.39</v>
      </c>
    </row>
    <row r="1156">
      <c r="A1156" t="inlineStr">
        <is>
          <t>Radboud University Nijmegen</t>
        </is>
      </c>
      <c r="B1156" t="inlineStr">
        <is>
          <t>Netherlands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>
        <f>140</f>
        <v/>
      </c>
      <c r="O1156" t="inlineStr">
        <is>
          <t>62.8</t>
        </is>
      </c>
      <c r="P1156" t="n">
        <v>39.1</v>
      </c>
      <c r="Q1156" t="n">
        <v>51</v>
      </c>
      <c r="R1156" t="n">
        <v>91.3</v>
      </c>
      <c r="S1156" t="n">
        <v>81.40000000000001</v>
      </c>
      <c r="T1156" t="n">
        <v>77.7</v>
      </c>
      <c r="U1156" t="inlineStr">
        <is>
          <t>23,004</t>
        </is>
      </c>
      <c r="V1156" t="n">
        <v>18.2</v>
      </c>
      <c r="W1156" t="inlineStr">
        <is>
          <t>12%</t>
        </is>
      </c>
      <c r="X1156" t="inlineStr">
        <is>
          <t>57 : 43</t>
        </is>
      </c>
      <c r="Y1156" t="inlineStr"/>
      <c r="Z1156" t="n">
        <v>140</v>
      </c>
      <c r="AA1156" t="n">
        <v>62.8</v>
      </c>
      <c r="AB1156" t="inlineStr">
        <is>
          <t>U1155</t>
        </is>
      </c>
      <c r="AC1156" t="inlineStr">
        <is>
          <t>NE</t>
        </is>
      </c>
      <c r="AD1156" t="n">
        <v>62.8</v>
      </c>
      <c r="AE1156" t="n">
        <v>91.3</v>
      </c>
      <c r="AF1156" t="n">
        <v>18.2</v>
      </c>
      <c r="AG1156" t="inlineStr">
        <is>
          <t>1:18.2</t>
        </is>
      </c>
      <c r="AH1156" t="inlineStr">
        <is>
          <t>12%</t>
        </is>
      </c>
      <c r="AI1156" t="inlineStr"/>
      <c r="AJ1156" t="n">
        <v>66.58</v>
      </c>
    </row>
    <row r="1157">
      <c r="A1157" t="inlineStr">
        <is>
          <t>Rajshahi University</t>
        </is>
      </c>
      <c r="B1157" t="inlineStr">
        <is>
          <t>Bangladesh</t>
        </is>
      </c>
      <c r="C1157" t="inlineStr">
        <is>
          <t>1201-1400</t>
        </is>
      </c>
      <c r="D1157" t="inlineStr"/>
      <c r="E1157" t="n">
        <v>10.4</v>
      </c>
      <c r="F1157" t="n">
        <v>9.800000000000001</v>
      </c>
      <c r="G1157" t="n">
        <v>3.9</v>
      </c>
      <c r="H1157" t="n">
        <v>3</v>
      </c>
      <c r="I1157" t="n">
        <v>1</v>
      </c>
      <c r="J1157" t="n">
        <v>1.1</v>
      </c>
      <c r="K1157" t="n">
        <v>16.4</v>
      </c>
      <c r="L1157" t="n">
        <v>3.7</v>
      </c>
      <c r="M1157" t="n">
        <v>1.1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n">
        <v>1201</v>
      </c>
      <c r="Z1157" t="inlineStr"/>
      <c r="AA1157" t="inlineStr"/>
      <c r="AB1157" t="inlineStr">
        <is>
          <t>U1156</t>
        </is>
      </c>
      <c r="AC1157" t="inlineStr">
        <is>
          <t>BA</t>
        </is>
      </c>
      <c r="AD1157" t="inlineStr"/>
      <c r="AE1157" t="n">
        <v>3</v>
      </c>
      <c r="AF1157" t="inlineStr"/>
      <c r="AG1157" t="inlineStr"/>
      <c r="AH1157" t="inlineStr"/>
      <c r="AI1157" t="n">
        <v>10.4</v>
      </c>
      <c r="AJ1157" t="n">
        <v>14.3</v>
      </c>
    </row>
    <row r="1158">
      <c r="A1158" t="inlineStr">
        <is>
          <t>Razi University</t>
        </is>
      </c>
      <c r="B1158" t="inlineStr">
        <is>
          <t>Iran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>
        <is>
          <t>1001–1200</t>
        </is>
      </c>
      <c r="O1158" t="inlineStr">
        <is>
          <t>28.3–32.6</t>
        </is>
      </c>
      <c r="P1158" t="n">
        <v>27.8</v>
      </c>
      <c r="Q1158" t="n">
        <v>14</v>
      </c>
      <c r="R1158" t="n">
        <v>43.2</v>
      </c>
      <c r="S1158" t="n">
        <v>38.5</v>
      </c>
      <c r="T1158" t="n">
        <v>26.5</v>
      </c>
      <c r="U1158" t="inlineStr">
        <is>
          <t>10,634</t>
        </is>
      </c>
      <c r="V1158" t="n">
        <v>22.9</v>
      </c>
      <c r="W1158" t="inlineStr">
        <is>
          <t>4%</t>
        </is>
      </c>
      <c r="X1158" t="inlineStr">
        <is>
          <t>60 : 40</t>
        </is>
      </c>
      <c r="Y1158" t="inlineStr"/>
      <c r="Z1158" t="n">
        <v>1001</v>
      </c>
      <c r="AA1158" t="n">
        <v>30.45</v>
      </c>
      <c r="AB1158" t="inlineStr">
        <is>
          <t>U1157</t>
        </is>
      </c>
      <c r="AC1158" t="inlineStr">
        <is>
          <t>IR</t>
        </is>
      </c>
      <c r="AD1158" t="n">
        <v>30.45</v>
      </c>
      <c r="AE1158" t="n">
        <v>43.2</v>
      </c>
      <c r="AF1158" t="n">
        <v>22.9</v>
      </c>
      <c r="AG1158" t="inlineStr">
        <is>
          <t>1:22.9</t>
        </is>
      </c>
      <c r="AH1158" t="inlineStr">
        <is>
          <t>4%</t>
        </is>
      </c>
      <c r="AI1158" t="inlineStr"/>
      <c r="AJ1158" t="n">
        <v>20.23</v>
      </c>
    </row>
    <row r="1159">
      <c r="A1159" t="inlineStr">
        <is>
          <t>RCSI University of Medicine and Health Sciences</t>
        </is>
      </c>
      <c r="B1159" t="inlineStr">
        <is>
          <t>Ireland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>
        <is>
          <t>251–300</t>
        </is>
      </c>
      <c r="O1159" t="inlineStr">
        <is>
          <t>53.1–55.8</t>
        </is>
      </c>
      <c r="P1159" t="n">
        <v>32.3</v>
      </c>
      <c r="Q1159" t="n">
        <v>36.6</v>
      </c>
      <c r="R1159" t="n">
        <v>81.7</v>
      </c>
      <c r="S1159" t="n">
        <v>76.90000000000001</v>
      </c>
      <c r="T1159" t="n">
        <v>91.59999999999999</v>
      </c>
      <c r="U1159" t="inlineStr">
        <is>
          <t>2,703</t>
        </is>
      </c>
      <c r="V1159" t="n">
        <v>23.9</v>
      </c>
      <c r="W1159" t="inlineStr">
        <is>
          <t>67%</t>
        </is>
      </c>
      <c r="X1159" t="inlineStr"/>
      <c r="Y1159" t="inlineStr"/>
      <c r="Z1159" t="n">
        <v>251</v>
      </c>
      <c r="AA1159" t="n">
        <v>54.45</v>
      </c>
      <c r="AB1159" t="inlineStr">
        <is>
          <t>U1158</t>
        </is>
      </c>
      <c r="AC1159" t="inlineStr">
        <is>
          <t>IR</t>
        </is>
      </c>
      <c r="AD1159" t="n">
        <v>54.45</v>
      </c>
      <c r="AE1159" t="n">
        <v>81.7</v>
      </c>
      <c r="AF1159" t="n">
        <v>23.9</v>
      </c>
      <c r="AG1159" t="inlineStr">
        <is>
          <t>1:23.9</t>
        </is>
      </c>
      <c r="AH1159" t="inlineStr">
        <is>
          <t>67%</t>
        </is>
      </c>
      <c r="AI1159" t="inlineStr"/>
      <c r="AJ1159" t="n">
        <v>59.48</v>
      </c>
    </row>
    <row r="1160">
      <c r="A1160" t="inlineStr">
        <is>
          <t>Örebro University</t>
        </is>
      </c>
      <c r="B1160" t="inlineStr">
        <is>
          <t>Sweden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>
        <is>
          <t>601–800</t>
        </is>
      </c>
      <c r="O1160" t="inlineStr">
        <is>
          <t>37.0–41.8</t>
        </is>
      </c>
      <c r="P1160" t="n">
        <v>20.1</v>
      </c>
      <c r="Q1160" t="n">
        <v>22.5</v>
      </c>
      <c r="R1160" t="n">
        <v>77.90000000000001</v>
      </c>
      <c r="S1160" t="n">
        <v>43.8</v>
      </c>
      <c r="T1160" t="n">
        <v>54.6</v>
      </c>
      <c r="U1160" t="inlineStr">
        <is>
          <t>10,132</t>
        </is>
      </c>
      <c r="V1160" t="n">
        <v>15.6</v>
      </c>
      <c r="W1160" t="inlineStr">
        <is>
          <t>5%</t>
        </is>
      </c>
      <c r="X1160" t="inlineStr">
        <is>
          <t>62 : 38</t>
        </is>
      </c>
      <c r="Y1160" t="inlineStr"/>
      <c r="Z1160" t="n">
        <v>601</v>
      </c>
      <c r="AA1160" t="n">
        <v>39.4</v>
      </c>
      <c r="AB1160" t="inlineStr">
        <is>
          <t>U1159</t>
        </is>
      </c>
      <c r="AC1160" t="inlineStr">
        <is>
          <t>SW</t>
        </is>
      </c>
      <c r="AD1160" t="n">
        <v>39.4</v>
      </c>
      <c r="AE1160" t="n">
        <v>77.90000000000001</v>
      </c>
      <c r="AF1160" t="n">
        <v>15.6</v>
      </c>
      <c r="AG1160" t="inlineStr">
        <is>
          <t>1:15.6</t>
        </is>
      </c>
      <c r="AH1160" t="inlineStr">
        <is>
          <t>5%</t>
        </is>
      </c>
      <c r="AI1160" t="inlineStr"/>
      <c r="AJ1160" t="n">
        <v>42</v>
      </c>
    </row>
    <row r="1161">
      <c r="A1161" t="inlineStr">
        <is>
          <t>Recep Tayyip Erdoğan University</t>
        </is>
      </c>
      <c r="B1161" t="inlineStr">
        <is>
          <t>Turkey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>
        <is>
          <t>1501+</t>
        </is>
      </c>
      <c r="O1161" t="inlineStr">
        <is>
          <t>9.7–22.7</t>
        </is>
      </c>
      <c r="P1161" t="n">
        <v>16.3</v>
      </c>
      <c r="Q1161" t="n">
        <v>9.5</v>
      </c>
      <c r="R1161" t="n">
        <v>23.9</v>
      </c>
      <c r="S1161" t="n">
        <v>16.6</v>
      </c>
      <c r="T1161" t="n">
        <v>22.3</v>
      </c>
      <c r="U1161" t="inlineStr">
        <is>
          <t>12,407</t>
        </is>
      </c>
      <c r="V1161" t="n">
        <v>16.9</v>
      </c>
      <c r="W1161" t="inlineStr">
        <is>
          <t>4%</t>
        </is>
      </c>
      <c r="X1161" t="inlineStr">
        <is>
          <t>54 : 46</t>
        </is>
      </c>
      <c r="Y1161" t="inlineStr"/>
      <c r="Z1161" t="n">
        <v>1501</v>
      </c>
      <c r="AA1161" t="n">
        <v>16.2</v>
      </c>
      <c r="AB1161" t="inlineStr">
        <is>
          <t>U1160</t>
        </is>
      </c>
      <c r="AC1161" t="inlineStr">
        <is>
          <t>TU</t>
        </is>
      </c>
      <c r="AD1161" t="n">
        <v>16.2</v>
      </c>
      <c r="AE1161" t="n">
        <v>23.9</v>
      </c>
      <c r="AF1161" t="n">
        <v>16.9</v>
      </c>
      <c r="AG1161" t="inlineStr">
        <is>
          <t>1:16.9</t>
        </is>
      </c>
      <c r="AH1161" t="inlineStr">
        <is>
          <t>4%</t>
        </is>
      </c>
      <c r="AI1161" t="inlineStr"/>
      <c r="AJ1161" t="n">
        <v>11.01</v>
      </c>
    </row>
    <row r="1162">
      <c r="A1162" t="inlineStr">
        <is>
          <t>Reichman University</t>
        </is>
      </c>
      <c r="B1162" t="inlineStr">
        <is>
          <t>Israel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>
        <is>
          <t>801–1000</t>
        </is>
      </c>
      <c r="O1162" t="inlineStr">
        <is>
          <t>32.7–36.9</t>
        </is>
      </c>
      <c r="P1162" t="n">
        <v>13.1</v>
      </c>
      <c r="Q1162" t="n">
        <v>16.6</v>
      </c>
      <c r="R1162" t="n">
        <v>64.3</v>
      </c>
      <c r="S1162" t="n">
        <v>31.4</v>
      </c>
      <c r="T1162" t="n">
        <v>63.6</v>
      </c>
      <c r="U1162" t="inlineStr">
        <is>
          <t>8,585</t>
        </is>
      </c>
      <c r="V1162" t="n">
        <v>35</v>
      </c>
      <c r="W1162" t="inlineStr">
        <is>
          <t>28%</t>
        </is>
      </c>
      <c r="X1162" t="inlineStr">
        <is>
          <t>52 : 48</t>
        </is>
      </c>
      <c r="Y1162" t="inlineStr"/>
      <c r="Z1162" t="n">
        <v>801</v>
      </c>
      <c r="AA1162" t="n">
        <v>34.8</v>
      </c>
      <c r="AB1162" t="inlineStr">
        <is>
          <t>U1161</t>
        </is>
      </c>
      <c r="AC1162" t="inlineStr">
        <is>
          <t>IS</t>
        </is>
      </c>
      <c r="AD1162" t="n">
        <v>34.8</v>
      </c>
      <c r="AE1162" t="n">
        <v>64.3</v>
      </c>
      <c r="AF1162" t="n">
        <v>35</v>
      </c>
      <c r="AG1162" t="inlineStr">
        <is>
          <t>1:35.0</t>
        </is>
      </c>
      <c r="AH1162" t="inlineStr">
        <is>
          <t>28%</t>
        </is>
      </c>
      <c r="AI1162" t="inlineStr"/>
      <c r="AJ1162" t="n">
        <v>36.96</v>
      </c>
    </row>
    <row r="1163">
      <c r="A1163" t="inlineStr">
        <is>
          <t>Renmin (People's) University of China</t>
        </is>
      </c>
      <c r="B1163" t="inlineStr">
        <is>
          <t>China</t>
        </is>
      </c>
      <c r="C1163" t="inlineStr">
        <is>
          <t>621-630</t>
        </is>
      </c>
      <c r="D1163" t="inlineStr"/>
      <c r="E1163" t="n">
        <v>19.5</v>
      </c>
      <c r="F1163" t="n">
        <v>37.3</v>
      </c>
      <c r="G1163" t="n">
        <v>16.3</v>
      </c>
      <c r="H1163" t="n">
        <v>7.9</v>
      </c>
      <c r="I1163" t="n">
        <v>6.6</v>
      </c>
      <c r="J1163" t="n">
        <v>4.9</v>
      </c>
      <c r="K1163" t="n">
        <v>24.3</v>
      </c>
      <c r="L1163" t="n">
        <v>81.2</v>
      </c>
      <c r="M1163" t="n">
        <v>9.699999999999999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n">
        <v>621</v>
      </c>
      <c r="Z1163" t="inlineStr"/>
      <c r="AA1163" t="inlineStr"/>
      <c r="AB1163" t="inlineStr">
        <is>
          <t>U1162</t>
        </is>
      </c>
      <c r="AC1163" t="inlineStr">
        <is>
          <t>CH</t>
        </is>
      </c>
      <c r="AD1163" t="inlineStr"/>
      <c r="AE1163" t="n">
        <v>7.9</v>
      </c>
      <c r="AF1163" t="inlineStr"/>
      <c r="AG1163" t="inlineStr"/>
      <c r="AH1163" t="inlineStr"/>
      <c r="AI1163" t="n">
        <v>19.5</v>
      </c>
      <c r="AJ1163" t="n">
        <v>15.78</v>
      </c>
    </row>
    <row r="1164">
      <c r="A1164" t="inlineStr">
        <is>
          <t>Rensselaer Polytechnic Institute</t>
        </is>
      </c>
      <c r="B1164" t="inlineStr">
        <is>
          <t>United States</t>
        </is>
      </c>
      <c r="C1164" t="inlineStr">
        <is>
          <t>601-610</t>
        </is>
      </c>
      <c r="D1164" t="inlineStr"/>
      <c r="E1164" t="n">
        <v>8</v>
      </c>
      <c r="F1164" t="n">
        <v>8.4</v>
      </c>
      <c r="G1164" t="n">
        <v>19.7</v>
      </c>
      <c r="H1164" t="n">
        <v>56.6</v>
      </c>
      <c r="I1164" t="n">
        <v>3.7</v>
      </c>
      <c r="J1164" t="n">
        <v>29.9</v>
      </c>
      <c r="K1164" t="n">
        <v>25</v>
      </c>
      <c r="L1164" t="n">
        <v>31.4</v>
      </c>
      <c r="M1164" t="n">
        <v>2.8</v>
      </c>
      <c r="N1164" t="inlineStr">
        <is>
          <t>401–500</t>
        </is>
      </c>
      <c r="O1164" t="inlineStr">
        <is>
          <t>45.4–49.0</t>
        </is>
      </c>
      <c r="P1164" t="n">
        <v>34.1</v>
      </c>
      <c r="Q1164" t="n">
        <v>30.3</v>
      </c>
      <c r="R1164" t="n">
        <v>60.9</v>
      </c>
      <c r="S1164" t="n">
        <v>89.90000000000001</v>
      </c>
      <c r="T1164" t="n">
        <v>78.7</v>
      </c>
      <c r="U1164" t="inlineStr">
        <is>
          <t>7,496</t>
        </is>
      </c>
      <c r="V1164" t="n">
        <v>15.3</v>
      </c>
      <c r="W1164" t="inlineStr">
        <is>
          <t>20%</t>
        </is>
      </c>
      <c r="X1164" t="inlineStr">
        <is>
          <t>31 : 69</t>
        </is>
      </c>
      <c r="Y1164" t="n">
        <v>601</v>
      </c>
      <c r="Z1164" t="n">
        <v>401</v>
      </c>
      <c r="AA1164" t="n">
        <v>47.2</v>
      </c>
      <c r="AB1164" t="inlineStr">
        <is>
          <t>U1163</t>
        </is>
      </c>
      <c r="AC1164" t="inlineStr">
        <is>
          <t>UN</t>
        </is>
      </c>
      <c r="AD1164" t="n">
        <v>47.2</v>
      </c>
      <c r="AE1164" t="n">
        <v>56.6</v>
      </c>
      <c r="AF1164" t="n">
        <v>15.3</v>
      </c>
      <c r="AG1164" t="inlineStr">
        <is>
          <t>1:15.3</t>
        </is>
      </c>
      <c r="AH1164" t="inlineStr">
        <is>
          <t>20%</t>
        </is>
      </c>
      <c r="AI1164" t="n">
        <v>8</v>
      </c>
      <c r="AJ1164" t="n">
        <v>45.46</v>
      </c>
    </row>
    <row r="1165">
      <c r="A1165" t="inlineStr">
        <is>
          <t>Reshetnev Siberian State University of Science and Technology</t>
        </is>
      </c>
      <c r="B1165" t="inlineStr">
        <is>
          <t>Russian Federation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>
        <is>
          <t>1501+</t>
        </is>
      </c>
      <c r="O1165" t="inlineStr">
        <is>
          <t>9.7–22.7</t>
        </is>
      </c>
      <c r="P1165" t="n">
        <v>12.3</v>
      </c>
      <c r="Q1165" t="n">
        <v>8.199999999999999</v>
      </c>
      <c r="R1165" t="n">
        <v>15.8</v>
      </c>
      <c r="S1165" t="n">
        <v>18.5</v>
      </c>
      <c r="T1165" t="n">
        <v>20.4</v>
      </c>
      <c r="U1165" t="inlineStr">
        <is>
          <t>16,411</t>
        </is>
      </c>
      <c r="V1165" t="n">
        <v>22.9</v>
      </c>
      <c r="W1165" t="inlineStr">
        <is>
          <t>3%</t>
        </is>
      </c>
      <c r="X1165" t="inlineStr">
        <is>
          <t>40 : 60</t>
        </is>
      </c>
      <c r="Y1165" t="inlineStr"/>
      <c r="Z1165" t="n">
        <v>1501</v>
      </c>
      <c r="AA1165" t="n">
        <v>16.2</v>
      </c>
      <c r="AB1165" t="inlineStr">
        <is>
          <t>U1164</t>
        </is>
      </c>
      <c r="AC1165" t="inlineStr">
        <is>
          <t>RU</t>
        </is>
      </c>
      <c r="AD1165" t="n">
        <v>16.2</v>
      </c>
      <c r="AE1165" t="n">
        <v>15.8</v>
      </c>
      <c r="AF1165" t="n">
        <v>22.9</v>
      </c>
      <c r="AG1165" t="inlineStr">
        <is>
          <t>1:22.9</t>
        </is>
      </c>
      <c r="AH1165" t="inlineStr">
        <is>
          <t>3%</t>
        </is>
      </c>
      <c r="AI1165" t="inlineStr"/>
      <c r="AJ1165" t="n">
        <v>7.41</v>
      </c>
    </row>
    <row r="1166">
      <c r="A1166" t="inlineStr">
        <is>
          <t>REVA University</t>
        </is>
      </c>
      <c r="B1166" t="inlineStr">
        <is>
          <t>India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1501+</t>
        </is>
      </c>
      <c r="O1166" t="inlineStr">
        <is>
          <t>9.7–22.7</t>
        </is>
      </c>
      <c r="P1166" t="n">
        <v>16</v>
      </c>
      <c r="Q1166" t="n">
        <v>7.9</v>
      </c>
      <c r="R1166" t="n">
        <v>37.9</v>
      </c>
      <c r="S1166" t="n">
        <v>20.7</v>
      </c>
      <c r="T1166" t="n">
        <v>19.8</v>
      </c>
      <c r="U1166" t="inlineStr">
        <is>
          <t>13,907</t>
        </is>
      </c>
      <c r="V1166" t="n">
        <v>18.7</v>
      </c>
      <c r="W1166" t="inlineStr">
        <is>
          <t>1%</t>
        </is>
      </c>
      <c r="X1166" t="inlineStr">
        <is>
          <t>34 : 66</t>
        </is>
      </c>
      <c r="Y1166" t="inlineStr"/>
      <c r="Z1166" t="n">
        <v>1501</v>
      </c>
      <c r="AA1166" t="n">
        <v>16.2</v>
      </c>
      <c r="AB1166" t="inlineStr">
        <is>
          <t>U1165</t>
        </is>
      </c>
      <c r="AC1166" t="inlineStr">
        <is>
          <t>IN</t>
        </is>
      </c>
      <c r="AD1166" t="n">
        <v>16.2</v>
      </c>
      <c r="AE1166" t="n">
        <v>37.9</v>
      </c>
      <c r="AF1166" t="n">
        <v>18.7</v>
      </c>
      <c r="AG1166" t="inlineStr">
        <is>
          <t>1:18.7</t>
        </is>
      </c>
      <c r="AH1166" t="inlineStr">
        <is>
          <t>1%</t>
        </is>
      </c>
      <c r="AI1166" t="inlineStr"/>
      <c r="AJ1166" t="n">
        <v>13.81</v>
      </c>
    </row>
    <row r="1167">
      <c r="A1167" t="inlineStr">
        <is>
          <t>Reykjavík University</t>
        </is>
      </c>
      <c r="B1167" t="inlineStr">
        <is>
          <t>Iceland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>
        <is>
          <t>601–800</t>
        </is>
      </c>
      <c r="O1167" t="inlineStr">
        <is>
          <t>37.0–41.8</t>
        </is>
      </c>
      <c r="P1167" t="n">
        <v>15.6</v>
      </c>
      <c r="Q1167" t="n">
        <v>24</v>
      </c>
      <c r="R1167" t="n">
        <v>76.09999999999999</v>
      </c>
      <c r="S1167" t="n">
        <v>28.7</v>
      </c>
      <c r="T1167" t="n">
        <v>64.40000000000001</v>
      </c>
      <c r="U1167" t="inlineStr">
        <is>
          <t>2,940</t>
        </is>
      </c>
      <c r="V1167" t="n">
        <v>24.2</v>
      </c>
      <c r="W1167" t="inlineStr">
        <is>
          <t>10%</t>
        </is>
      </c>
      <c r="X1167" t="inlineStr">
        <is>
          <t>47 : 53</t>
        </is>
      </c>
      <c r="Y1167" t="inlineStr"/>
      <c r="Z1167" t="n">
        <v>601</v>
      </c>
      <c r="AA1167" t="n">
        <v>39.4</v>
      </c>
      <c r="AB1167" t="inlineStr">
        <is>
          <t>U1166</t>
        </is>
      </c>
      <c r="AC1167" t="inlineStr">
        <is>
          <t>IC</t>
        </is>
      </c>
      <c r="AD1167" t="n">
        <v>39.4</v>
      </c>
      <c r="AE1167" t="n">
        <v>76.09999999999999</v>
      </c>
      <c r="AF1167" t="n">
        <v>24.2</v>
      </c>
      <c r="AG1167" t="inlineStr">
        <is>
          <t>1:24.2</t>
        </is>
      </c>
      <c r="AH1167" t="inlineStr">
        <is>
          <t>10%</t>
        </is>
      </c>
      <c r="AI1167" t="inlineStr"/>
      <c r="AJ1167" t="n">
        <v>44.61</v>
      </c>
    </row>
    <row r="1168">
      <c r="A1168" t="inlineStr">
        <is>
          <t>Rheinische Friedrich-Wilhelms-Universität Bonn</t>
        </is>
      </c>
      <c r="B1168" t="inlineStr">
        <is>
          <t>Germany</t>
        </is>
      </c>
      <c r="C1168" t="inlineStr">
        <is>
          <t>227</t>
        </is>
      </c>
      <c r="D1168" t="n">
        <v>43.5</v>
      </c>
      <c r="E1168" t="n">
        <v>52.8</v>
      </c>
      <c r="F1168" t="n">
        <v>24.1</v>
      </c>
      <c r="G1168" t="n">
        <v>62.7</v>
      </c>
      <c r="H1168" t="n">
        <v>17.2</v>
      </c>
      <c r="I1168" t="n">
        <v>44.3</v>
      </c>
      <c r="J1168" t="n">
        <v>38.9</v>
      </c>
      <c r="K1168" t="n">
        <v>94.7</v>
      </c>
      <c r="L1168" t="n">
        <v>35.4</v>
      </c>
      <c r="M1168" t="n">
        <v>83.2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n">
        <v>227</v>
      </c>
      <c r="Z1168" t="inlineStr"/>
      <c r="AA1168" t="inlineStr"/>
      <c r="AB1168" t="inlineStr">
        <is>
          <t>U1167</t>
        </is>
      </c>
      <c r="AC1168" t="inlineStr">
        <is>
          <t>GE</t>
        </is>
      </c>
      <c r="AD1168" t="n">
        <v>43.5</v>
      </c>
      <c r="AE1168" t="n">
        <v>17.2</v>
      </c>
      <c r="AF1168" t="inlineStr"/>
      <c r="AG1168" t="inlineStr"/>
      <c r="AH1168" t="inlineStr"/>
      <c r="AI1168" t="n">
        <v>52.8</v>
      </c>
      <c r="AJ1168" t="n">
        <v>18.6</v>
      </c>
    </row>
    <row r="1169">
      <c r="A1169" t="inlineStr">
        <is>
          <t xml:space="preserve">Rhodes University </t>
        </is>
      </c>
      <c r="B1169" t="inlineStr">
        <is>
          <t>South Africa</t>
        </is>
      </c>
      <c r="C1169" t="inlineStr">
        <is>
          <t>951-1000</t>
        </is>
      </c>
      <c r="D1169" t="inlineStr"/>
      <c r="E1169" t="n">
        <v>6.3</v>
      </c>
      <c r="F1169" t="n">
        <v>7.7</v>
      </c>
      <c r="G1169" t="n">
        <v>12.9</v>
      </c>
      <c r="H1169" t="n">
        <v>12.6</v>
      </c>
      <c r="I1169" t="inlineStr"/>
      <c r="J1169" t="n">
        <v>33.2</v>
      </c>
      <c r="K1169" t="n">
        <v>54.5</v>
      </c>
      <c r="L1169" t="n">
        <v>35.5</v>
      </c>
      <c r="M1169" t="n">
        <v>2.9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n">
        <v>951</v>
      </c>
      <c r="Z1169" t="inlineStr"/>
      <c r="AA1169" t="inlineStr"/>
      <c r="AB1169" t="inlineStr">
        <is>
          <t>U1168</t>
        </is>
      </c>
      <c r="AC1169" t="inlineStr">
        <is>
          <t>SO</t>
        </is>
      </c>
      <c r="AD1169" t="inlineStr"/>
      <c r="AE1169" t="n">
        <v>12.6</v>
      </c>
      <c r="AF1169" t="inlineStr"/>
      <c r="AG1169" t="inlineStr"/>
      <c r="AH1169" t="inlineStr"/>
      <c r="AI1169" t="n">
        <v>6.3</v>
      </c>
      <c r="AJ1169" t="n">
        <v>17.21</v>
      </c>
    </row>
    <row r="1170">
      <c r="A1170" t="inlineStr">
        <is>
          <t>Rice University</t>
        </is>
      </c>
      <c r="B1170" t="inlineStr">
        <is>
          <t>United States</t>
        </is>
      </c>
      <c r="C1170" t="inlineStr">
        <is>
          <t>141</t>
        </is>
      </c>
      <c r="D1170" t="n">
        <v>53.6</v>
      </c>
      <c r="E1170" t="n">
        <v>39.1</v>
      </c>
      <c r="F1170" t="n">
        <v>27.3</v>
      </c>
      <c r="G1170" t="n">
        <v>62.5</v>
      </c>
      <c r="H1170" t="n">
        <v>87.90000000000001</v>
      </c>
      <c r="I1170" t="n">
        <v>77.5</v>
      </c>
      <c r="J1170" t="n">
        <v>94.09999999999999</v>
      </c>
      <c r="K1170" t="n">
        <v>62.2</v>
      </c>
      <c r="L1170" t="n">
        <v>29.5</v>
      </c>
      <c r="M1170" t="n">
        <v>20.6</v>
      </c>
      <c r="N1170">
        <f>119</f>
        <v/>
      </c>
      <c r="O1170" t="inlineStr">
        <is>
          <t>65.2</t>
        </is>
      </c>
      <c r="P1170" t="n">
        <v>56.4</v>
      </c>
      <c r="Q1170" t="n">
        <v>45.6</v>
      </c>
      <c r="R1170" t="n">
        <v>86.5</v>
      </c>
      <c r="S1170" t="n">
        <v>73.90000000000001</v>
      </c>
      <c r="T1170" t="n">
        <v>85.8</v>
      </c>
      <c r="U1170" t="inlineStr">
        <is>
          <t>7,318</t>
        </is>
      </c>
      <c r="V1170" t="n">
        <v>9.800000000000001</v>
      </c>
      <c r="W1170" t="inlineStr">
        <is>
          <t>26%</t>
        </is>
      </c>
      <c r="X1170" t="inlineStr">
        <is>
          <t>42 : 58</t>
        </is>
      </c>
      <c r="Y1170" t="n">
        <v>141</v>
      </c>
      <c r="Z1170" t="n">
        <v>119</v>
      </c>
      <c r="AA1170" t="n">
        <v>65.2</v>
      </c>
      <c r="AB1170" t="inlineStr">
        <is>
          <t>U1169</t>
        </is>
      </c>
      <c r="AC1170" t="inlineStr">
        <is>
          <t>UN</t>
        </is>
      </c>
      <c r="AD1170" t="n">
        <v>53.6</v>
      </c>
      <c r="AE1170" t="n">
        <v>87.90000000000001</v>
      </c>
      <c r="AF1170" t="n">
        <v>9.800000000000001</v>
      </c>
      <c r="AG1170" t="inlineStr">
        <is>
          <t>1:9.8</t>
        </is>
      </c>
      <c r="AH1170" t="inlineStr">
        <is>
          <t>26%</t>
        </is>
      </c>
      <c r="AI1170" t="n">
        <v>39.1</v>
      </c>
      <c r="AJ1170" t="n">
        <v>64.68000000000001</v>
      </c>
    </row>
    <row r="1171">
      <c r="A1171" t="inlineStr">
        <is>
          <t>Riga Stradiņš University</t>
        </is>
      </c>
      <c r="B1171" t="inlineStr">
        <is>
          <t>Latvia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>
        <is>
          <t>1501+</t>
        </is>
      </c>
      <c r="O1171" t="inlineStr">
        <is>
          <t>9.7–22.7</t>
        </is>
      </c>
      <c r="P1171" t="n">
        <v>17.3</v>
      </c>
      <c r="Q1171" t="n">
        <v>13.8</v>
      </c>
      <c r="R1171" t="n">
        <v>26.3</v>
      </c>
      <c r="S1171" t="n">
        <v>23.2</v>
      </c>
      <c r="T1171" t="n">
        <v>62.7</v>
      </c>
      <c r="U1171" t="inlineStr">
        <is>
          <t>8,761</t>
        </is>
      </c>
      <c r="V1171" t="n">
        <v>21.8</v>
      </c>
      <c r="W1171" t="inlineStr">
        <is>
          <t>29%</t>
        </is>
      </c>
      <c r="X1171" t="inlineStr">
        <is>
          <t>75 : 25</t>
        </is>
      </c>
      <c r="Y1171" t="inlineStr"/>
      <c r="Z1171" t="n">
        <v>1501</v>
      </c>
      <c r="AA1171" t="n">
        <v>16.2</v>
      </c>
      <c r="AB1171" t="inlineStr">
        <is>
          <t>U1170</t>
        </is>
      </c>
      <c r="AC1171" t="inlineStr">
        <is>
          <t>LA</t>
        </is>
      </c>
      <c r="AD1171" t="n">
        <v>16.2</v>
      </c>
      <c r="AE1171" t="n">
        <v>26.3</v>
      </c>
      <c r="AF1171" t="n">
        <v>21.8</v>
      </c>
      <c r="AG1171" t="inlineStr">
        <is>
          <t>1:21.8</t>
        </is>
      </c>
      <c r="AH1171" t="inlineStr">
        <is>
          <t>29%</t>
        </is>
      </c>
      <c r="AI1171" t="inlineStr"/>
      <c r="AJ1171" t="n">
        <v>23.76</v>
      </c>
    </row>
    <row r="1172">
      <c r="A1172" t="inlineStr">
        <is>
          <t>Riga Stradins University</t>
        </is>
      </c>
      <c r="B1172" t="inlineStr">
        <is>
          <t>Latvia</t>
        </is>
      </c>
      <c r="C1172" t="inlineStr">
        <is>
          <t>951-1000</t>
        </is>
      </c>
      <c r="D1172" t="inlineStr"/>
      <c r="E1172" t="n">
        <v>6.1</v>
      </c>
      <c r="F1172" t="n">
        <v>13.4</v>
      </c>
      <c r="G1172" t="n">
        <v>14.1</v>
      </c>
      <c r="H1172" t="n">
        <v>1.9</v>
      </c>
      <c r="I1172" t="n">
        <v>22.3</v>
      </c>
      <c r="J1172" t="n">
        <v>90.8</v>
      </c>
      <c r="K1172" t="n">
        <v>15.1</v>
      </c>
      <c r="L1172" t="n">
        <v>11.4</v>
      </c>
      <c r="M1172" t="n">
        <v>1.1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n">
        <v>951</v>
      </c>
      <c r="Z1172" t="inlineStr"/>
      <c r="AA1172" t="inlineStr"/>
      <c r="AB1172" t="inlineStr">
        <is>
          <t>U1171</t>
        </is>
      </c>
      <c r="AC1172" t="inlineStr">
        <is>
          <t>LA</t>
        </is>
      </c>
      <c r="AD1172" t="inlineStr"/>
      <c r="AE1172" t="n">
        <v>1.9</v>
      </c>
      <c r="AF1172" t="inlineStr"/>
      <c r="AG1172" t="inlineStr"/>
      <c r="AH1172" t="inlineStr"/>
      <c r="AI1172" t="n">
        <v>6.1</v>
      </c>
      <c r="AJ1172" t="n">
        <v>13.96</v>
      </c>
    </row>
    <row r="1173">
      <c r="A1173" t="inlineStr">
        <is>
          <t>Riga Technical University</t>
        </is>
      </c>
      <c r="B1173" t="inlineStr">
        <is>
          <t>Latvia</t>
        </is>
      </c>
      <c r="C1173" t="inlineStr">
        <is>
          <t>721-730</t>
        </is>
      </c>
      <c r="D1173" t="inlineStr"/>
      <c r="E1173" t="n">
        <v>11.5</v>
      </c>
      <c r="F1173" t="n">
        <v>26.8</v>
      </c>
      <c r="G1173" t="n">
        <v>22</v>
      </c>
      <c r="H1173" t="n">
        <v>3</v>
      </c>
      <c r="I1173" t="n">
        <v>15.7</v>
      </c>
      <c r="J1173" t="n">
        <v>72</v>
      </c>
      <c r="K1173" t="n">
        <v>29.9</v>
      </c>
      <c r="L1173" t="n">
        <v>35</v>
      </c>
      <c r="M1173" t="n">
        <v>6.8</v>
      </c>
      <c r="N1173" t="inlineStr">
        <is>
          <t>1001–1200</t>
        </is>
      </c>
      <c r="O1173" t="inlineStr">
        <is>
          <t>28.3–32.6</t>
        </is>
      </c>
      <c r="P1173" t="n">
        <v>26.4</v>
      </c>
      <c r="Q1173" t="n">
        <v>23.9</v>
      </c>
      <c r="R1173" t="n">
        <v>32</v>
      </c>
      <c r="S1173" t="n">
        <v>46.4</v>
      </c>
      <c r="T1173" t="n">
        <v>57</v>
      </c>
      <c r="U1173" t="inlineStr">
        <is>
          <t>10,830</t>
        </is>
      </c>
      <c r="V1173" t="n">
        <v>31.7</v>
      </c>
      <c r="W1173" t="inlineStr">
        <is>
          <t>22%</t>
        </is>
      </c>
      <c r="X1173" t="inlineStr">
        <is>
          <t>34 : 66</t>
        </is>
      </c>
      <c r="Y1173" t="n">
        <v>721</v>
      </c>
      <c r="Z1173" t="n">
        <v>1001</v>
      </c>
      <c r="AA1173" t="n">
        <v>30.45</v>
      </c>
      <c r="AB1173" t="inlineStr">
        <is>
          <t>U1172</t>
        </is>
      </c>
      <c r="AC1173" t="inlineStr">
        <is>
          <t>LA</t>
        </is>
      </c>
      <c r="AD1173" t="n">
        <v>30.45</v>
      </c>
      <c r="AE1173" t="n">
        <v>3</v>
      </c>
      <c r="AF1173" t="n">
        <v>31.7</v>
      </c>
      <c r="AG1173" t="inlineStr">
        <is>
          <t>1:31.7</t>
        </is>
      </c>
      <c r="AH1173" t="inlineStr">
        <is>
          <t>22%</t>
        </is>
      </c>
      <c r="AI1173" t="n">
        <v>11.5</v>
      </c>
      <c r="AJ1173" t="n">
        <v>20.61</v>
      </c>
    </row>
    <row r="1174">
      <c r="A1174" t="inlineStr">
        <is>
          <t>Rikkyo University</t>
        </is>
      </c>
      <c r="B1174" t="inlineStr">
        <is>
          <t>Japan</t>
        </is>
      </c>
      <c r="C1174" t="inlineStr">
        <is>
          <t>1201-1400</t>
        </is>
      </c>
      <c r="D1174" t="inlineStr"/>
      <c r="E1174" t="n">
        <v>4</v>
      </c>
      <c r="F1174" t="n">
        <v>9.6</v>
      </c>
      <c r="G1174" t="n">
        <v>8.199999999999999</v>
      </c>
      <c r="H1174" t="n">
        <v>2.1</v>
      </c>
      <c r="I1174" t="n">
        <v>23.7</v>
      </c>
      <c r="J1174" t="n">
        <v>5.6</v>
      </c>
      <c r="K1174" t="n">
        <v>13.7</v>
      </c>
      <c r="L1174" t="n">
        <v>5.8</v>
      </c>
      <c r="M1174" t="n">
        <v>1.2</v>
      </c>
      <c r="N1174" t="inlineStr">
        <is>
          <t>1201–1500</t>
        </is>
      </c>
      <c r="O1174" t="inlineStr">
        <is>
          <t>22.8–28.2</t>
        </is>
      </c>
      <c r="P1174" t="n">
        <v>18.6</v>
      </c>
      <c r="Q1174" t="n">
        <v>9.300000000000001</v>
      </c>
      <c r="R1174" t="n">
        <v>34</v>
      </c>
      <c r="S1174" t="n">
        <v>19.7</v>
      </c>
      <c r="T1174" t="n">
        <v>58.4</v>
      </c>
      <c r="U1174" t="inlineStr">
        <is>
          <t>19,783</t>
        </is>
      </c>
      <c r="V1174" t="n">
        <v>14.4</v>
      </c>
      <c r="W1174" t="inlineStr">
        <is>
          <t>4%</t>
        </is>
      </c>
      <c r="X1174" t="inlineStr"/>
      <c r="Y1174" t="n">
        <v>1201</v>
      </c>
      <c r="Z1174" t="n">
        <v>1201</v>
      </c>
      <c r="AA1174" t="n">
        <v>25.5</v>
      </c>
      <c r="AB1174" t="inlineStr">
        <is>
          <t>U1173</t>
        </is>
      </c>
      <c r="AC1174" t="inlineStr">
        <is>
          <t>JA</t>
        </is>
      </c>
      <c r="AD1174" t="n">
        <v>25.5</v>
      </c>
      <c r="AE1174" t="n">
        <v>2.1</v>
      </c>
      <c r="AF1174" t="n">
        <v>14.4</v>
      </c>
      <c r="AG1174" t="inlineStr">
        <is>
          <t>1:14.4</t>
        </is>
      </c>
      <c r="AH1174" t="inlineStr">
        <is>
          <t>4%</t>
        </is>
      </c>
      <c r="AI1174" t="n">
        <v>4</v>
      </c>
      <c r="AJ1174" t="n">
        <v>13.03</v>
      </c>
    </row>
    <row r="1175">
      <c r="A1175" t="inlineStr">
        <is>
          <t>Riphah International University</t>
        </is>
      </c>
      <c r="B1175" t="inlineStr">
        <is>
          <t>Pakistan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>
        <is>
          <t>1001–1200</t>
        </is>
      </c>
      <c r="O1175" t="inlineStr">
        <is>
          <t>28.3–32.6</t>
        </is>
      </c>
      <c r="P1175" t="n">
        <v>14.2</v>
      </c>
      <c r="Q1175" t="n">
        <v>9.6</v>
      </c>
      <c r="R1175" t="n">
        <v>67.09999999999999</v>
      </c>
      <c r="S1175" t="n">
        <v>16</v>
      </c>
      <c r="T1175" t="n">
        <v>48.7</v>
      </c>
      <c r="U1175" t="inlineStr">
        <is>
          <t>25,073</t>
        </is>
      </c>
      <c r="V1175" t="n">
        <v>18.4</v>
      </c>
      <c r="W1175" t="inlineStr">
        <is>
          <t>0%</t>
        </is>
      </c>
      <c r="X1175" t="inlineStr">
        <is>
          <t>51 : 49</t>
        </is>
      </c>
      <c r="Y1175" t="inlineStr"/>
      <c r="Z1175" t="n">
        <v>1001</v>
      </c>
      <c r="AA1175" t="n">
        <v>30.45</v>
      </c>
      <c r="AB1175" t="inlineStr">
        <is>
          <t>U1174</t>
        </is>
      </c>
      <c r="AC1175" t="inlineStr">
        <is>
          <t>PA</t>
        </is>
      </c>
      <c r="AD1175" t="n">
        <v>30.45</v>
      </c>
      <c r="AE1175" t="n">
        <v>67.09999999999999</v>
      </c>
      <c r="AF1175" t="n">
        <v>18.4</v>
      </c>
      <c r="AG1175" t="inlineStr">
        <is>
          <t>1:18.4</t>
        </is>
      </c>
      <c r="AH1175" t="inlineStr">
        <is>
          <t>0%</t>
        </is>
      </c>
      <c r="AI1175" t="inlineStr"/>
      <c r="AJ1175" t="n">
        <v>30.53</v>
      </c>
    </row>
    <row r="1176">
      <c r="A1176" t="inlineStr">
        <is>
          <t>Ritsumeikan Asia Pacific University</t>
        </is>
      </c>
      <c r="B1176" t="inlineStr">
        <is>
          <t>Japan</t>
        </is>
      </c>
      <c r="C1176" t="inlineStr">
        <is>
          <t>901-950</t>
        </is>
      </c>
      <c r="D1176" t="inlineStr"/>
      <c r="E1176" t="n">
        <v>6.1</v>
      </c>
      <c r="F1176" t="n">
        <v>8.300000000000001</v>
      </c>
      <c r="G1176" t="n">
        <v>2.6</v>
      </c>
      <c r="H1176" t="n">
        <v>2.5</v>
      </c>
      <c r="I1176" t="n">
        <v>99.90000000000001</v>
      </c>
      <c r="J1176" t="n">
        <v>99.40000000000001</v>
      </c>
      <c r="K1176" t="n">
        <v>3.7</v>
      </c>
      <c r="L1176" t="n">
        <v>1.9</v>
      </c>
      <c r="M1176" t="n">
        <v>1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n">
        <v>901</v>
      </c>
      <c r="Z1176" t="inlineStr"/>
      <c r="AA1176" t="inlineStr"/>
      <c r="AB1176" t="inlineStr">
        <is>
          <t>U1175</t>
        </is>
      </c>
      <c r="AC1176" t="inlineStr">
        <is>
          <t>JA</t>
        </is>
      </c>
      <c r="AD1176" t="inlineStr"/>
      <c r="AE1176" t="n">
        <v>2.5</v>
      </c>
      <c r="AF1176" t="inlineStr"/>
      <c r="AG1176" t="inlineStr"/>
      <c r="AH1176" t="inlineStr"/>
      <c r="AI1176" t="n">
        <v>6.1</v>
      </c>
      <c r="AJ1176" t="n">
        <v>14.15</v>
      </c>
    </row>
    <row r="1177">
      <c r="A1177" t="inlineStr">
        <is>
          <t>Ritsumeikan University</t>
        </is>
      </c>
      <c r="B1177" t="inlineStr">
        <is>
          <t>Japan</t>
        </is>
      </c>
      <c r="C1177" t="inlineStr">
        <is>
          <t>641-650</t>
        </is>
      </c>
      <c r="D1177" t="inlineStr"/>
      <c r="E1177" t="n">
        <v>16.6</v>
      </c>
      <c r="F1177" t="n">
        <v>55.7</v>
      </c>
      <c r="G1177" t="n">
        <v>7.8</v>
      </c>
      <c r="H1177" t="n">
        <v>3.1</v>
      </c>
      <c r="I1177" t="n">
        <v>28.4</v>
      </c>
      <c r="J1177" t="n">
        <v>9.6</v>
      </c>
      <c r="K1177" t="n">
        <v>30.9</v>
      </c>
      <c r="L1177" t="n">
        <v>3.9</v>
      </c>
      <c r="M1177" t="n">
        <v>39.5</v>
      </c>
      <c r="N1177" t="inlineStr">
        <is>
          <t>1201–1500</t>
        </is>
      </c>
      <c r="O1177" t="inlineStr">
        <is>
          <t>22.8–28.2</t>
        </is>
      </c>
      <c r="P1177" t="n">
        <v>19.8</v>
      </c>
      <c r="Q1177" t="n">
        <v>13.9</v>
      </c>
      <c r="R1177" t="n">
        <v>27.4</v>
      </c>
      <c r="S1177" t="n">
        <v>30.3</v>
      </c>
      <c r="T1177" t="n">
        <v>46.8</v>
      </c>
      <c r="U1177" t="inlineStr">
        <is>
          <t>35,119</t>
        </is>
      </c>
      <c r="V1177" t="n">
        <v>17.4</v>
      </c>
      <c r="W1177" t="inlineStr">
        <is>
          <t>10%</t>
        </is>
      </c>
      <c r="X1177" t="inlineStr">
        <is>
          <t>37 : 63</t>
        </is>
      </c>
      <c r="Y1177" t="n">
        <v>641</v>
      </c>
      <c r="Z1177" t="n">
        <v>1201</v>
      </c>
      <c r="AA1177" t="n">
        <v>25.5</v>
      </c>
      <c r="AB1177" t="inlineStr">
        <is>
          <t>U1176</t>
        </is>
      </c>
      <c r="AC1177" t="inlineStr">
        <is>
          <t>JA</t>
        </is>
      </c>
      <c r="AD1177" t="n">
        <v>25.5</v>
      </c>
      <c r="AE1177" t="n">
        <v>3.1</v>
      </c>
      <c r="AF1177" t="n">
        <v>17.4</v>
      </c>
      <c r="AG1177" t="inlineStr">
        <is>
          <t>1:17.4</t>
        </is>
      </c>
      <c r="AH1177" t="inlineStr">
        <is>
          <t>10%</t>
        </is>
      </c>
      <c r="AI1177" t="n">
        <v>16.6</v>
      </c>
      <c r="AJ1177" t="n">
        <v>12.94</v>
      </c>
    </row>
    <row r="1178">
      <c r="A1178" t="inlineStr">
        <is>
          <t>RMIT University</t>
        </is>
      </c>
      <c r="B1178" t="inlineStr">
        <is>
          <t>Australia</t>
        </is>
      </c>
      <c r="C1178" t="inlineStr">
        <is>
          <t>123</t>
        </is>
      </c>
      <c r="D1178" t="n">
        <v>55.5</v>
      </c>
      <c r="E1178" t="n">
        <v>40.4</v>
      </c>
      <c r="F1178" t="n">
        <v>48</v>
      </c>
      <c r="G1178" t="n">
        <v>5.2</v>
      </c>
      <c r="H1178" t="n">
        <v>77.7</v>
      </c>
      <c r="I1178" t="n">
        <v>100</v>
      </c>
      <c r="J1178" t="n">
        <v>91.40000000000001</v>
      </c>
      <c r="K1178" t="n">
        <v>83.2</v>
      </c>
      <c r="L1178" t="n">
        <v>38.4</v>
      </c>
      <c r="M1178" t="n">
        <v>93.90000000000001</v>
      </c>
      <c r="N1178" t="inlineStr">
        <is>
          <t>251–300</t>
        </is>
      </c>
      <c r="O1178" t="inlineStr">
        <is>
          <t>53.1–55.8</t>
        </is>
      </c>
      <c r="P1178" t="n">
        <v>35.5</v>
      </c>
      <c r="Q1178" t="n">
        <v>36.2</v>
      </c>
      <c r="R1178" t="n">
        <v>83.2</v>
      </c>
      <c r="S1178" t="n">
        <v>73.2</v>
      </c>
      <c r="T1178" t="n">
        <v>92.8</v>
      </c>
      <c r="U1178" t="inlineStr">
        <is>
          <t>32,574</t>
        </is>
      </c>
      <c r="V1178" t="n">
        <v>24</v>
      </c>
      <c r="W1178" t="inlineStr">
        <is>
          <t>34%</t>
        </is>
      </c>
      <c r="X1178" t="inlineStr">
        <is>
          <t>48 : 52</t>
        </is>
      </c>
      <c r="Y1178" t="n">
        <v>123</v>
      </c>
      <c r="Z1178" t="n">
        <v>251</v>
      </c>
      <c r="AA1178" t="n">
        <v>54.45</v>
      </c>
      <c r="AB1178" t="inlineStr">
        <is>
          <t>U1177</t>
        </is>
      </c>
      <c r="AC1178" t="inlineStr">
        <is>
          <t>AU</t>
        </is>
      </c>
      <c r="AD1178" t="n">
        <v>55.5</v>
      </c>
      <c r="AE1178" t="n">
        <v>77.7</v>
      </c>
      <c r="AF1178" t="n">
        <v>24</v>
      </c>
      <c r="AG1178" t="inlineStr">
        <is>
          <t>1:24.0</t>
        </is>
      </c>
      <c r="AH1178" t="inlineStr">
        <is>
          <t>34%</t>
        </is>
      </c>
      <c r="AI1178" t="n">
        <v>40.4</v>
      </c>
      <c r="AJ1178" t="n">
        <v>58.35</v>
      </c>
    </row>
    <row r="1179">
      <c r="A1179" t="inlineStr">
        <is>
          <t>Robert Gordon University</t>
        </is>
      </c>
      <c r="B1179" t="inlineStr">
        <is>
          <t>United Kingdom</t>
        </is>
      </c>
      <c r="C1179" t="inlineStr">
        <is>
          <t>901-950</t>
        </is>
      </c>
      <c r="D1179" t="inlineStr"/>
      <c r="E1179" t="n">
        <v>3.7</v>
      </c>
      <c r="F1179" t="n">
        <v>11.5</v>
      </c>
      <c r="G1179" t="n">
        <v>5.6</v>
      </c>
      <c r="H1179" t="n">
        <v>5.3</v>
      </c>
      <c r="I1179" t="n">
        <v>62.6</v>
      </c>
      <c r="J1179" t="n">
        <v>74.09999999999999</v>
      </c>
      <c r="K1179" t="n">
        <v>35.8</v>
      </c>
      <c r="L1179" t="n">
        <v>5.6</v>
      </c>
      <c r="M1179" t="n">
        <v>5.8</v>
      </c>
      <c r="N1179" t="inlineStr">
        <is>
          <t>801–1000</t>
        </is>
      </c>
      <c r="O1179" t="inlineStr">
        <is>
          <t>32.7–36.9</t>
        </is>
      </c>
      <c r="P1179" t="n">
        <v>17.5</v>
      </c>
      <c r="Q1179" t="n">
        <v>13.2</v>
      </c>
      <c r="R1179" t="n">
        <v>53.4</v>
      </c>
      <c r="S1179" t="n">
        <v>36</v>
      </c>
      <c r="T1179" t="n">
        <v>87.09999999999999</v>
      </c>
      <c r="U1179" t="inlineStr">
        <is>
          <t>10,095</t>
        </is>
      </c>
      <c r="V1179" t="n">
        <v>21</v>
      </c>
      <c r="W1179" t="inlineStr">
        <is>
          <t>26%</t>
        </is>
      </c>
      <c r="X1179" t="inlineStr">
        <is>
          <t>60 : 40</t>
        </is>
      </c>
      <c r="Y1179" t="n">
        <v>901</v>
      </c>
      <c r="Z1179" t="n">
        <v>801</v>
      </c>
      <c r="AA1179" t="n">
        <v>34.8</v>
      </c>
      <c r="AB1179" t="inlineStr">
        <is>
          <t>U1178</t>
        </is>
      </c>
      <c r="AC1179" t="inlineStr">
        <is>
          <t>UN</t>
        </is>
      </c>
      <c r="AD1179" t="n">
        <v>34.8</v>
      </c>
      <c r="AE1179" t="n">
        <v>5.3</v>
      </c>
      <c r="AF1179" t="n">
        <v>21</v>
      </c>
      <c r="AG1179" t="inlineStr">
        <is>
          <t>1:21.0</t>
        </is>
      </c>
      <c r="AH1179" t="inlineStr">
        <is>
          <t>26%</t>
        </is>
      </c>
      <c r="AI1179" t="n">
        <v>3.7</v>
      </c>
      <c r="AJ1179" t="n">
        <v>22.98</v>
      </c>
    </row>
    <row r="1180">
      <c r="A1180" t="inlineStr">
        <is>
          <t>Rochester Institute of Technology (RIT)</t>
        </is>
      </c>
      <c r="B1180" t="inlineStr">
        <is>
          <t>United States</t>
        </is>
      </c>
      <c r="C1180" t="inlineStr">
        <is>
          <t>1001-1200</t>
        </is>
      </c>
      <c r="D1180" t="inlineStr"/>
      <c r="E1180" t="n">
        <v>7.2</v>
      </c>
      <c r="F1180" t="n">
        <v>10.7</v>
      </c>
      <c r="G1180" t="n">
        <v>19.2</v>
      </c>
      <c r="H1180" t="n">
        <v>6.3</v>
      </c>
      <c r="I1180" t="n">
        <v>4.7</v>
      </c>
      <c r="J1180" t="n">
        <v>16.1</v>
      </c>
      <c r="K1180" t="n">
        <v>36.8</v>
      </c>
      <c r="L1180" t="n">
        <v>9</v>
      </c>
      <c r="M1180" t="n">
        <v>34.5</v>
      </c>
      <c r="N1180" t="inlineStr">
        <is>
          <t>801–1000</t>
        </is>
      </c>
      <c r="O1180" t="inlineStr">
        <is>
          <t>32.7–36.9</t>
        </is>
      </c>
      <c r="P1180" t="n">
        <v>22.9</v>
      </c>
      <c r="Q1180" t="n">
        <v>20.2</v>
      </c>
      <c r="R1180" t="n">
        <v>58.4</v>
      </c>
      <c r="S1180" t="n">
        <v>60.7</v>
      </c>
      <c r="T1180" t="n">
        <v>46.3</v>
      </c>
      <c r="U1180" t="inlineStr">
        <is>
          <t>14,249</t>
        </is>
      </c>
      <c r="V1180" t="n">
        <v>16</v>
      </c>
      <c r="W1180" t="inlineStr">
        <is>
          <t>13%</t>
        </is>
      </c>
      <c r="X1180" t="inlineStr">
        <is>
          <t>37 : 63</t>
        </is>
      </c>
      <c r="Y1180" t="n">
        <v>1001</v>
      </c>
      <c r="Z1180" t="n">
        <v>801</v>
      </c>
      <c r="AA1180" t="n">
        <v>34.8</v>
      </c>
      <c r="AB1180" t="inlineStr">
        <is>
          <t>U1179</t>
        </is>
      </c>
      <c r="AC1180" t="inlineStr">
        <is>
          <t>UN</t>
        </is>
      </c>
      <c r="AD1180" t="n">
        <v>34.8</v>
      </c>
      <c r="AE1180" t="n">
        <v>6.3</v>
      </c>
      <c r="AF1180" t="n">
        <v>16</v>
      </c>
      <c r="AG1180" t="inlineStr">
        <is>
          <t>1:16.0</t>
        </is>
      </c>
      <c r="AH1180" t="inlineStr">
        <is>
          <t>13%</t>
        </is>
      </c>
      <c r="AI1180" t="n">
        <v>7.2</v>
      </c>
      <c r="AJ1180" t="n">
        <v>17.09</v>
      </c>
    </row>
    <row r="1181">
      <c r="A1181" t="inlineStr">
        <is>
          <t>Roskilde University</t>
        </is>
      </c>
      <c r="B1181" t="inlineStr">
        <is>
          <t>Denmark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>
        <is>
          <t>601–800</t>
        </is>
      </c>
      <c r="O1181" t="inlineStr">
        <is>
          <t>37.0–41.8</t>
        </is>
      </c>
      <c r="P1181" t="n">
        <v>21.9</v>
      </c>
      <c r="Q1181" t="n">
        <v>33.4</v>
      </c>
      <c r="R1181" t="n">
        <v>55.5</v>
      </c>
      <c r="S1181" t="n">
        <v>76.09999999999999</v>
      </c>
      <c r="T1181" t="n">
        <v>54.6</v>
      </c>
      <c r="U1181" t="inlineStr">
        <is>
          <t>6,050</t>
        </is>
      </c>
      <c r="V1181" t="n">
        <v>15.8</v>
      </c>
      <c r="W1181" t="inlineStr">
        <is>
          <t>15%</t>
        </is>
      </c>
      <c r="X1181" t="inlineStr">
        <is>
          <t>65 : 35</t>
        </is>
      </c>
      <c r="Y1181" t="inlineStr"/>
      <c r="Z1181" t="n">
        <v>601</v>
      </c>
      <c r="AA1181" t="n">
        <v>39.4</v>
      </c>
      <c r="AB1181" t="inlineStr">
        <is>
          <t>U1180</t>
        </is>
      </c>
      <c r="AC1181" t="inlineStr">
        <is>
          <t>DE</t>
        </is>
      </c>
      <c r="AD1181" t="n">
        <v>39.4</v>
      </c>
      <c r="AE1181" t="n">
        <v>55.5</v>
      </c>
      <c r="AF1181" t="n">
        <v>15.8</v>
      </c>
      <c r="AG1181" t="inlineStr">
        <is>
          <t>1:15.8</t>
        </is>
      </c>
      <c r="AH1181" t="inlineStr">
        <is>
          <t>15%</t>
        </is>
      </c>
      <c r="AI1181" t="inlineStr"/>
      <c r="AJ1181" t="n">
        <v>40.92</v>
      </c>
    </row>
    <row r="1182">
      <c r="A1182" t="inlineStr">
        <is>
          <t>Rovira i Virgili University</t>
        </is>
      </c>
      <c r="B1182" t="inlineStr">
        <is>
          <t>Spain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>
        <is>
          <t>501–600</t>
        </is>
      </c>
      <c r="O1182" t="inlineStr">
        <is>
          <t>41.9–45.3</t>
        </is>
      </c>
      <c r="P1182" t="n">
        <v>27.4</v>
      </c>
      <c r="Q1182" t="n">
        <v>24.3</v>
      </c>
      <c r="R1182" t="n">
        <v>68.09999999999999</v>
      </c>
      <c r="S1182" t="n">
        <v>49.7</v>
      </c>
      <c r="T1182" t="n">
        <v>58.9</v>
      </c>
      <c r="U1182" t="inlineStr">
        <is>
          <t>13,656</t>
        </is>
      </c>
      <c r="V1182" t="n">
        <v>13.3</v>
      </c>
      <c r="W1182" t="inlineStr">
        <is>
          <t>13%</t>
        </is>
      </c>
      <c r="X1182" t="inlineStr">
        <is>
          <t>60 : 40</t>
        </is>
      </c>
      <c r="Y1182" t="inlineStr"/>
      <c r="Z1182" t="n">
        <v>501</v>
      </c>
      <c r="AA1182" t="n">
        <v>43.59999999999999</v>
      </c>
      <c r="AB1182" t="inlineStr">
        <is>
          <t>U1181</t>
        </is>
      </c>
      <c r="AC1182" t="inlineStr">
        <is>
          <t>SP</t>
        </is>
      </c>
      <c r="AD1182" t="n">
        <v>43.59999999999999</v>
      </c>
      <c r="AE1182" t="n">
        <v>68.09999999999999</v>
      </c>
      <c r="AF1182" t="n">
        <v>13.3</v>
      </c>
      <c r="AG1182" t="inlineStr">
        <is>
          <t>1:13.3</t>
        </is>
      </c>
      <c r="AH1182" t="inlineStr">
        <is>
          <t>13%</t>
        </is>
      </c>
      <c r="AI1182" t="inlineStr"/>
      <c r="AJ1182" t="n">
        <v>41.01</v>
      </c>
    </row>
    <row r="1183">
      <c r="A1183" t="inlineStr">
        <is>
          <t>Rowan University</t>
        </is>
      </c>
      <c r="B1183" t="inlineStr">
        <is>
          <t>United States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>
        <is>
          <t>1001–1200</t>
        </is>
      </c>
      <c r="O1183" t="inlineStr">
        <is>
          <t>28.3–32.6</t>
        </is>
      </c>
      <c r="P1183" t="n">
        <v>26.6</v>
      </c>
      <c r="Q1183" t="n">
        <v>12.4</v>
      </c>
      <c r="R1183" t="n">
        <v>45.9</v>
      </c>
      <c r="S1183" t="n">
        <v>30.8</v>
      </c>
      <c r="T1183" t="n">
        <v>39</v>
      </c>
      <c r="U1183" t="inlineStr">
        <is>
          <t>17,693</t>
        </is>
      </c>
      <c r="V1183" t="n">
        <v>14.5</v>
      </c>
      <c r="W1183" t="inlineStr">
        <is>
          <t>3%</t>
        </is>
      </c>
      <c r="X1183" t="inlineStr">
        <is>
          <t>49 : 51</t>
        </is>
      </c>
      <c r="Y1183" t="inlineStr"/>
      <c r="Z1183" t="n">
        <v>1001</v>
      </c>
      <c r="AA1183" t="n">
        <v>30.45</v>
      </c>
      <c r="AB1183" t="inlineStr">
        <is>
          <t>U1182</t>
        </is>
      </c>
      <c r="AC1183" t="inlineStr">
        <is>
          <t>UN</t>
        </is>
      </c>
      <c r="AD1183" t="n">
        <v>30.45</v>
      </c>
      <c r="AE1183" t="n">
        <v>45.9</v>
      </c>
      <c r="AF1183" t="n">
        <v>14.5</v>
      </c>
      <c r="AG1183" t="inlineStr">
        <is>
          <t>1:14.5</t>
        </is>
      </c>
      <c r="AH1183" t="inlineStr">
        <is>
          <t>3%</t>
        </is>
      </c>
      <c r="AI1183" t="inlineStr"/>
      <c r="AJ1183" t="n">
        <v>23.23</v>
      </c>
    </row>
    <row r="1184">
      <c r="A1184" t="inlineStr">
        <is>
          <t>Royal Holloway University of London</t>
        </is>
      </c>
      <c r="B1184" t="inlineStr">
        <is>
          <t>United Kingdom</t>
        </is>
      </c>
      <c r="C1184" t="inlineStr">
        <is>
          <t>477</t>
        </is>
      </c>
      <c r="D1184" t="n">
        <v>25.1</v>
      </c>
      <c r="E1184" t="n">
        <v>14.9</v>
      </c>
      <c r="F1184" t="n">
        <v>5.7</v>
      </c>
      <c r="G1184" t="n">
        <v>13</v>
      </c>
      <c r="H1184" t="n">
        <v>27.2</v>
      </c>
      <c r="I1184" t="n">
        <v>94.09999999999999</v>
      </c>
      <c r="J1184" t="n">
        <v>86.90000000000001</v>
      </c>
      <c r="K1184" t="n">
        <v>73.2</v>
      </c>
      <c r="L1184" t="n">
        <v>7.2</v>
      </c>
      <c r="M1184" t="n">
        <v>19.7</v>
      </c>
      <c r="N1184" t="inlineStr">
        <is>
          <t>301–350</t>
        </is>
      </c>
      <c r="O1184" t="inlineStr">
        <is>
          <t>51.1–53.0</t>
        </is>
      </c>
      <c r="P1184" t="n">
        <v>31.6</v>
      </c>
      <c r="Q1184" t="n">
        <v>29.3</v>
      </c>
      <c r="R1184" t="n">
        <v>79</v>
      </c>
      <c r="S1184" t="n">
        <v>63.3</v>
      </c>
      <c r="T1184" t="n">
        <v>94.59999999999999</v>
      </c>
      <c r="U1184" t="inlineStr">
        <is>
          <t>11,290</t>
        </is>
      </c>
      <c r="V1184" t="n">
        <v>16.1</v>
      </c>
      <c r="W1184" t="inlineStr">
        <is>
          <t>31%</t>
        </is>
      </c>
      <c r="X1184" t="inlineStr">
        <is>
          <t>55 : 45</t>
        </is>
      </c>
      <c r="Y1184" t="n">
        <v>477</v>
      </c>
      <c r="Z1184" t="n">
        <v>301</v>
      </c>
      <c r="AA1184" t="n">
        <v>52.05</v>
      </c>
      <c r="AB1184" t="inlineStr">
        <is>
          <t>U1183</t>
        </is>
      </c>
      <c r="AC1184" t="inlineStr">
        <is>
          <t>UN</t>
        </is>
      </c>
      <c r="AD1184" t="n">
        <v>25.1</v>
      </c>
      <c r="AE1184" t="n">
        <v>27.2</v>
      </c>
      <c r="AF1184" t="n">
        <v>16.1</v>
      </c>
      <c r="AG1184" t="inlineStr">
        <is>
          <t>1:16.1</t>
        </is>
      </c>
      <c r="AH1184" t="inlineStr">
        <is>
          <t>31%</t>
        </is>
      </c>
      <c r="AI1184" t="n">
        <v>14.9</v>
      </c>
      <c r="AJ1184" t="n">
        <v>39.87</v>
      </c>
    </row>
    <row r="1185">
      <c r="A1185" t="inlineStr">
        <is>
          <t>Royal Veterinary College</t>
        </is>
      </c>
      <c r="B1185" t="inlineStr">
        <is>
          <t>United Kingdom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>
        <is>
          <t>401–500</t>
        </is>
      </c>
      <c r="O1185" t="inlineStr">
        <is>
          <t>45.4–49.0</t>
        </is>
      </c>
      <c r="P1185" t="n">
        <v>30</v>
      </c>
      <c r="Q1185" t="n">
        <v>20.7</v>
      </c>
      <c r="R1185" t="n">
        <v>75.59999999999999</v>
      </c>
      <c r="S1185" t="n">
        <v>61.1</v>
      </c>
      <c r="T1185" t="n">
        <v>95.09999999999999</v>
      </c>
      <c r="U1185" t="inlineStr">
        <is>
          <t>2,275</t>
        </is>
      </c>
      <c r="V1185" t="n">
        <v>10.3</v>
      </c>
      <c r="W1185" t="inlineStr">
        <is>
          <t>32%</t>
        </is>
      </c>
      <c r="X1185" t="inlineStr">
        <is>
          <t>80 : 20</t>
        </is>
      </c>
      <c r="Y1185" t="inlineStr"/>
      <c r="Z1185" t="n">
        <v>401</v>
      </c>
      <c r="AA1185" t="n">
        <v>47.2</v>
      </c>
      <c r="AB1185" t="inlineStr">
        <is>
          <t>U1184</t>
        </is>
      </c>
      <c r="AC1185" t="inlineStr">
        <is>
          <t>UN</t>
        </is>
      </c>
      <c r="AD1185" t="n">
        <v>47.2</v>
      </c>
      <c r="AE1185" t="n">
        <v>75.59999999999999</v>
      </c>
      <c r="AF1185" t="n">
        <v>10.3</v>
      </c>
      <c r="AG1185" t="inlineStr">
        <is>
          <t>1:10.3</t>
        </is>
      </c>
      <c r="AH1185" t="inlineStr">
        <is>
          <t>32%</t>
        </is>
      </c>
      <c r="AI1185" t="inlineStr"/>
      <c r="AJ1185" t="n">
        <v>50.15</v>
      </c>
    </row>
    <row r="1186">
      <c r="A1186" t="inlineStr">
        <is>
          <t>RUDN University</t>
        </is>
      </c>
      <c r="B1186" t="inlineStr">
        <is>
          <t>Russian Federation</t>
        </is>
      </c>
      <c r="C1186" t="inlineStr">
        <is>
          <t>316</t>
        </is>
      </c>
      <c r="D1186" t="n">
        <v>34.7</v>
      </c>
      <c r="E1186" t="n">
        <v>24.4</v>
      </c>
      <c r="F1186" t="n">
        <v>48.7</v>
      </c>
      <c r="G1186" t="n">
        <v>92</v>
      </c>
      <c r="H1186" t="n">
        <v>2.1</v>
      </c>
      <c r="I1186" t="n">
        <v>8</v>
      </c>
      <c r="J1186" t="n">
        <v>92.2</v>
      </c>
      <c r="K1186" t="n">
        <v>89.7</v>
      </c>
      <c r="L1186" t="n">
        <v>10</v>
      </c>
      <c r="M1186" t="n">
        <v>24</v>
      </c>
      <c r="N1186" t="inlineStr">
        <is>
          <t>601–800</t>
        </is>
      </c>
      <c r="O1186" t="inlineStr">
        <is>
          <t>37.0–41.8</t>
        </is>
      </c>
      <c r="P1186" t="n">
        <v>39.1</v>
      </c>
      <c r="Q1186" t="n">
        <v>23</v>
      </c>
      <c r="R1186" t="n">
        <v>46.1</v>
      </c>
      <c r="S1186" t="n">
        <v>21</v>
      </c>
      <c r="T1186" t="n">
        <v>70.40000000000001</v>
      </c>
      <c r="U1186" t="inlineStr">
        <is>
          <t>22,866</t>
        </is>
      </c>
      <c r="V1186" t="n">
        <v>15.6</v>
      </c>
      <c r="W1186" t="inlineStr">
        <is>
          <t>32%</t>
        </is>
      </c>
      <c r="X1186" t="inlineStr">
        <is>
          <t>59 : 41</t>
        </is>
      </c>
      <c r="Y1186" t="n">
        <v>316</v>
      </c>
      <c r="Z1186" t="n">
        <v>601</v>
      </c>
      <c r="AA1186" t="n">
        <v>39.4</v>
      </c>
      <c r="AB1186" t="inlineStr">
        <is>
          <t>U1185</t>
        </is>
      </c>
      <c r="AC1186" t="inlineStr">
        <is>
          <t>RU</t>
        </is>
      </c>
      <c r="AD1186" t="n">
        <v>34.7</v>
      </c>
      <c r="AE1186" t="n">
        <v>2.1</v>
      </c>
      <c r="AF1186" t="n">
        <v>15.6</v>
      </c>
      <c r="AG1186" t="inlineStr">
        <is>
          <t>1:15.6</t>
        </is>
      </c>
      <c r="AH1186" t="inlineStr">
        <is>
          <t>32%</t>
        </is>
      </c>
      <c r="AI1186" t="n">
        <v>24.4</v>
      </c>
      <c r="AJ1186" t="n">
        <v>23.11</v>
      </c>
    </row>
    <row r="1187">
      <c r="A1187" t="inlineStr">
        <is>
          <t>Ruhr-Universität Bochum</t>
        </is>
      </c>
      <c r="B1187" t="inlineStr">
        <is>
          <t>Germany</t>
        </is>
      </c>
      <c r="C1187" t="inlineStr">
        <is>
          <t>396</t>
        </is>
      </c>
      <c r="D1187" t="n">
        <v>29.7</v>
      </c>
      <c r="E1187" t="n">
        <v>20.3</v>
      </c>
      <c r="F1187" t="n">
        <v>8.800000000000001</v>
      </c>
      <c r="G1187" t="n">
        <v>2.5</v>
      </c>
      <c r="H1187" t="n">
        <v>53.4</v>
      </c>
      <c r="I1187" t="n">
        <v>48.8</v>
      </c>
      <c r="J1187" t="n">
        <v>39.3</v>
      </c>
      <c r="K1187" t="n">
        <v>87.3</v>
      </c>
      <c r="L1187" t="n">
        <v>16.2</v>
      </c>
      <c r="M1187" t="n">
        <v>53.5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n">
        <v>396</v>
      </c>
      <c r="Z1187" t="inlineStr"/>
      <c r="AA1187" t="inlineStr"/>
      <c r="AB1187" t="inlineStr">
        <is>
          <t>U1186</t>
        </is>
      </c>
      <c r="AC1187" t="inlineStr">
        <is>
          <t>GE</t>
        </is>
      </c>
      <c r="AD1187" t="n">
        <v>29.7</v>
      </c>
      <c r="AE1187" t="n">
        <v>53.4</v>
      </c>
      <c r="AF1187" t="inlineStr"/>
      <c r="AG1187" t="inlineStr"/>
      <c r="AH1187" t="inlineStr"/>
      <c r="AI1187" t="n">
        <v>20.3</v>
      </c>
      <c r="AJ1187" t="n">
        <v>29.57</v>
      </c>
    </row>
    <row r="1188">
      <c r="A1188" t="inlineStr">
        <is>
          <t>Ruhr University Bochum</t>
        </is>
      </c>
      <c r="B1188" t="inlineStr">
        <is>
          <t>Germany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>
        <is>
          <t>251–300</t>
        </is>
      </c>
      <c r="O1188" t="inlineStr">
        <is>
          <t>53.1–55.8</t>
        </is>
      </c>
      <c r="P1188" t="n">
        <v>39.8</v>
      </c>
      <c r="Q1188" t="n">
        <v>46.7</v>
      </c>
      <c r="R1188" t="n">
        <v>72.2</v>
      </c>
      <c r="S1188" t="n">
        <v>85.90000000000001</v>
      </c>
      <c r="T1188" t="n">
        <v>60</v>
      </c>
      <c r="U1188" t="inlineStr">
        <is>
          <t>37,709</t>
        </is>
      </c>
      <c r="V1188" t="n">
        <v>46.7</v>
      </c>
      <c r="W1188" t="inlineStr">
        <is>
          <t>16%</t>
        </is>
      </c>
      <c r="X1188" t="inlineStr">
        <is>
          <t>50 : 50</t>
        </is>
      </c>
      <c r="Y1188" t="inlineStr"/>
      <c r="Z1188" t="n">
        <v>251</v>
      </c>
      <c r="AA1188" t="n">
        <v>54.45</v>
      </c>
      <c r="AB1188" t="inlineStr">
        <is>
          <t>U1187</t>
        </is>
      </c>
      <c r="AC1188" t="inlineStr">
        <is>
          <t>GE</t>
        </is>
      </c>
      <c r="AD1188" t="n">
        <v>54.45</v>
      </c>
      <c r="AE1188" t="n">
        <v>72.2</v>
      </c>
      <c r="AF1188" t="n">
        <v>46.7</v>
      </c>
      <c r="AG1188" t="inlineStr">
        <is>
          <t>1:46.7</t>
        </is>
      </c>
      <c r="AH1188" t="inlineStr">
        <is>
          <t>16%</t>
        </is>
      </c>
      <c r="AI1188" t="inlineStr"/>
      <c r="AJ1188" t="n">
        <v>54.26</v>
      </c>
    </row>
    <row r="1189">
      <c r="A1189" t="inlineStr">
        <is>
          <t>Ruprecht-Karls-Universität Heidelberg</t>
        </is>
      </c>
      <c r="B1189" t="inlineStr">
        <is>
          <t>Germany</t>
        </is>
      </c>
      <c r="C1189" t="inlineStr">
        <is>
          <t>84</t>
        </is>
      </c>
      <c r="D1189" t="n">
        <v>63.7</v>
      </c>
      <c r="E1189" t="n">
        <v>76.90000000000001</v>
      </c>
      <c r="F1189" t="n">
        <v>59.4</v>
      </c>
      <c r="G1189" t="n">
        <v>99.40000000000001</v>
      </c>
      <c r="H1189" t="n">
        <v>32.7</v>
      </c>
      <c r="I1189" t="n">
        <v>54.2</v>
      </c>
      <c r="J1189" t="n">
        <v>53.6</v>
      </c>
      <c r="K1189" t="n">
        <v>94.5</v>
      </c>
      <c r="L1189" t="n">
        <v>25.2</v>
      </c>
      <c r="M1189" t="n">
        <v>77.59999999999999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n">
        <v>84</v>
      </c>
      <c r="Z1189" t="inlineStr"/>
      <c r="AA1189" t="inlineStr"/>
      <c r="AB1189" t="inlineStr">
        <is>
          <t>U1188</t>
        </is>
      </c>
      <c r="AC1189" t="inlineStr">
        <is>
          <t>GE</t>
        </is>
      </c>
      <c r="AD1189" t="n">
        <v>63.7</v>
      </c>
      <c r="AE1189" t="n">
        <v>32.7</v>
      </c>
      <c r="AF1189" t="inlineStr"/>
      <c r="AG1189" t="inlineStr"/>
      <c r="AH1189" t="inlineStr"/>
      <c r="AI1189" t="n">
        <v>76.90000000000001</v>
      </c>
      <c r="AJ1189" t="n">
        <v>23.3</v>
      </c>
    </row>
    <row r="1190">
      <c r="A1190" t="inlineStr">
        <is>
          <t>Rush University</t>
        </is>
      </c>
      <c r="B1190" t="inlineStr">
        <is>
          <t>United States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>
        <is>
          <t>501–600</t>
        </is>
      </c>
      <c r="O1190" t="inlineStr">
        <is>
          <t>41.9–45.3</t>
        </is>
      </c>
      <c r="P1190" t="n">
        <v>41.3</v>
      </c>
      <c r="Q1190" t="n">
        <v>14.2</v>
      </c>
      <c r="R1190" t="n">
        <v>78</v>
      </c>
      <c r="S1190" t="n">
        <v>56</v>
      </c>
      <c r="T1190" t="n">
        <v>28.9</v>
      </c>
      <c r="U1190" t="inlineStr">
        <is>
          <t>2,848</t>
        </is>
      </c>
      <c r="V1190" t="n">
        <v>2.1</v>
      </c>
      <c r="W1190" t="inlineStr">
        <is>
          <t>1%</t>
        </is>
      </c>
      <c r="X1190" t="inlineStr">
        <is>
          <t>76 : 24</t>
        </is>
      </c>
      <c r="Y1190" t="inlineStr"/>
      <c r="Z1190" t="n">
        <v>501</v>
      </c>
      <c r="AA1190" t="n">
        <v>43.59999999999999</v>
      </c>
      <c r="AB1190" t="inlineStr">
        <is>
          <t>U1189</t>
        </is>
      </c>
      <c r="AC1190" t="inlineStr">
        <is>
          <t>UN</t>
        </is>
      </c>
      <c r="AD1190" t="n">
        <v>43.59999999999999</v>
      </c>
      <c r="AE1190" t="n">
        <v>78</v>
      </c>
      <c r="AF1190" t="n">
        <v>2.1</v>
      </c>
      <c r="AG1190" t="inlineStr">
        <is>
          <t>1:2.1</t>
        </is>
      </c>
      <c r="AH1190" t="inlineStr">
        <is>
          <t>1%</t>
        </is>
      </c>
      <c r="AI1190" t="inlineStr"/>
      <c r="AJ1190" t="n">
        <v>31.46</v>
      </c>
    </row>
    <row r="1191">
      <c r="A1191" t="inlineStr">
        <is>
          <t>Russian Presidential Academy of National Economy and Public Administration</t>
        </is>
      </c>
      <c r="B1191" t="inlineStr">
        <is>
          <t>Russian Federation</t>
        </is>
      </c>
      <c r="C1191" t="inlineStr">
        <is>
          <t>1001-1200</t>
        </is>
      </c>
      <c r="D1191" t="inlineStr"/>
      <c r="E1191" t="n">
        <v>4.9</v>
      </c>
      <c r="F1191" t="n">
        <v>7.6</v>
      </c>
      <c r="G1191" t="n">
        <v>47.8</v>
      </c>
      <c r="H1191" t="n">
        <v>1.1</v>
      </c>
      <c r="I1191" t="n">
        <v>1.8</v>
      </c>
      <c r="J1191" t="n">
        <v>2.8</v>
      </c>
      <c r="K1191" t="n">
        <v>17.7</v>
      </c>
      <c r="L1191" t="n">
        <v>41.8</v>
      </c>
      <c r="M1191" t="n">
        <v>1</v>
      </c>
      <c r="N1191" t="inlineStr">
        <is>
          <t>1501+</t>
        </is>
      </c>
      <c r="O1191" t="inlineStr">
        <is>
          <t>9.7–22.7</t>
        </is>
      </c>
      <c r="P1191" t="n">
        <v>26.8</v>
      </c>
      <c r="Q1191" t="n">
        <v>17.1</v>
      </c>
      <c r="R1191" t="n">
        <v>18.1</v>
      </c>
      <c r="S1191" t="n">
        <v>19.4</v>
      </c>
      <c r="T1191" t="n">
        <v>23.2</v>
      </c>
      <c r="U1191" t="inlineStr">
        <is>
          <t>18,646</t>
        </is>
      </c>
      <c r="V1191" t="n">
        <v>10.4</v>
      </c>
      <c r="W1191" t="inlineStr">
        <is>
          <t>4%</t>
        </is>
      </c>
      <c r="X1191" t="inlineStr">
        <is>
          <t>63 : 37</t>
        </is>
      </c>
      <c r="Y1191" t="n">
        <v>1001</v>
      </c>
      <c r="Z1191" t="n">
        <v>1501</v>
      </c>
      <c r="AA1191" t="n">
        <v>16.2</v>
      </c>
      <c r="AB1191" t="inlineStr">
        <is>
          <t>U1190</t>
        </is>
      </c>
      <c r="AC1191" t="inlineStr">
        <is>
          <t>RU</t>
        </is>
      </c>
      <c r="AD1191" t="n">
        <v>16.2</v>
      </c>
      <c r="AE1191" t="n">
        <v>1.1</v>
      </c>
      <c r="AF1191" t="n">
        <v>10.4</v>
      </c>
      <c r="AG1191" t="inlineStr">
        <is>
          <t>1:10.4</t>
        </is>
      </c>
      <c r="AH1191" t="inlineStr">
        <is>
          <t>4%</t>
        </is>
      </c>
      <c r="AI1191" t="n">
        <v>4.9</v>
      </c>
      <c r="AJ1191" t="n">
        <v>8.300000000000001</v>
      </c>
    </row>
    <row r="1192">
      <c r="A1192" t="inlineStr">
        <is>
          <t>Russian State Agrarian University - Moscow Timiryazev Agricultural Academy</t>
        </is>
      </c>
      <c r="B1192" t="inlineStr">
        <is>
          <t>Russian Federation</t>
        </is>
      </c>
      <c r="C1192" t="inlineStr">
        <is>
          <t>1401+</t>
        </is>
      </c>
      <c r="D1192" t="inlineStr"/>
      <c r="E1192" t="n">
        <v>7</v>
      </c>
      <c r="F1192" t="n">
        <v>4.1</v>
      </c>
      <c r="G1192" t="n">
        <v>6.4</v>
      </c>
      <c r="H1192" t="n">
        <v>1.3</v>
      </c>
      <c r="I1192" t="n">
        <v>1.9</v>
      </c>
      <c r="J1192" t="n">
        <v>4.4</v>
      </c>
      <c r="K1192" t="n">
        <v>9</v>
      </c>
      <c r="L1192" t="n">
        <v>5.6</v>
      </c>
      <c r="M1192" t="n">
        <v>1.2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n">
        <v>1401</v>
      </c>
      <c r="Z1192" t="inlineStr"/>
      <c r="AA1192" t="inlineStr"/>
      <c r="AB1192" t="inlineStr">
        <is>
          <t>U1191</t>
        </is>
      </c>
      <c r="AC1192" t="inlineStr">
        <is>
          <t>RU</t>
        </is>
      </c>
      <c r="AD1192" t="inlineStr"/>
      <c r="AE1192" t="n">
        <v>1.3</v>
      </c>
      <c r="AF1192" t="inlineStr"/>
      <c r="AG1192" t="inlineStr"/>
      <c r="AH1192" t="inlineStr"/>
      <c r="AI1192" t="n">
        <v>7</v>
      </c>
      <c r="AJ1192" t="n">
        <v>13.78</v>
      </c>
    </row>
    <row r="1193">
      <c r="A1193" t="inlineStr">
        <is>
          <t xml:space="preserve">Russian State University for the Humanities </t>
        </is>
      </c>
      <c r="B1193" t="inlineStr">
        <is>
          <t>Russian Federation</t>
        </is>
      </c>
      <c r="C1193" t="inlineStr">
        <is>
          <t>1401+</t>
        </is>
      </c>
      <c r="D1193" t="inlineStr"/>
      <c r="E1193" t="n">
        <v>5.1</v>
      </c>
      <c r="F1193" t="n">
        <v>2.6</v>
      </c>
      <c r="G1193" t="n">
        <v>14.2</v>
      </c>
      <c r="H1193" t="n">
        <v>1.2</v>
      </c>
      <c r="I1193" t="n">
        <v>1.8</v>
      </c>
      <c r="J1193" t="n">
        <v>4</v>
      </c>
      <c r="K1193" t="n">
        <v>7.5</v>
      </c>
      <c r="L1193" t="n">
        <v>3.3</v>
      </c>
      <c r="M1193" t="n">
        <v>1</v>
      </c>
      <c r="N1193" t="inlineStr">
        <is>
          <t>1501+</t>
        </is>
      </c>
      <c r="O1193" t="inlineStr">
        <is>
          <t>9.7–22.7</t>
        </is>
      </c>
      <c r="P1193" t="n">
        <v>13.5</v>
      </c>
      <c r="Q1193" t="n">
        <v>13.4</v>
      </c>
      <c r="R1193" t="n">
        <v>16.8</v>
      </c>
      <c r="S1193" t="n">
        <v>15.7</v>
      </c>
      <c r="T1193" t="n">
        <v>22.1</v>
      </c>
      <c r="U1193" t="inlineStr">
        <is>
          <t>16,679</t>
        </is>
      </c>
      <c r="V1193" t="n">
        <v>22.1</v>
      </c>
      <c r="W1193" t="inlineStr">
        <is>
          <t>4%</t>
        </is>
      </c>
      <c r="X1193" t="inlineStr">
        <is>
          <t>69 : 31</t>
        </is>
      </c>
      <c r="Y1193" t="n">
        <v>1401</v>
      </c>
      <c r="Z1193" t="n">
        <v>1501</v>
      </c>
      <c r="AA1193" t="n">
        <v>16.2</v>
      </c>
      <c r="AB1193" t="inlineStr">
        <is>
          <t>U1192</t>
        </is>
      </c>
      <c r="AC1193" t="inlineStr">
        <is>
          <t>RU</t>
        </is>
      </c>
      <c r="AD1193" t="n">
        <v>16.2</v>
      </c>
      <c r="AE1193" t="n">
        <v>1.2</v>
      </c>
      <c r="AF1193" t="n">
        <v>22.1</v>
      </c>
      <c r="AG1193" t="inlineStr">
        <is>
          <t>1:22.1</t>
        </is>
      </c>
      <c r="AH1193" t="inlineStr">
        <is>
          <t>4%</t>
        </is>
      </c>
      <c r="AI1193" t="n">
        <v>5.1</v>
      </c>
      <c r="AJ1193" t="n">
        <v>6.12</v>
      </c>
    </row>
    <row r="1194">
      <c r="A1194" t="inlineStr">
        <is>
          <t>Rutgers University–New Brunswick</t>
        </is>
      </c>
      <c r="B1194" t="inlineStr">
        <is>
          <t>United States</t>
        </is>
      </c>
      <c r="C1194" t="inlineStr">
        <is>
          <t>328</t>
        </is>
      </c>
      <c r="D1194" t="n">
        <v>33.8</v>
      </c>
      <c r="E1194" t="n">
        <v>36.2</v>
      </c>
      <c r="F1194" t="n">
        <v>28.1</v>
      </c>
      <c r="G1194" t="n">
        <v>46.3</v>
      </c>
      <c r="H1194" t="n">
        <v>12.8</v>
      </c>
      <c r="I1194" t="n">
        <v>18</v>
      </c>
      <c r="J1194" t="n">
        <v>28.2</v>
      </c>
      <c r="K1194" t="n">
        <v>78</v>
      </c>
      <c r="L1194" t="n">
        <v>25.7</v>
      </c>
      <c r="M1194" t="n">
        <v>95.40000000000001</v>
      </c>
      <c r="N1194" t="inlineStr">
        <is>
          <t>201–250</t>
        </is>
      </c>
      <c r="O1194" t="inlineStr">
        <is>
          <t>55.9–58.6</t>
        </is>
      </c>
      <c r="P1194" t="n">
        <v>46.4</v>
      </c>
      <c r="Q1194" t="n">
        <v>37.2</v>
      </c>
      <c r="R1194" t="n">
        <v>78.40000000000001</v>
      </c>
      <c r="S1194" t="n">
        <v>80.09999999999999</v>
      </c>
      <c r="T1194" t="n">
        <v>63.7</v>
      </c>
      <c r="U1194" t="inlineStr">
        <is>
          <t>46,256</t>
        </is>
      </c>
      <c r="V1194" t="n">
        <v>11.2</v>
      </c>
      <c r="W1194" t="inlineStr">
        <is>
          <t>17%</t>
        </is>
      </c>
      <c r="X1194" t="inlineStr">
        <is>
          <t>53 : 47</t>
        </is>
      </c>
      <c r="Y1194" t="n">
        <v>328</v>
      </c>
      <c r="Z1194" t="n">
        <v>201</v>
      </c>
      <c r="AA1194" t="n">
        <v>57.25</v>
      </c>
      <c r="AB1194" t="inlineStr">
        <is>
          <t>U1193</t>
        </is>
      </c>
      <c r="AC1194" t="inlineStr">
        <is>
          <t>UN</t>
        </is>
      </c>
      <c r="AD1194" t="n">
        <v>33.8</v>
      </c>
      <c r="AE1194" t="n">
        <v>12.8</v>
      </c>
      <c r="AF1194" t="n">
        <v>11.2</v>
      </c>
      <c r="AG1194" t="inlineStr">
        <is>
          <t>1:11.2</t>
        </is>
      </c>
      <c r="AH1194" t="inlineStr">
        <is>
          <t>17%</t>
        </is>
      </c>
      <c r="AI1194" t="n">
        <v>36.2</v>
      </c>
      <c r="AJ1194" t="n">
        <v>32.17</v>
      </c>
    </row>
    <row r="1195">
      <c r="A1195" t="inlineStr">
        <is>
          <t>Rutgers University–Newark</t>
        </is>
      </c>
      <c r="B1195" t="inlineStr">
        <is>
          <t>United States</t>
        </is>
      </c>
      <c r="C1195" t="inlineStr">
        <is>
          <t>801-850</t>
        </is>
      </c>
      <c r="D1195" t="inlineStr"/>
      <c r="E1195" t="n">
        <v>10.1</v>
      </c>
      <c r="F1195" t="n">
        <v>4.9</v>
      </c>
      <c r="G1195" t="n">
        <v>17.5</v>
      </c>
      <c r="H1195" t="n">
        <v>17.6</v>
      </c>
      <c r="I1195" t="n">
        <v>25.3</v>
      </c>
      <c r="J1195" t="n">
        <v>32.7</v>
      </c>
      <c r="K1195" t="n">
        <v>27.9</v>
      </c>
      <c r="L1195" t="n">
        <v>36.9</v>
      </c>
      <c r="M1195" t="n">
        <v>29.3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n">
        <v>801</v>
      </c>
      <c r="Z1195" t="inlineStr"/>
      <c r="AA1195" t="inlineStr"/>
      <c r="AB1195" t="inlineStr">
        <is>
          <t>U1194</t>
        </is>
      </c>
      <c r="AC1195" t="inlineStr">
        <is>
          <t>UN</t>
        </is>
      </c>
      <c r="AD1195" t="inlineStr"/>
      <c r="AE1195" t="n">
        <v>17.6</v>
      </c>
      <c r="AF1195" t="inlineStr"/>
      <c r="AG1195" t="inlineStr"/>
      <c r="AH1195" t="inlineStr"/>
      <c r="AI1195" t="n">
        <v>10.1</v>
      </c>
      <c r="AJ1195" t="n">
        <v>18.72</v>
      </c>
    </row>
    <row r="1196">
      <c r="A1196" t="inlineStr">
        <is>
          <t>RWTH Aachen University</t>
        </is>
      </c>
      <c r="B1196" t="inlineStr">
        <is>
          <t>Germany</t>
        </is>
      </c>
      <c r="C1196" t="inlineStr">
        <is>
          <t>99</t>
        </is>
      </c>
      <c r="D1196" t="n">
        <v>59.9</v>
      </c>
      <c r="E1196" t="n">
        <v>46.6</v>
      </c>
      <c r="F1196" t="n">
        <v>93.7</v>
      </c>
      <c r="G1196" t="n">
        <v>6.3</v>
      </c>
      <c r="H1196" t="n">
        <v>71.90000000000001</v>
      </c>
      <c r="I1196" t="n">
        <v>48.6</v>
      </c>
      <c r="J1196" t="n">
        <v>85.5</v>
      </c>
      <c r="K1196" t="n">
        <v>86.09999999999999</v>
      </c>
      <c r="L1196" t="n">
        <v>33.4</v>
      </c>
      <c r="M1196" t="n">
        <v>84.8</v>
      </c>
      <c r="N1196" t="inlineStr">
        <is>
          <t>90</t>
        </is>
      </c>
      <c r="O1196" t="inlineStr">
        <is>
          <t>68.0</t>
        </is>
      </c>
      <c r="P1196" t="n">
        <v>54.9</v>
      </c>
      <c r="Q1196" t="n">
        <v>64.8</v>
      </c>
      <c r="R1196" t="n">
        <v>78.90000000000001</v>
      </c>
      <c r="S1196" t="n">
        <v>100</v>
      </c>
      <c r="T1196" t="n">
        <v>71.2</v>
      </c>
      <c r="U1196" t="inlineStr">
        <is>
          <t>34,914</t>
        </is>
      </c>
      <c r="V1196" t="n">
        <v>43.3</v>
      </c>
      <c r="W1196" t="inlineStr">
        <is>
          <t>29%</t>
        </is>
      </c>
      <c r="X1196" t="inlineStr">
        <is>
          <t>34 : 66</t>
        </is>
      </c>
      <c r="Y1196" t="n">
        <v>99</v>
      </c>
      <c r="Z1196" t="n">
        <v>90</v>
      </c>
      <c r="AA1196" t="n">
        <v>68</v>
      </c>
      <c r="AB1196" t="inlineStr">
        <is>
          <t>U1195</t>
        </is>
      </c>
      <c r="AC1196" t="inlineStr">
        <is>
          <t>GE</t>
        </is>
      </c>
      <c r="AD1196" t="n">
        <v>59.9</v>
      </c>
      <c r="AE1196" t="n">
        <v>71.90000000000001</v>
      </c>
      <c r="AF1196" t="n">
        <v>43.3</v>
      </c>
      <c r="AG1196" t="inlineStr">
        <is>
          <t>1:43.3</t>
        </is>
      </c>
      <c r="AH1196" t="inlineStr">
        <is>
          <t>29%</t>
        </is>
      </c>
      <c r="AI1196" t="n">
        <v>46.6</v>
      </c>
      <c r="AJ1196" t="n">
        <v>66.36</v>
      </c>
    </row>
    <row r="1197">
      <c r="A1197" t="inlineStr">
        <is>
          <t>Ryukoku University</t>
        </is>
      </c>
      <c r="B1197" t="inlineStr">
        <is>
          <t>Japan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>
        <is>
          <t>1501+</t>
        </is>
      </c>
      <c r="O1197" t="inlineStr">
        <is>
          <t>9.7–22.7</t>
        </is>
      </c>
      <c r="P1197" t="n">
        <v>15.5</v>
      </c>
      <c r="Q1197" t="n">
        <v>10.6</v>
      </c>
      <c r="R1197" t="n">
        <v>12</v>
      </c>
      <c r="S1197" t="n">
        <v>23.2</v>
      </c>
      <c r="T1197" t="n">
        <v>31.2</v>
      </c>
      <c r="U1197" t="inlineStr">
        <is>
          <t>15,818</t>
        </is>
      </c>
      <c r="V1197" t="n">
        <v>27.7</v>
      </c>
      <c r="W1197" t="inlineStr">
        <is>
          <t>2%</t>
        </is>
      </c>
      <c r="X1197" t="inlineStr">
        <is>
          <t>36 : 64</t>
        </is>
      </c>
      <c r="Y1197" t="inlineStr"/>
      <c r="Z1197" t="n">
        <v>1501</v>
      </c>
      <c r="AA1197" t="n">
        <v>16.2</v>
      </c>
      <c r="AB1197" t="inlineStr">
        <is>
          <t>U1196</t>
        </is>
      </c>
      <c r="AC1197" t="inlineStr">
        <is>
          <t>JA</t>
        </is>
      </c>
      <c r="AD1197" t="n">
        <v>16.2</v>
      </c>
      <c r="AE1197" t="n">
        <v>12</v>
      </c>
      <c r="AF1197" t="n">
        <v>27.7</v>
      </c>
      <c r="AG1197" t="inlineStr">
        <is>
          <t>1:27.7</t>
        </is>
      </c>
      <c r="AH1197" t="inlineStr">
        <is>
          <t>2%</t>
        </is>
      </c>
      <c r="AI1197" t="inlineStr"/>
      <c r="AJ1197" t="n">
        <v>10.13</v>
      </c>
    </row>
    <row r="1198">
      <c r="A1198" t="inlineStr">
        <is>
          <t>Rzeszów University of Technology</t>
        </is>
      </c>
      <c r="B1198" t="inlineStr">
        <is>
          <t>Poland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>
        <is>
          <t>1501+</t>
        </is>
      </c>
      <c r="O1198" t="inlineStr">
        <is>
          <t>9.7–22.7</t>
        </is>
      </c>
      <c r="P1198" t="n">
        <v>20.6</v>
      </c>
      <c r="Q1198" t="n">
        <v>9.1</v>
      </c>
      <c r="R1198" t="n">
        <v>29.1</v>
      </c>
      <c r="S1198" t="n">
        <v>22.9</v>
      </c>
      <c r="T1198" t="n">
        <v>23.1</v>
      </c>
      <c r="U1198" t="inlineStr">
        <is>
          <t>10,742</t>
        </is>
      </c>
      <c r="V1198" t="n">
        <v>11.6</v>
      </c>
      <c r="W1198" t="inlineStr">
        <is>
          <t>1%</t>
        </is>
      </c>
      <c r="X1198" t="inlineStr">
        <is>
          <t>38 : 62</t>
        </is>
      </c>
      <c r="Y1198" t="inlineStr"/>
      <c r="Z1198" t="n">
        <v>1501</v>
      </c>
      <c r="AA1198" t="n">
        <v>16.2</v>
      </c>
      <c r="AB1198" t="inlineStr">
        <is>
          <t>U1197</t>
        </is>
      </c>
      <c r="AC1198" t="inlineStr">
        <is>
          <t>PO</t>
        </is>
      </c>
      <c r="AD1198" t="n">
        <v>16.2</v>
      </c>
      <c r="AE1198" t="n">
        <v>29.1</v>
      </c>
      <c r="AF1198" t="n">
        <v>11.6</v>
      </c>
      <c r="AG1198" t="inlineStr">
        <is>
          <t>1:11.6</t>
        </is>
      </c>
      <c r="AH1198" t="inlineStr">
        <is>
          <t>1%</t>
        </is>
      </c>
      <c r="AI1198" t="inlineStr"/>
      <c r="AJ1198" t="n">
        <v>12.57</v>
      </c>
    </row>
    <row r="1199">
      <c r="A1199" t="inlineStr">
        <is>
          <t>S.D. Asfendiyarov Kazakh National Medical University</t>
        </is>
      </c>
      <c r="B1199" t="inlineStr">
        <is>
          <t>Kazakhstan</t>
        </is>
      </c>
      <c r="C1199" t="inlineStr">
        <is>
          <t>951-1000</t>
        </is>
      </c>
      <c r="D1199" t="inlineStr"/>
      <c r="E1199" t="n">
        <v>6.7</v>
      </c>
      <c r="F1199" t="n">
        <v>4.2</v>
      </c>
      <c r="G1199" t="n">
        <v>59.7</v>
      </c>
      <c r="H1199" t="n">
        <v>1.1</v>
      </c>
      <c r="I1199" t="n">
        <v>10.4</v>
      </c>
      <c r="J1199" t="n">
        <v>64.7</v>
      </c>
      <c r="K1199" t="n">
        <v>3.9</v>
      </c>
      <c r="L1199" t="n">
        <v>3.4</v>
      </c>
      <c r="M1199" t="n">
        <v>1.1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n">
        <v>951</v>
      </c>
      <c r="Z1199" t="inlineStr"/>
      <c r="AA1199" t="inlineStr"/>
      <c r="AB1199" t="inlineStr">
        <is>
          <t>U1198</t>
        </is>
      </c>
      <c r="AC1199" t="inlineStr">
        <is>
          <t>KA</t>
        </is>
      </c>
      <c r="AD1199" t="inlineStr"/>
      <c r="AE1199" t="n">
        <v>1.1</v>
      </c>
      <c r="AF1199" t="inlineStr"/>
      <c r="AG1199" t="inlineStr"/>
      <c r="AH1199" t="inlineStr"/>
      <c r="AI1199" t="n">
        <v>6.7</v>
      </c>
      <c r="AJ1199" t="n">
        <v>13.72</v>
      </c>
    </row>
    <row r="1200">
      <c r="A1200" t="inlineStr">
        <is>
          <t>Süleyman Demirel University</t>
        </is>
      </c>
      <c r="B1200" t="inlineStr">
        <is>
          <t>Turkey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>
        <is>
          <t>1501+</t>
        </is>
      </c>
      <c r="O1200" t="inlineStr">
        <is>
          <t>9.7–22.7</t>
        </is>
      </c>
      <c r="P1200" t="n">
        <v>23.5</v>
      </c>
      <c r="Q1200" t="n">
        <v>9.800000000000001</v>
      </c>
      <c r="R1200" t="n">
        <v>29.9</v>
      </c>
      <c r="S1200" t="n">
        <v>18.6</v>
      </c>
      <c r="T1200" t="n">
        <v>25.6</v>
      </c>
      <c r="U1200" t="inlineStr">
        <is>
          <t>39,648</t>
        </is>
      </c>
      <c r="V1200" t="n">
        <v>32.3</v>
      </c>
      <c r="W1200" t="inlineStr">
        <is>
          <t>5%</t>
        </is>
      </c>
      <c r="X1200" t="inlineStr">
        <is>
          <t>52 : 48</t>
        </is>
      </c>
      <c r="Y1200" t="inlineStr"/>
      <c r="Z1200" t="n">
        <v>1501</v>
      </c>
      <c r="AA1200" t="n">
        <v>16.2</v>
      </c>
      <c r="AB1200" t="inlineStr">
        <is>
          <t>U1199</t>
        </is>
      </c>
      <c r="AC1200" t="inlineStr">
        <is>
          <t>TU</t>
        </is>
      </c>
      <c r="AD1200" t="n">
        <v>16.2</v>
      </c>
      <c r="AE1200" t="n">
        <v>29.9</v>
      </c>
      <c r="AF1200" t="n">
        <v>32.3</v>
      </c>
      <c r="AG1200" t="inlineStr">
        <is>
          <t>1:32.3</t>
        </is>
      </c>
      <c r="AH1200" t="inlineStr">
        <is>
          <t>5%</t>
        </is>
      </c>
      <c r="AI1200" t="inlineStr"/>
      <c r="AJ1200" t="n">
        <v>13.78</v>
      </c>
    </row>
    <row r="1201">
      <c r="A1201" t="inlineStr">
        <is>
          <t>Sabancı University</t>
        </is>
      </c>
      <c r="B1201" t="inlineStr">
        <is>
          <t>Turkey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>351–400</t>
        </is>
      </c>
      <c r="O1201" t="inlineStr">
        <is>
          <t>49.1–51.0</t>
        </is>
      </c>
      <c r="P1201" t="n">
        <v>31.7</v>
      </c>
      <c r="Q1201" t="n">
        <v>37.9</v>
      </c>
      <c r="R1201" t="n">
        <v>69.5</v>
      </c>
      <c r="S1201" t="n">
        <v>90.2</v>
      </c>
      <c r="T1201" t="n">
        <v>66.59999999999999</v>
      </c>
      <c r="U1201" t="inlineStr">
        <is>
          <t>3,847</t>
        </is>
      </c>
      <c r="V1201" t="n">
        <v>20.5</v>
      </c>
      <c r="W1201" t="inlineStr">
        <is>
          <t>11%</t>
        </is>
      </c>
      <c r="X1201" t="inlineStr">
        <is>
          <t>38 : 62</t>
        </is>
      </c>
      <c r="Y1201" t="inlineStr"/>
      <c r="Z1201" t="n">
        <v>351</v>
      </c>
      <c r="AA1201" t="n">
        <v>50.05</v>
      </c>
      <c r="AB1201" t="inlineStr">
        <is>
          <t>U1200</t>
        </is>
      </c>
      <c r="AC1201" t="inlineStr">
        <is>
          <t>TU</t>
        </is>
      </c>
      <c r="AD1201" t="n">
        <v>50.05</v>
      </c>
      <c r="AE1201" t="n">
        <v>69.5</v>
      </c>
      <c r="AF1201" t="n">
        <v>20.5</v>
      </c>
      <c r="AG1201" t="inlineStr">
        <is>
          <t>1:20.5</t>
        </is>
      </c>
      <c r="AH1201" t="inlineStr">
        <is>
          <t>11%</t>
        </is>
      </c>
      <c r="AI1201" t="inlineStr"/>
      <c r="AJ1201" t="n">
        <v>50.42</v>
      </c>
    </row>
    <row r="1202">
      <c r="A1202" t="inlineStr">
        <is>
          <t>Sabanci University</t>
        </is>
      </c>
      <c r="B1202" t="inlineStr">
        <is>
          <t>Turkey</t>
        </is>
      </c>
      <c r="C1202" t="inlineStr">
        <is>
          <t>516</t>
        </is>
      </c>
      <c r="D1202" t="n">
        <v>23.6</v>
      </c>
      <c r="E1202" t="n">
        <v>19.5</v>
      </c>
      <c r="F1202" t="n">
        <v>44.6</v>
      </c>
      <c r="G1202" t="n">
        <v>38.2</v>
      </c>
      <c r="H1202" t="n">
        <v>19.4</v>
      </c>
      <c r="I1202" t="n">
        <v>32</v>
      </c>
      <c r="J1202" t="n">
        <v>14.2</v>
      </c>
      <c r="K1202" t="n">
        <v>25.9</v>
      </c>
      <c r="L1202" t="n">
        <v>7.2</v>
      </c>
      <c r="M1202" t="n">
        <v>7.9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n">
        <v>516</v>
      </c>
      <c r="Z1202" t="inlineStr"/>
      <c r="AA1202" t="inlineStr"/>
      <c r="AB1202" t="inlineStr">
        <is>
          <t>U1201</t>
        </is>
      </c>
      <c r="AC1202" t="inlineStr">
        <is>
          <t>TU</t>
        </is>
      </c>
      <c r="AD1202" t="n">
        <v>23.6</v>
      </c>
      <c r="AE1202" t="n">
        <v>19.4</v>
      </c>
      <c r="AF1202" t="inlineStr"/>
      <c r="AG1202" t="inlineStr"/>
      <c r="AH1202" t="inlineStr"/>
      <c r="AI1202" t="n">
        <v>19.5</v>
      </c>
      <c r="AJ1202" t="n">
        <v>19.27</v>
      </c>
    </row>
    <row r="1203">
      <c r="A1203" t="inlineStr">
        <is>
          <t>Saga University</t>
        </is>
      </c>
      <c r="B1203" t="inlineStr">
        <is>
          <t>Japan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>
        <is>
          <t>1501+</t>
        </is>
      </c>
      <c r="O1203" t="inlineStr">
        <is>
          <t>9.7–22.7</t>
        </is>
      </c>
      <c r="P1203" t="n">
        <v>26</v>
      </c>
      <c r="Q1203" t="n">
        <v>14.5</v>
      </c>
      <c r="R1203" t="n">
        <v>21.8</v>
      </c>
      <c r="S1203" t="n">
        <v>59</v>
      </c>
      <c r="T1203" t="n">
        <v>25.4</v>
      </c>
      <c r="U1203" t="inlineStr">
        <is>
          <t>6,518</t>
        </is>
      </c>
      <c r="V1203" t="n">
        <v>9.800000000000001</v>
      </c>
      <c r="W1203" t="inlineStr">
        <is>
          <t>2%</t>
        </is>
      </c>
      <c r="X1203" t="inlineStr">
        <is>
          <t>42 : 58</t>
        </is>
      </c>
      <c r="Y1203" t="inlineStr"/>
      <c r="Z1203" t="n">
        <v>1501</v>
      </c>
      <c r="AA1203" t="n">
        <v>16.2</v>
      </c>
      <c r="AB1203" t="inlineStr">
        <is>
          <t>U1202</t>
        </is>
      </c>
      <c r="AC1203" t="inlineStr">
        <is>
          <t>JA</t>
        </is>
      </c>
      <c r="AD1203" t="n">
        <v>16.2</v>
      </c>
      <c r="AE1203" t="n">
        <v>21.8</v>
      </c>
      <c r="AF1203" t="n">
        <v>9.800000000000001</v>
      </c>
      <c r="AG1203" t="inlineStr">
        <is>
          <t>1:9.8</t>
        </is>
      </c>
      <c r="AH1203" t="inlineStr">
        <is>
          <t>2%</t>
        </is>
      </c>
      <c r="AI1203" t="inlineStr"/>
      <c r="AJ1203" t="n">
        <v>13.74</v>
      </c>
    </row>
    <row r="1204">
      <c r="A1204" t="inlineStr">
        <is>
          <t>Sahand University of Technology</t>
        </is>
      </c>
      <c r="B1204" t="inlineStr">
        <is>
          <t>Iran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1001–1200</t>
        </is>
      </c>
      <c r="O1204" t="inlineStr">
        <is>
          <t>28.3–32.6</t>
        </is>
      </c>
      <c r="P1204" t="n">
        <v>20.6</v>
      </c>
      <c r="Q1204" t="n">
        <v>14.6</v>
      </c>
      <c r="R1204" t="n">
        <v>57.4</v>
      </c>
      <c r="S1204" t="n">
        <v>37.9</v>
      </c>
      <c r="T1204" t="n">
        <v>22.6</v>
      </c>
      <c r="U1204" t="inlineStr">
        <is>
          <t>5,354</t>
        </is>
      </c>
      <c r="V1204" t="n">
        <v>27.2</v>
      </c>
      <c r="W1204" t="inlineStr">
        <is>
          <t>1%</t>
        </is>
      </c>
      <c r="X1204" t="inlineStr">
        <is>
          <t>43 : 57</t>
        </is>
      </c>
      <c r="Y1204" t="inlineStr"/>
      <c r="Z1204" t="n">
        <v>1001</v>
      </c>
      <c r="AA1204" t="n">
        <v>30.45</v>
      </c>
      <c r="AB1204" t="inlineStr">
        <is>
          <t>U1203</t>
        </is>
      </c>
      <c r="AC1204" t="inlineStr">
        <is>
          <t>IR</t>
        </is>
      </c>
      <c r="AD1204" t="n">
        <v>30.45</v>
      </c>
      <c r="AE1204" t="n">
        <v>57.4</v>
      </c>
      <c r="AF1204" t="n">
        <v>27.2</v>
      </c>
      <c r="AG1204" t="inlineStr">
        <is>
          <t>1:27.2</t>
        </is>
      </c>
      <c r="AH1204" t="inlineStr">
        <is>
          <t>1%</t>
        </is>
      </c>
      <c r="AI1204" t="inlineStr"/>
      <c r="AJ1204" t="n">
        <v>23.9</v>
      </c>
    </row>
    <row r="1205">
      <c r="A1205" t="inlineStr">
        <is>
          <t xml:space="preserve">Saint Joseph University of Beirut (USJ) </t>
        </is>
      </c>
      <c r="B1205" t="inlineStr">
        <is>
          <t>Lebanon</t>
        </is>
      </c>
      <c r="C1205" t="inlineStr">
        <is>
          <t>711-720</t>
        </is>
      </c>
      <c r="D1205" t="inlineStr"/>
      <c r="E1205" t="n">
        <v>8.199999999999999</v>
      </c>
      <c r="F1205" t="n">
        <v>16.4</v>
      </c>
      <c r="G1205" t="n">
        <v>50.7</v>
      </c>
      <c r="H1205" t="n">
        <v>2.4</v>
      </c>
      <c r="I1205" t="n">
        <v>91.3</v>
      </c>
      <c r="J1205" t="n">
        <v>25.8</v>
      </c>
      <c r="K1205" t="n">
        <v>13.1</v>
      </c>
      <c r="L1205" t="n">
        <v>33.4</v>
      </c>
      <c r="M1205" t="n">
        <v>1.4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n">
        <v>711</v>
      </c>
      <c r="Z1205" t="inlineStr"/>
      <c r="AA1205" t="inlineStr"/>
      <c r="AB1205" t="inlineStr">
        <is>
          <t>U1204</t>
        </is>
      </c>
      <c r="AC1205" t="inlineStr">
        <is>
          <t>LE</t>
        </is>
      </c>
      <c r="AD1205" t="inlineStr"/>
      <c r="AE1205" t="n">
        <v>2.4</v>
      </c>
      <c r="AF1205" t="inlineStr"/>
      <c r="AG1205" t="inlineStr"/>
      <c r="AH1205" t="inlineStr"/>
      <c r="AI1205" t="n">
        <v>8.199999999999999</v>
      </c>
      <c r="AJ1205" t="n">
        <v>14.12</v>
      </c>
    </row>
    <row r="1206">
      <c r="A1206" t="inlineStr">
        <is>
          <t>Saint Louis University</t>
        </is>
      </c>
      <c r="B1206" t="inlineStr">
        <is>
          <t>United States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>
        <is>
          <t>401–500</t>
        </is>
      </c>
      <c r="O1206" t="inlineStr">
        <is>
          <t>45.4–49.0</t>
        </is>
      </c>
      <c r="P1206" t="n">
        <v>41.1</v>
      </c>
      <c r="Q1206" t="n">
        <v>16.3</v>
      </c>
      <c r="R1206" t="n">
        <v>80.90000000000001</v>
      </c>
      <c r="S1206" t="n">
        <v>60.6</v>
      </c>
      <c r="T1206" t="n">
        <v>42</v>
      </c>
      <c r="U1206" t="inlineStr">
        <is>
          <t>11,041</t>
        </is>
      </c>
      <c r="V1206" t="n">
        <v>7.3</v>
      </c>
      <c r="W1206" t="inlineStr">
        <is>
          <t>6%</t>
        </is>
      </c>
      <c r="X1206" t="inlineStr">
        <is>
          <t>61 : 39</t>
        </is>
      </c>
      <c r="Y1206" t="inlineStr"/>
      <c r="Z1206" t="n">
        <v>401</v>
      </c>
      <c r="AA1206" t="n">
        <v>47.2</v>
      </c>
      <c r="AB1206" t="inlineStr">
        <is>
          <t>U1205</t>
        </is>
      </c>
      <c r="AC1206" t="inlineStr">
        <is>
          <t>UN</t>
        </is>
      </c>
      <c r="AD1206" t="n">
        <v>47.2</v>
      </c>
      <c r="AE1206" t="n">
        <v>80.90000000000001</v>
      </c>
      <c r="AF1206" t="n">
        <v>7.3</v>
      </c>
      <c r="AG1206" t="inlineStr">
        <is>
          <t>1:7.3</t>
        </is>
      </c>
      <c r="AH1206" t="inlineStr">
        <is>
          <t>6%</t>
        </is>
      </c>
      <c r="AI1206" t="inlineStr"/>
      <c r="AJ1206" t="n">
        <v>36.61</v>
      </c>
    </row>
    <row r="1207">
      <c r="A1207" t="inlineStr">
        <is>
          <t>Saint Petersburg Electrotechnical University ETU-LETI</t>
        </is>
      </c>
      <c r="B1207" t="inlineStr">
        <is>
          <t>Russian Federation</t>
        </is>
      </c>
      <c r="C1207" t="inlineStr">
        <is>
          <t>1001-1200</t>
        </is>
      </c>
      <c r="D1207" t="inlineStr"/>
      <c r="E1207" t="n">
        <v>5.4</v>
      </c>
      <c r="F1207" t="n">
        <v>3.6</v>
      </c>
      <c r="G1207" t="n">
        <v>46.4</v>
      </c>
      <c r="H1207" t="n">
        <v>1.8</v>
      </c>
      <c r="I1207" t="n">
        <v>4.2</v>
      </c>
      <c r="J1207" t="n">
        <v>46.3</v>
      </c>
      <c r="K1207" t="n">
        <v>14.6</v>
      </c>
      <c r="L1207" t="n">
        <v>5.6</v>
      </c>
      <c r="M1207" t="n">
        <v>1.1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n">
        <v>1001</v>
      </c>
      <c r="Z1207" t="inlineStr"/>
      <c r="AA1207" t="inlineStr"/>
      <c r="AB1207" t="inlineStr">
        <is>
          <t>U1206</t>
        </is>
      </c>
      <c r="AC1207" t="inlineStr">
        <is>
          <t>RU</t>
        </is>
      </c>
      <c r="AD1207" t="inlineStr"/>
      <c r="AE1207" t="n">
        <v>1.8</v>
      </c>
      <c r="AF1207" t="inlineStr"/>
      <c r="AG1207" t="inlineStr"/>
      <c r="AH1207" t="inlineStr"/>
      <c r="AI1207" t="n">
        <v>5.4</v>
      </c>
      <c r="AJ1207" t="n">
        <v>13.93</v>
      </c>
    </row>
    <row r="1208">
      <c r="A1208" t="inlineStr">
        <is>
          <t>Saint-Petersburg Mining University</t>
        </is>
      </c>
      <c r="B1208" t="inlineStr">
        <is>
          <t>Russian Federation</t>
        </is>
      </c>
      <c r="C1208" t="inlineStr">
        <is>
          <t>1001-1200</t>
        </is>
      </c>
      <c r="D1208" t="inlineStr"/>
      <c r="E1208" t="n">
        <v>3.6</v>
      </c>
      <c r="F1208" t="n">
        <v>3.2</v>
      </c>
      <c r="G1208" t="n">
        <v>64.09999999999999</v>
      </c>
      <c r="H1208" t="n">
        <v>2.1</v>
      </c>
      <c r="I1208" t="n">
        <v>21.1</v>
      </c>
      <c r="J1208" t="n">
        <v>29.3</v>
      </c>
      <c r="K1208" t="n">
        <v>6.5</v>
      </c>
      <c r="L1208" t="n">
        <v>8</v>
      </c>
      <c r="M1208" t="n">
        <v>1.1</v>
      </c>
      <c r="N1208" t="inlineStr">
        <is>
          <t>601–800</t>
        </is>
      </c>
      <c r="O1208" t="inlineStr">
        <is>
          <t>37.0–41.8</t>
        </is>
      </c>
      <c r="P1208" t="n">
        <v>29.7</v>
      </c>
      <c r="Q1208" t="n">
        <v>16.9</v>
      </c>
      <c r="R1208" t="n">
        <v>69.3</v>
      </c>
      <c r="S1208" t="n">
        <v>50.4</v>
      </c>
      <c r="T1208" t="n">
        <v>43.1</v>
      </c>
      <c r="U1208" t="inlineStr">
        <is>
          <t>8,345</t>
        </is>
      </c>
      <c r="V1208" t="n">
        <v>13.4</v>
      </c>
      <c r="W1208" t="inlineStr">
        <is>
          <t>12%</t>
        </is>
      </c>
      <c r="X1208" t="inlineStr">
        <is>
          <t>41 : 59</t>
        </is>
      </c>
      <c r="Y1208" t="n">
        <v>1001</v>
      </c>
      <c r="Z1208" t="n">
        <v>601</v>
      </c>
      <c r="AA1208" t="n">
        <v>39.4</v>
      </c>
      <c r="AB1208" t="inlineStr">
        <is>
          <t>U1207</t>
        </is>
      </c>
      <c r="AC1208" t="inlineStr">
        <is>
          <t>RU</t>
        </is>
      </c>
      <c r="AD1208" t="n">
        <v>39.4</v>
      </c>
      <c r="AE1208" t="n">
        <v>2.1</v>
      </c>
      <c r="AF1208" t="n">
        <v>13.4</v>
      </c>
      <c r="AG1208" t="inlineStr">
        <is>
          <t>1:13.4</t>
        </is>
      </c>
      <c r="AH1208" t="inlineStr">
        <is>
          <t>12%</t>
        </is>
      </c>
      <c r="AI1208" t="n">
        <v>3.6</v>
      </c>
      <c r="AJ1208" t="n">
        <v>13.31</v>
      </c>
    </row>
    <row r="1209">
      <c r="A1209" t="inlineStr">
        <is>
          <t>Saint Petersburg State University</t>
        </is>
      </c>
      <c r="B1209" t="inlineStr">
        <is>
          <t>Russian Federation</t>
        </is>
      </c>
      <c r="C1209" t="inlineStr">
        <is>
          <t>365</t>
        </is>
      </c>
      <c r="D1209" t="n">
        <v>31.6</v>
      </c>
      <c r="E1209" t="n">
        <v>36.3</v>
      </c>
      <c r="F1209" t="n">
        <v>30.5</v>
      </c>
      <c r="G1209" t="n">
        <v>59.4</v>
      </c>
      <c r="H1209" t="n">
        <v>4.6</v>
      </c>
      <c r="I1209" t="n">
        <v>4.9</v>
      </c>
      <c r="J1209" t="n">
        <v>38.9</v>
      </c>
      <c r="K1209" t="n">
        <v>83.90000000000001</v>
      </c>
      <c r="L1209" t="n">
        <v>71.7</v>
      </c>
      <c r="M1209" t="n">
        <v>3.2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n">
        <v>365</v>
      </c>
      <c r="Z1209" t="inlineStr"/>
      <c r="AA1209" t="inlineStr"/>
      <c r="AB1209" t="inlineStr">
        <is>
          <t>U1208</t>
        </is>
      </c>
      <c r="AC1209" t="inlineStr">
        <is>
          <t>RU</t>
        </is>
      </c>
      <c r="AD1209" t="n">
        <v>31.6</v>
      </c>
      <c r="AE1209" t="n">
        <v>4.6</v>
      </c>
      <c r="AF1209" t="inlineStr"/>
      <c r="AG1209" t="inlineStr"/>
      <c r="AH1209" t="inlineStr"/>
      <c r="AI1209" t="n">
        <v>36.3</v>
      </c>
      <c r="AJ1209" t="n">
        <v>14.78</v>
      </c>
    </row>
    <row r="1210">
      <c r="A1210" t="inlineStr">
        <is>
          <t>Saints Cyril and Methodius University in Skopje</t>
        </is>
      </c>
      <c r="B1210" t="inlineStr">
        <is>
          <t>North Macedonia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>
        <is>
          <t>1501+</t>
        </is>
      </c>
      <c r="O1210" t="inlineStr">
        <is>
          <t>9.7–22.7</t>
        </is>
      </c>
      <c r="P1210" t="n">
        <v>19.2</v>
      </c>
      <c r="Q1210" t="n">
        <v>9.300000000000001</v>
      </c>
      <c r="R1210" t="n">
        <v>25.9</v>
      </c>
      <c r="S1210" t="n">
        <v>23.2</v>
      </c>
      <c r="T1210" t="n">
        <v>46</v>
      </c>
      <c r="U1210" t="inlineStr">
        <is>
          <t>26,800</t>
        </is>
      </c>
      <c r="V1210" t="n">
        <v>13.5</v>
      </c>
      <c r="W1210" t="inlineStr">
        <is>
          <t>5%</t>
        </is>
      </c>
      <c r="X1210" t="inlineStr">
        <is>
          <t>63 : 37</t>
        </is>
      </c>
      <c r="Y1210" t="inlineStr"/>
      <c r="Z1210" t="n">
        <v>1501</v>
      </c>
      <c r="AA1210" t="n">
        <v>16.2</v>
      </c>
      <c r="AB1210" t="inlineStr">
        <is>
          <t>U1209</t>
        </is>
      </c>
      <c r="AC1210" t="inlineStr">
        <is>
          <t>NO</t>
        </is>
      </c>
      <c r="AD1210" t="n">
        <v>16.2</v>
      </c>
      <c r="AE1210" t="n">
        <v>25.9</v>
      </c>
      <c r="AF1210" t="n">
        <v>13.5</v>
      </c>
      <c r="AG1210" t="inlineStr">
        <is>
          <t>1:13.5</t>
        </is>
      </c>
      <c r="AH1210" t="inlineStr">
        <is>
          <t>5%</t>
        </is>
      </c>
      <c r="AI1210" t="inlineStr"/>
      <c r="AJ1210" t="n">
        <v>17.24</v>
      </c>
    </row>
    <row r="1211">
      <c r="A1211" t="inlineStr">
        <is>
          <t>Saitama Medical University</t>
        </is>
      </c>
      <c r="B1211" t="inlineStr">
        <is>
          <t>Japan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>
        <is>
          <t>1201–1500</t>
        </is>
      </c>
      <c r="O1211" t="inlineStr">
        <is>
          <t>22.8–28.2</t>
        </is>
      </c>
      <c r="P1211" t="n">
        <v>26.5</v>
      </c>
      <c r="Q1211" t="n">
        <v>10.3</v>
      </c>
      <c r="R1211" t="n">
        <v>39.3</v>
      </c>
      <c r="S1211" t="n">
        <v>41.5</v>
      </c>
      <c r="T1211" t="n">
        <v>18.3</v>
      </c>
      <c r="U1211" t="inlineStr">
        <is>
          <t>1,915</t>
        </is>
      </c>
      <c r="V1211" t="n">
        <v>1.4</v>
      </c>
      <c r="W1211" t="inlineStr">
        <is>
          <t>0%</t>
        </is>
      </c>
      <c r="X1211" t="inlineStr">
        <is>
          <t>51 : 49</t>
        </is>
      </c>
      <c r="Y1211" t="inlineStr"/>
      <c r="Z1211" t="n">
        <v>1201</v>
      </c>
      <c r="AA1211" t="n">
        <v>25.5</v>
      </c>
      <c r="AB1211" t="inlineStr">
        <is>
          <t>U1210</t>
        </is>
      </c>
      <c r="AC1211" t="inlineStr">
        <is>
          <t>JA</t>
        </is>
      </c>
      <c r="AD1211" t="n">
        <v>25.5</v>
      </c>
      <c r="AE1211" t="n">
        <v>39.3</v>
      </c>
      <c r="AF1211" t="n">
        <v>1.4</v>
      </c>
      <c r="AG1211" t="inlineStr">
        <is>
          <t>1:1.4</t>
        </is>
      </c>
      <c r="AH1211" t="inlineStr">
        <is>
          <t>0%</t>
        </is>
      </c>
      <c r="AI1211" t="inlineStr"/>
      <c r="AJ1211" t="n">
        <v>15.13</v>
      </c>
    </row>
    <row r="1212">
      <c r="A1212" t="inlineStr">
        <is>
          <t>Saitama University</t>
        </is>
      </c>
      <c r="B1212" t="inlineStr">
        <is>
          <t>Japan</t>
        </is>
      </c>
      <c r="C1212" t="inlineStr">
        <is>
          <t>1201-1400</t>
        </is>
      </c>
      <c r="D1212" t="inlineStr"/>
      <c r="E1212" t="n">
        <v>4.9</v>
      </c>
      <c r="F1212" t="n">
        <v>1.6</v>
      </c>
      <c r="G1212" t="n">
        <v>11.5</v>
      </c>
      <c r="H1212" t="n">
        <v>6.8</v>
      </c>
      <c r="I1212" t="n">
        <v>9.699999999999999</v>
      </c>
      <c r="J1212" t="n">
        <v>4.9</v>
      </c>
      <c r="K1212" t="n">
        <v>18.1</v>
      </c>
      <c r="L1212" t="n">
        <v>1.8</v>
      </c>
      <c r="M1212" t="n">
        <v>1.1</v>
      </c>
      <c r="N1212" t="inlineStr">
        <is>
          <t>1501+</t>
        </is>
      </c>
      <c r="O1212" t="inlineStr">
        <is>
          <t>9.7–22.7</t>
        </is>
      </c>
      <c r="P1212" t="n">
        <v>22.9</v>
      </c>
      <c r="Q1212" t="n">
        <v>15.5</v>
      </c>
      <c r="R1212" t="n">
        <v>19.4</v>
      </c>
      <c r="S1212" t="n">
        <v>41.2</v>
      </c>
      <c r="T1212" t="n">
        <v>41.5</v>
      </c>
      <c r="U1212" t="inlineStr">
        <is>
          <t>8,321</t>
        </is>
      </c>
      <c r="V1212" t="n">
        <v>15.3</v>
      </c>
      <c r="W1212" t="inlineStr">
        <is>
          <t>6%</t>
        </is>
      </c>
      <c r="X1212" t="inlineStr">
        <is>
          <t>32 : 68</t>
        </is>
      </c>
      <c r="Y1212" t="n">
        <v>1201</v>
      </c>
      <c r="Z1212" t="n">
        <v>1501</v>
      </c>
      <c r="AA1212" t="n">
        <v>16.2</v>
      </c>
      <c r="AB1212" t="inlineStr">
        <is>
          <t>U1211</t>
        </is>
      </c>
      <c r="AC1212" t="inlineStr">
        <is>
          <t>JA</t>
        </is>
      </c>
      <c r="AD1212" t="n">
        <v>16.2</v>
      </c>
      <c r="AE1212" t="n">
        <v>6.8</v>
      </c>
      <c r="AF1212" t="n">
        <v>15.3</v>
      </c>
      <c r="AG1212" t="inlineStr">
        <is>
          <t>1:15.3</t>
        </is>
      </c>
      <c r="AH1212" t="inlineStr">
        <is>
          <t>6%</t>
        </is>
      </c>
      <c r="AI1212" t="n">
        <v>4.9</v>
      </c>
      <c r="AJ1212" t="n">
        <v>13.61</v>
      </c>
    </row>
    <row r="1213">
      <c r="A1213" t="inlineStr">
        <is>
          <t>Sakarya University</t>
        </is>
      </c>
      <c r="B1213" t="inlineStr">
        <is>
          <t>Turkey</t>
        </is>
      </c>
      <c r="C1213" t="inlineStr">
        <is>
          <t>1401+</t>
        </is>
      </c>
      <c r="D1213" t="inlineStr"/>
      <c r="E1213" t="n">
        <v>4.6</v>
      </c>
      <c r="F1213" t="n">
        <v>3.1</v>
      </c>
      <c r="G1213" t="n">
        <v>3.1</v>
      </c>
      <c r="H1213" t="n">
        <v>3.3</v>
      </c>
      <c r="I1213" t="n">
        <v>1.4</v>
      </c>
      <c r="J1213" t="n">
        <v>11.3</v>
      </c>
      <c r="K1213" t="n">
        <v>27.6</v>
      </c>
      <c r="L1213" t="n">
        <v>1.9</v>
      </c>
      <c r="M1213" t="n">
        <v>2.7</v>
      </c>
      <c r="N1213" t="inlineStr">
        <is>
          <t>1201–1500</t>
        </is>
      </c>
      <c r="O1213" t="inlineStr">
        <is>
          <t>22.8–28.2</t>
        </is>
      </c>
      <c r="P1213" t="n">
        <v>16.5</v>
      </c>
      <c r="Q1213" t="n">
        <v>10.6</v>
      </c>
      <c r="R1213" t="n">
        <v>45.4</v>
      </c>
      <c r="S1213" t="n">
        <v>24</v>
      </c>
      <c r="T1213" t="n">
        <v>28.4</v>
      </c>
      <c r="U1213" t="inlineStr">
        <is>
          <t>42,601</t>
        </is>
      </c>
      <c r="V1213" t="n">
        <v>26.6</v>
      </c>
      <c r="W1213" t="inlineStr">
        <is>
          <t>7%</t>
        </is>
      </c>
      <c r="X1213" t="inlineStr">
        <is>
          <t>51 : 49</t>
        </is>
      </c>
      <c r="Y1213" t="n">
        <v>1401</v>
      </c>
      <c r="Z1213" t="n">
        <v>1201</v>
      </c>
      <c r="AA1213" t="n">
        <v>25.5</v>
      </c>
      <c r="AB1213" t="inlineStr">
        <is>
          <t>U1212</t>
        </is>
      </c>
      <c r="AC1213" t="inlineStr">
        <is>
          <t>TU</t>
        </is>
      </c>
      <c r="AD1213" t="n">
        <v>25.5</v>
      </c>
      <c r="AE1213" t="n">
        <v>3.3</v>
      </c>
      <c r="AF1213" t="n">
        <v>26.6</v>
      </c>
      <c r="AG1213" t="inlineStr">
        <is>
          <t>1:26.6</t>
        </is>
      </c>
      <c r="AH1213" t="inlineStr">
        <is>
          <t>7%</t>
        </is>
      </c>
      <c r="AI1213" t="n">
        <v>4.6</v>
      </c>
      <c r="AJ1213" t="n">
        <v>6.82</v>
      </c>
    </row>
    <row r="1214">
      <c r="A1214" t="inlineStr">
        <is>
          <t>Saken Seifullin Kazakh Agrotechnical University</t>
        </is>
      </c>
      <c r="B1214" t="inlineStr">
        <is>
          <t>Kazakhstan</t>
        </is>
      </c>
      <c r="C1214" t="inlineStr">
        <is>
          <t>1201-1400</t>
        </is>
      </c>
      <c r="D1214" t="inlineStr"/>
      <c r="E1214" t="n">
        <v>9.699999999999999</v>
      </c>
      <c r="F1214" t="n">
        <v>9.300000000000001</v>
      </c>
      <c r="G1214" t="n">
        <v>27.8</v>
      </c>
      <c r="H1214" t="n">
        <v>1.2</v>
      </c>
      <c r="I1214" t="n">
        <v>10.1</v>
      </c>
      <c r="J1214" t="n">
        <v>4.2</v>
      </c>
      <c r="K1214" t="n">
        <v>2.6</v>
      </c>
      <c r="L1214" t="n">
        <v>3.4</v>
      </c>
      <c r="M1214" t="n">
        <v>2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n">
        <v>1201</v>
      </c>
      <c r="Z1214" t="inlineStr"/>
      <c r="AA1214" t="inlineStr"/>
      <c r="AB1214" t="inlineStr">
        <is>
          <t>U1213</t>
        </is>
      </c>
      <c r="AC1214" t="inlineStr">
        <is>
          <t>KA</t>
        </is>
      </c>
      <c r="AD1214" t="inlineStr"/>
      <c r="AE1214" t="n">
        <v>1.2</v>
      </c>
      <c r="AF1214" t="inlineStr"/>
      <c r="AG1214" t="inlineStr"/>
      <c r="AH1214" t="inlineStr"/>
      <c r="AI1214" t="n">
        <v>9.699999999999999</v>
      </c>
      <c r="AJ1214" t="n">
        <v>13.75</v>
      </c>
    </row>
    <row r="1215">
      <c r="A1215" t="inlineStr">
        <is>
          <t>Samara National Research University (Samara University)</t>
        </is>
      </c>
      <c r="B1215" t="inlineStr">
        <is>
          <t>Russian Federation</t>
        </is>
      </c>
      <c r="C1215" t="inlineStr">
        <is>
          <t>1001-1200</t>
        </is>
      </c>
      <c r="D1215" t="inlineStr"/>
      <c r="E1215" t="n">
        <v>4.1</v>
      </c>
      <c r="F1215" t="n">
        <v>2.2</v>
      </c>
      <c r="G1215" t="n">
        <v>75.40000000000001</v>
      </c>
      <c r="H1215" t="n">
        <v>2.1</v>
      </c>
      <c r="I1215" t="n">
        <v>2.2</v>
      </c>
      <c r="J1215" t="n">
        <v>12.3</v>
      </c>
      <c r="K1215" t="n">
        <v>17</v>
      </c>
      <c r="L1215" t="n">
        <v>9.1</v>
      </c>
      <c r="M1215" t="n">
        <v>1.2</v>
      </c>
      <c r="N1215" t="inlineStr">
        <is>
          <t>1201–1500</t>
        </is>
      </c>
      <c r="O1215" t="inlineStr">
        <is>
          <t>22.8–28.2</t>
        </is>
      </c>
      <c r="P1215" t="n">
        <v>27.5</v>
      </c>
      <c r="Q1215" t="n">
        <v>14.8</v>
      </c>
      <c r="R1215" t="n">
        <v>21.8</v>
      </c>
      <c r="S1215" t="n">
        <v>26.6</v>
      </c>
      <c r="T1215" t="n">
        <v>37.1</v>
      </c>
      <c r="U1215" t="inlineStr">
        <is>
          <t>9,198</t>
        </is>
      </c>
      <c r="V1215" t="n">
        <v>10.7</v>
      </c>
      <c r="W1215" t="inlineStr">
        <is>
          <t>14%</t>
        </is>
      </c>
      <c r="X1215" t="inlineStr">
        <is>
          <t>48 : 52</t>
        </is>
      </c>
      <c r="Y1215" t="n">
        <v>1001</v>
      </c>
      <c r="Z1215" t="n">
        <v>1201</v>
      </c>
      <c r="AA1215" t="n">
        <v>25.5</v>
      </c>
      <c r="AB1215" t="inlineStr">
        <is>
          <t>U1214</t>
        </is>
      </c>
      <c r="AC1215" t="inlineStr">
        <is>
          <t>RU</t>
        </is>
      </c>
      <c r="AD1215" t="n">
        <v>25.5</v>
      </c>
      <c r="AE1215" t="n">
        <v>2.1</v>
      </c>
      <c r="AF1215" t="n">
        <v>10.7</v>
      </c>
      <c r="AG1215" t="inlineStr">
        <is>
          <t>1:10.7</t>
        </is>
      </c>
      <c r="AH1215" t="inlineStr">
        <is>
          <t>14%</t>
        </is>
      </c>
      <c r="AI1215" t="n">
        <v>4.1</v>
      </c>
      <c r="AJ1215" t="n">
        <v>10.76</v>
      </c>
    </row>
    <row r="1216">
      <c r="A1216" t="inlineStr">
        <is>
          <t>Samara State Technical University</t>
        </is>
      </c>
      <c r="B1216" t="inlineStr">
        <is>
          <t>Russian Federation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1501+</t>
        </is>
      </c>
      <c r="O1216" t="inlineStr">
        <is>
          <t>9.7–22.7</t>
        </is>
      </c>
      <c r="P1216" t="n">
        <v>16.9</v>
      </c>
      <c r="Q1216" t="n">
        <v>10.6</v>
      </c>
      <c r="R1216" t="n">
        <v>10.9</v>
      </c>
      <c r="S1216" t="n">
        <v>32.3</v>
      </c>
      <c r="T1216" t="n">
        <v>22.1</v>
      </c>
      <c r="U1216" t="inlineStr">
        <is>
          <t>12,762</t>
        </is>
      </c>
      <c r="V1216" t="n">
        <v>16</v>
      </c>
      <c r="W1216" t="inlineStr">
        <is>
          <t>5%</t>
        </is>
      </c>
      <c r="X1216" t="inlineStr">
        <is>
          <t>38 : 62</t>
        </is>
      </c>
      <c r="Y1216" t="inlineStr"/>
      <c r="Z1216" t="n">
        <v>1501</v>
      </c>
      <c r="AA1216" t="n">
        <v>16.2</v>
      </c>
      <c r="AB1216" t="inlineStr">
        <is>
          <t>U1215</t>
        </is>
      </c>
      <c r="AC1216" t="inlineStr">
        <is>
          <t>RU</t>
        </is>
      </c>
      <c r="AD1216" t="n">
        <v>16.2</v>
      </c>
      <c r="AE1216" t="n">
        <v>10.9</v>
      </c>
      <c r="AF1216" t="n">
        <v>16</v>
      </c>
      <c r="AG1216" t="inlineStr">
        <is>
          <t>1:16.0</t>
        </is>
      </c>
      <c r="AH1216" t="inlineStr">
        <is>
          <t>5%</t>
        </is>
      </c>
      <c r="AI1216" t="inlineStr"/>
      <c r="AJ1216" t="n">
        <v>7.6</v>
      </c>
    </row>
    <row r="1217">
      <c r="A1217" t="inlineStr">
        <is>
          <t>San Diego State University</t>
        </is>
      </c>
      <c r="B1217" t="inlineStr">
        <is>
          <t>United States</t>
        </is>
      </c>
      <c r="C1217" t="inlineStr">
        <is>
          <t>1001-1200</t>
        </is>
      </c>
      <c r="D1217" t="inlineStr"/>
      <c r="E1217" t="n">
        <v>5.4</v>
      </c>
      <c r="F1217" t="n">
        <v>3</v>
      </c>
      <c r="G1217" t="n">
        <v>3.3</v>
      </c>
      <c r="H1217" t="n">
        <v>14.3</v>
      </c>
      <c r="I1217" t="n">
        <v>5.2</v>
      </c>
      <c r="J1217" t="n">
        <v>3.5</v>
      </c>
      <c r="K1217" t="n">
        <v>68.7</v>
      </c>
      <c r="L1217" t="n">
        <v>15.8</v>
      </c>
      <c r="M1217" t="n">
        <v>9.4</v>
      </c>
      <c r="N1217" t="inlineStr">
        <is>
          <t>801–1000</t>
        </is>
      </c>
      <c r="O1217" t="inlineStr">
        <is>
          <t>32.7–36.9</t>
        </is>
      </c>
      <c r="P1217" t="n">
        <v>21.5</v>
      </c>
      <c r="Q1217" t="n">
        <v>11.9</v>
      </c>
      <c r="R1217" t="n">
        <v>71.09999999999999</v>
      </c>
      <c r="S1217" t="n">
        <v>58.3</v>
      </c>
      <c r="T1217" t="n">
        <v>37</v>
      </c>
      <c r="U1217" t="inlineStr">
        <is>
          <t>32,069</t>
        </is>
      </c>
      <c r="V1217" t="n">
        <v>28.1</v>
      </c>
      <c r="W1217" t="inlineStr">
        <is>
          <t>5%</t>
        </is>
      </c>
      <c r="X1217" t="inlineStr">
        <is>
          <t>58 : 42</t>
        </is>
      </c>
      <c r="Y1217" t="n">
        <v>1001</v>
      </c>
      <c r="Z1217" t="n">
        <v>801</v>
      </c>
      <c r="AA1217" t="n">
        <v>34.8</v>
      </c>
      <c r="AB1217" t="inlineStr">
        <is>
          <t>U1216</t>
        </is>
      </c>
      <c r="AC1217" t="inlineStr">
        <is>
          <t>UN</t>
        </is>
      </c>
      <c r="AD1217" t="n">
        <v>34.8</v>
      </c>
      <c r="AE1217" t="n">
        <v>14.3</v>
      </c>
      <c r="AF1217" t="n">
        <v>28.1</v>
      </c>
      <c r="AG1217" t="inlineStr">
        <is>
          <t>1:28.1</t>
        </is>
      </c>
      <c r="AH1217" t="inlineStr">
        <is>
          <t>5%</t>
        </is>
      </c>
      <c r="AI1217" t="n">
        <v>5.4</v>
      </c>
      <c r="AJ1217" t="n">
        <v>12.91</v>
      </c>
    </row>
    <row r="1218">
      <c r="A1218" t="inlineStr">
        <is>
          <t>San Francisco State University</t>
        </is>
      </c>
      <c r="B1218" t="inlineStr">
        <is>
          <t>United States</t>
        </is>
      </c>
      <c r="C1218" t="inlineStr">
        <is>
          <t>1201-1400</t>
        </is>
      </c>
      <c r="D1218" t="inlineStr"/>
      <c r="E1218" t="n">
        <v>4.5</v>
      </c>
      <c r="F1218" t="n">
        <v>3.1</v>
      </c>
      <c r="G1218" t="n">
        <v>5.7</v>
      </c>
      <c r="H1218" t="n">
        <v>4</v>
      </c>
      <c r="I1218" t="n">
        <v>3.4</v>
      </c>
      <c r="J1218" t="n">
        <v>5</v>
      </c>
      <c r="K1218" t="n">
        <v>35.6</v>
      </c>
      <c r="L1218" t="n">
        <v>7.6</v>
      </c>
      <c r="M1218" t="n">
        <v>1.7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n">
        <v>1201</v>
      </c>
      <c r="Z1218" t="inlineStr"/>
      <c r="AA1218" t="inlineStr"/>
      <c r="AB1218" t="inlineStr">
        <is>
          <t>U1217</t>
        </is>
      </c>
      <c r="AC1218" t="inlineStr">
        <is>
          <t>UN</t>
        </is>
      </c>
      <c r="AD1218" t="inlineStr"/>
      <c r="AE1218" t="n">
        <v>4</v>
      </c>
      <c r="AF1218" t="inlineStr"/>
      <c r="AG1218" t="inlineStr"/>
      <c r="AH1218" t="inlineStr"/>
      <c r="AI1218" t="n">
        <v>4.5</v>
      </c>
      <c r="AJ1218" t="n">
        <v>14.6</v>
      </c>
    </row>
    <row r="1219">
      <c r="A1219" t="inlineStr">
        <is>
          <t>San Sebastián University</t>
        </is>
      </c>
      <c r="B1219" t="inlineStr">
        <is>
          <t>Chile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>
        <is>
          <t>1501+</t>
        </is>
      </c>
      <c r="O1219" t="inlineStr">
        <is>
          <t>9.7–22.7</t>
        </is>
      </c>
      <c r="P1219" t="n">
        <v>14.2</v>
      </c>
      <c r="Q1219" t="n">
        <v>9.199999999999999</v>
      </c>
      <c r="R1219" t="n">
        <v>12.1</v>
      </c>
      <c r="S1219" t="n">
        <v>16.1</v>
      </c>
      <c r="T1219" t="n">
        <v>43.2</v>
      </c>
      <c r="U1219" t="inlineStr">
        <is>
          <t>38,101</t>
        </is>
      </c>
      <c r="V1219" t="n">
        <v>19.8</v>
      </c>
      <c r="W1219" t="inlineStr">
        <is>
          <t>0%</t>
        </is>
      </c>
      <c r="X1219" t="inlineStr">
        <is>
          <t>63 : 37</t>
        </is>
      </c>
      <c r="Y1219" t="inlineStr"/>
      <c r="Z1219" t="n">
        <v>1501</v>
      </c>
      <c r="AA1219" t="n">
        <v>16.2</v>
      </c>
      <c r="AB1219" t="inlineStr">
        <is>
          <t>U1218</t>
        </is>
      </c>
      <c r="AC1219" t="inlineStr">
        <is>
          <t>CH</t>
        </is>
      </c>
      <c r="AD1219" t="n">
        <v>16.2</v>
      </c>
      <c r="AE1219" t="n">
        <v>12.1</v>
      </c>
      <c r="AF1219" t="n">
        <v>19.8</v>
      </c>
      <c r="AG1219" t="inlineStr">
        <is>
          <t>1:19.8</t>
        </is>
      </c>
      <c r="AH1219" t="inlineStr">
        <is>
          <t>0%</t>
        </is>
      </c>
      <c r="AI1219" t="inlineStr"/>
      <c r="AJ1219" t="n">
        <v>12.33</v>
      </c>
    </row>
    <row r="1220">
      <c r="A1220" t="inlineStr">
        <is>
          <t>Sant’Anna School of Advanced Studies – Pisa</t>
        </is>
      </c>
      <c r="B1220" t="inlineStr">
        <is>
          <t>Italy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>201–250</t>
        </is>
      </c>
      <c r="O1220" t="inlineStr">
        <is>
          <t>55.9–58.6</t>
        </is>
      </c>
      <c r="P1220" t="n">
        <v>50.4</v>
      </c>
      <c r="Q1220" t="n">
        <v>39</v>
      </c>
      <c r="R1220" t="n">
        <v>80.09999999999999</v>
      </c>
      <c r="S1220" t="n">
        <v>90.3</v>
      </c>
      <c r="T1220" t="n">
        <v>60.8</v>
      </c>
      <c r="U1220" t="inlineStr">
        <is>
          <t>718</t>
        </is>
      </c>
      <c r="V1220" t="n">
        <v>7.4</v>
      </c>
      <c r="W1220" t="inlineStr">
        <is>
          <t>20%</t>
        </is>
      </c>
      <c r="X1220" t="inlineStr">
        <is>
          <t>37 : 63</t>
        </is>
      </c>
      <c r="Y1220" t="inlineStr"/>
      <c r="Z1220" t="n">
        <v>201</v>
      </c>
      <c r="AA1220" t="n">
        <v>57.25</v>
      </c>
      <c r="AB1220" t="inlineStr">
        <is>
          <t>U1219</t>
        </is>
      </c>
      <c r="AC1220" t="inlineStr">
        <is>
          <t>IT</t>
        </is>
      </c>
      <c r="AD1220" t="n">
        <v>57.25</v>
      </c>
      <c r="AE1220" t="n">
        <v>80.09999999999999</v>
      </c>
      <c r="AF1220" t="n">
        <v>7.4</v>
      </c>
      <c r="AG1220" t="inlineStr">
        <is>
          <t>1:7.4</t>
        </is>
      </c>
      <c r="AH1220" t="inlineStr">
        <is>
          <t>20%</t>
        </is>
      </c>
      <c r="AI1220" t="inlineStr"/>
      <c r="AJ1220" t="n">
        <v>52.81</v>
      </c>
    </row>
    <row r="1221">
      <c r="A1221" t="inlineStr">
        <is>
          <t>Sapienza University of Rome</t>
        </is>
      </c>
      <c r="B1221" t="inlineStr">
        <is>
          <t>Italy</t>
        </is>
      </c>
      <c r="C1221" t="inlineStr">
        <is>
          <t>132</t>
        </is>
      </c>
      <c r="D1221" t="n">
        <v>54.2</v>
      </c>
      <c r="E1221" t="n">
        <v>80.7</v>
      </c>
      <c r="F1221" t="n">
        <v>48.5</v>
      </c>
      <c r="G1221" t="n">
        <v>5</v>
      </c>
      <c r="H1221" t="n">
        <v>45.3</v>
      </c>
      <c r="I1221" t="n">
        <v>3.1</v>
      </c>
      <c r="J1221" t="n">
        <v>8</v>
      </c>
      <c r="K1221" t="n">
        <v>97.09999999999999</v>
      </c>
      <c r="L1221" t="n">
        <v>88</v>
      </c>
      <c r="M1221" t="n">
        <v>72.3</v>
      </c>
      <c r="N1221" t="inlineStr">
        <is>
          <t>181</t>
        </is>
      </c>
      <c r="O1221" t="inlineStr">
        <is>
          <t>60.0</t>
        </is>
      </c>
      <c r="P1221" t="n">
        <v>53.5</v>
      </c>
      <c r="Q1221" t="n">
        <v>48.1</v>
      </c>
      <c r="R1221" t="n">
        <v>77.90000000000001</v>
      </c>
      <c r="S1221" t="n">
        <v>85.40000000000001</v>
      </c>
      <c r="T1221" t="n">
        <v>46.5</v>
      </c>
      <c r="U1221" t="inlineStr">
        <is>
          <t>60,522</t>
        </is>
      </c>
      <c r="V1221" t="n">
        <v>22.2</v>
      </c>
      <c r="W1221" t="inlineStr">
        <is>
          <t>9%</t>
        </is>
      </c>
      <c r="X1221" t="inlineStr">
        <is>
          <t>61 : 39</t>
        </is>
      </c>
      <c r="Y1221" t="n">
        <v>132</v>
      </c>
      <c r="Z1221" t="n">
        <v>181</v>
      </c>
      <c r="AA1221" t="n">
        <v>60</v>
      </c>
      <c r="AB1221" t="inlineStr">
        <is>
          <t>U1220</t>
        </is>
      </c>
      <c r="AC1221" t="inlineStr">
        <is>
          <t>IT</t>
        </is>
      </c>
      <c r="AD1221" t="n">
        <v>54.2</v>
      </c>
      <c r="AE1221" t="n">
        <v>45.3</v>
      </c>
      <c r="AF1221" t="n">
        <v>22.2</v>
      </c>
      <c r="AG1221" t="inlineStr">
        <is>
          <t>1:22.2</t>
        </is>
      </c>
      <c r="AH1221" t="inlineStr">
        <is>
          <t>9%</t>
        </is>
      </c>
      <c r="AI1221" t="n">
        <v>80.7</v>
      </c>
      <c r="AJ1221" t="n">
        <v>43.57</v>
      </c>
    </row>
    <row r="1222">
      <c r="A1222" t="inlineStr">
        <is>
          <t>Sapporo Medical University</t>
        </is>
      </c>
      <c r="B1222" t="inlineStr">
        <is>
          <t>Japan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>
        <is>
          <t>1201–1500</t>
        </is>
      </c>
      <c r="O1222" t="inlineStr">
        <is>
          <t>22.8–28.2</t>
        </is>
      </c>
      <c r="P1222" t="n">
        <v>29.7</v>
      </c>
      <c r="Q1222" t="n">
        <v>12.9</v>
      </c>
      <c r="R1222" t="n">
        <v>33.1</v>
      </c>
      <c r="S1222" t="n">
        <v>58.3</v>
      </c>
      <c r="T1222" t="n">
        <v>17.6</v>
      </c>
      <c r="U1222" t="inlineStr">
        <is>
          <t>1,294</t>
        </is>
      </c>
      <c r="V1222" t="n">
        <v>3.3</v>
      </c>
      <c r="W1222" t="inlineStr">
        <is>
          <t>0%</t>
        </is>
      </c>
      <c r="X1222" t="inlineStr">
        <is>
          <t>44 : 56</t>
        </is>
      </c>
      <c r="Y1222" t="inlineStr"/>
      <c r="Z1222" t="n">
        <v>1201</v>
      </c>
      <c r="AA1222" t="n">
        <v>25.5</v>
      </c>
      <c r="AB1222" t="inlineStr">
        <is>
          <t>U1221</t>
        </is>
      </c>
      <c r="AC1222" t="inlineStr">
        <is>
          <t>JA</t>
        </is>
      </c>
      <c r="AD1222" t="n">
        <v>25.5</v>
      </c>
      <c r="AE1222" t="n">
        <v>33.1</v>
      </c>
      <c r="AF1222" t="n">
        <v>3.3</v>
      </c>
      <c r="AG1222" t="inlineStr">
        <is>
          <t>1:3.3</t>
        </is>
      </c>
      <c r="AH1222" t="inlineStr">
        <is>
          <t>0%</t>
        </is>
      </c>
      <c r="AI1222" t="inlineStr"/>
      <c r="AJ1222" t="n">
        <v>14.44</v>
      </c>
    </row>
    <row r="1223">
      <c r="A1223" t="inlineStr">
        <is>
          <t>Saratov State Medical University</t>
        </is>
      </c>
      <c r="B1223" t="inlineStr">
        <is>
          <t>Russian Federation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>
        <is>
          <t>1501+</t>
        </is>
      </c>
      <c r="O1223" t="inlineStr">
        <is>
          <t>9.7–22.7</t>
        </is>
      </c>
      <c r="P1223" t="n">
        <v>25.6</v>
      </c>
      <c r="Q1223" t="n">
        <v>10.7</v>
      </c>
      <c r="R1223" t="n">
        <v>3.7</v>
      </c>
      <c r="S1223" t="n">
        <v>16.2</v>
      </c>
      <c r="T1223" t="n">
        <v>31.2</v>
      </c>
      <c r="U1223" t="inlineStr">
        <is>
          <t>7,242</t>
        </is>
      </c>
      <c r="V1223" t="n">
        <v>6.6</v>
      </c>
      <c r="W1223" t="inlineStr">
        <is>
          <t>12%</t>
        </is>
      </c>
      <c r="X1223" t="inlineStr"/>
      <c r="Y1223" t="inlineStr"/>
      <c r="Z1223" t="n">
        <v>1501</v>
      </c>
      <c r="AA1223" t="n">
        <v>16.2</v>
      </c>
      <c r="AB1223" t="inlineStr">
        <is>
          <t>U1222</t>
        </is>
      </c>
      <c r="AC1223" t="inlineStr">
        <is>
          <t>RU</t>
        </is>
      </c>
      <c r="AD1223" t="n">
        <v>16.2</v>
      </c>
      <c r="AE1223" t="n">
        <v>3.7</v>
      </c>
      <c r="AF1223" t="n">
        <v>6.6</v>
      </c>
      <c r="AG1223" t="inlineStr">
        <is>
          <t>1:6.6</t>
        </is>
      </c>
      <c r="AH1223" t="inlineStr">
        <is>
          <t>12%</t>
        </is>
      </c>
      <c r="AI1223" t="inlineStr"/>
      <c r="AJ1223" t="n">
        <v>7.67</v>
      </c>
    </row>
    <row r="1224">
      <c r="A1224" t="inlineStr">
        <is>
          <t>SASTRA University</t>
        </is>
      </c>
      <c r="B1224" t="inlineStr">
        <is>
          <t>India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>
        <is>
          <t>1201–1500</t>
        </is>
      </c>
      <c r="O1224" t="inlineStr">
        <is>
          <t>22.8–28.2</t>
        </is>
      </c>
      <c r="P1224" t="n">
        <v>22.4</v>
      </c>
      <c r="Q1224" t="n">
        <v>11.3</v>
      </c>
      <c r="R1224" t="n">
        <v>45</v>
      </c>
      <c r="S1224" t="n">
        <v>30.3</v>
      </c>
      <c r="T1224" t="n">
        <v>29.4</v>
      </c>
      <c r="U1224" t="inlineStr">
        <is>
          <t>10,360</t>
        </is>
      </c>
      <c r="V1224" t="n">
        <v>13.1</v>
      </c>
      <c r="W1224" t="inlineStr">
        <is>
          <t>3%</t>
        </is>
      </c>
      <c r="X1224" t="inlineStr">
        <is>
          <t>43 : 57</t>
        </is>
      </c>
      <c r="Y1224" t="inlineStr"/>
      <c r="Z1224" t="n">
        <v>1201</v>
      </c>
      <c r="AA1224" t="n">
        <v>25.5</v>
      </c>
      <c r="AB1224" t="inlineStr">
        <is>
          <t>U1223</t>
        </is>
      </c>
      <c r="AC1224" t="inlineStr">
        <is>
          <t>IN</t>
        </is>
      </c>
      <c r="AD1224" t="n">
        <v>25.5</v>
      </c>
      <c r="AE1224" t="n">
        <v>45</v>
      </c>
      <c r="AF1224" t="n">
        <v>13.1</v>
      </c>
      <c r="AG1224" t="inlineStr">
        <is>
          <t>1:13.1</t>
        </is>
      </c>
      <c r="AH1224" t="inlineStr">
        <is>
          <t>3%</t>
        </is>
      </c>
      <c r="AI1224" t="inlineStr"/>
      <c r="AJ1224" t="n">
        <v>20.06</v>
      </c>
    </row>
    <row r="1225">
      <c r="A1225" t="inlineStr">
        <is>
          <t>Satbayev University</t>
        </is>
      </c>
      <c r="B1225" t="inlineStr">
        <is>
          <t>Kazakhstan</t>
        </is>
      </c>
      <c r="C1225" t="inlineStr">
        <is>
          <t>405</t>
        </is>
      </c>
      <c r="D1225" t="n">
        <v>29.3</v>
      </c>
      <c r="E1225" t="n">
        <v>27.8</v>
      </c>
      <c r="F1225" t="n">
        <v>43.4</v>
      </c>
      <c r="G1225" t="n">
        <v>88.09999999999999</v>
      </c>
      <c r="H1225" t="n">
        <v>1.2</v>
      </c>
      <c r="I1225" t="n">
        <v>66.7</v>
      </c>
      <c r="J1225" t="n">
        <v>16.9</v>
      </c>
      <c r="K1225" t="n">
        <v>15</v>
      </c>
      <c r="L1225" t="n">
        <v>23.6</v>
      </c>
      <c r="M1225" t="n">
        <v>3.8</v>
      </c>
      <c r="N1225" t="inlineStr">
        <is>
          <t>1501+</t>
        </is>
      </c>
      <c r="O1225" t="inlineStr">
        <is>
          <t>9.7–22.7</t>
        </is>
      </c>
      <c r="P1225" t="n">
        <v>22.7</v>
      </c>
      <c r="Q1225" t="n">
        <v>10.8</v>
      </c>
      <c r="R1225" t="n">
        <v>8.5</v>
      </c>
      <c r="S1225" t="n">
        <v>23.2</v>
      </c>
      <c r="T1225" t="n">
        <v>68.7</v>
      </c>
      <c r="U1225" t="inlineStr">
        <is>
          <t>8,114</t>
        </is>
      </c>
      <c r="V1225" t="n">
        <v>12.4</v>
      </c>
      <c r="W1225" t="inlineStr">
        <is>
          <t>5%</t>
        </is>
      </c>
      <c r="X1225" t="inlineStr">
        <is>
          <t>44 : 56</t>
        </is>
      </c>
      <c r="Y1225" t="n">
        <v>405</v>
      </c>
      <c r="Z1225" t="n">
        <v>1501</v>
      </c>
      <c r="AA1225" t="n">
        <v>16.2</v>
      </c>
      <c r="AB1225" t="inlineStr">
        <is>
          <t>U1224</t>
        </is>
      </c>
      <c r="AC1225" t="inlineStr">
        <is>
          <t>KA</t>
        </is>
      </c>
      <c r="AD1225" t="n">
        <v>29.3</v>
      </c>
      <c r="AE1225" t="n">
        <v>1.2</v>
      </c>
      <c r="AF1225" t="n">
        <v>12.4</v>
      </c>
      <c r="AG1225" t="inlineStr">
        <is>
          <t>1:12.4</t>
        </is>
      </c>
      <c r="AH1225" t="inlineStr">
        <is>
          <t>5%</t>
        </is>
      </c>
      <c r="AI1225" t="n">
        <v>27.8</v>
      </c>
      <c r="AJ1225" t="n">
        <v>16.03</v>
      </c>
    </row>
    <row r="1226">
      <c r="A1226" t="inlineStr">
        <is>
          <t>Sathyabama Institute of Science and Technology (deemed to be university)</t>
        </is>
      </c>
      <c r="B1226" t="inlineStr">
        <is>
          <t>India</t>
        </is>
      </c>
      <c r="C1226" t="inlineStr">
        <is>
          <t>1201-1400</t>
        </is>
      </c>
      <c r="D1226" t="inlineStr"/>
      <c r="E1226" t="n">
        <v>6.8</v>
      </c>
      <c r="F1226" t="n">
        <v>3.7</v>
      </c>
      <c r="G1226" t="n">
        <v>24.8</v>
      </c>
      <c r="H1226" t="n">
        <v>4.3</v>
      </c>
      <c r="I1226" t="n">
        <v>5.3</v>
      </c>
      <c r="J1226" t="n">
        <v>3.5</v>
      </c>
      <c r="K1226" t="n">
        <v>17</v>
      </c>
      <c r="L1226" t="n">
        <v>1.9</v>
      </c>
      <c r="M1226" t="n">
        <v>3.1</v>
      </c>
      <c r="N1226" t="inlineStr">
        <is>
          <t>1201–1500</t>
        </is>
      </c>
      <c r="O1226" t="inlineStr">
        <is>
          <t>22.8–28.2</t>
        </is>
      </c>
      <c r="P1226" t="n">
        <v>31.2</v>
      </c>
      <c r="Q1226" t="n">
        <v>9.9</v>
      </c>
      <c r="R1226" t="n">
        <v>35.1</v>
      </c>
      <c r="S1226" t="n">
        <v>16.9</v>
      </c>
      <c r="T1226" t="n">
        <v>29.7</v>
      </c>
      <c r="U1226" t="inlineStr">
        <is>
          <t>13,406</t>
        </is>
      </c>
      <c r="V1226" t="n">
        <v>10.6</v>
      </c>
      <c r="W1226" t="inlineStr">
        <is>
          <t>5%</t>
        </is>
      </c>
      <c r="X1226" t="inlineStr">
        <is>
          <t>50 : 50</t>
        </is>
      </c>
      <c r="Y1226" t="n">
        <v>1201</v>
      </c>
      <c r="Z1226" t="n">
        <v>1201</v>
      </c>
      <c r="AA1226" t="n">
        <v>25.5</v>
      </c>
      <c r="AB1226" t="inlineStr">
        <is>
          <t>U1225</t>
        </is>
      </c>
      <c r="AC1226" t="inlineStr">
        <is>
          <t>IN</t>
        </is>
      </c>
      <c r="AD1226" t="n">
        <v>25.5</v>
      </c>
      <c r="AE1226" t="n">
        <v>4.3</v>
      </c>
      <c r="AF1226" t="n">
        <v>10.6</v>
      </c>
      <c r="AG1226" t="inlineStr">
        <is>
          <t>1:10.6</t>
        </is>
      </c>
      <c r="AH1226" t="inlineStr">
        <is>
          <t>5%</t>
        </is>
      </c>
      <c r="AI1226" t="n">
        <v>6.8</v>
      </c>
      <c r="AJ1226" t="n">
        <v>7.07</v>
      </c>
    </row>
    <row r="1227">
      <c r="A1227" t="inlineStr">
        <is>
          <t>Saveetha Institute of Medical and Technical Sciences (deemed to be university)</t>
        </is>
      </c>
      <c r="B1227" t="inlineStr">
        <is>
          <t>India</t>
        </is>
      </c>
      <c r="C1227" t="inlineStr">
        <is>
          <t>951-1000</t>
        </is>
      </c>
      <c r="D1227" t="inlineStr"/>
      <c r="E1227" t="n">
        <v>5.5</v>
      </c>
      <c r="F1227" t="n">
        <v>2.6</v>
      </c>
      <c r="G1227" t="n">
        <v>21.1</v>
      </c>
      <c r="H1227" t="n">
        <v>7.2</v>
      </c>
      <c r="I1227" t="n">
        <v>87.09999999999999</v>
      </c>
      <c r="J1227" t="n">
        <v>7.2</v>
      </c>
      <c r="K1227" t="n">
        <v>60.8</v>
      </c>
      <c r="L1227" t="n">
        <v>1.9</v>
      </c>
      <c r="M1227" t="n">
        <v>1.7</v>
      </c>
      <c r="N1227" t="inlineStr">
        <is>
          <t>601–800</t>
        </is>
      </c>
      <c r="O1227" t="inlineStr">
        <is>
          <t>37.0–41.8</t>
        </is>
      </c>
      <c r="P1227" t="n">
        <v>31.7</v>
      </c>
      <c r="Q1227" t="n">
        <v>10.2</v>
      </c>
      <c r="R1227" t="n">
        <v>77.8</v>
      </c>
      <c r="S1227" t="n">
        <v>17.3</v>
      </c>
      <c r="T1227" t="n">
        <v>58.9</v>
      </c>
      <c r="U1227" t="inlineStr">
        <is>
          <t>11,919</t>
        </is>
      </c>
      <c r="V1227" t="n">
        <v>7.1</v>
      </c>
      <c r="W1227" t="inlineStr">
        <is>
          <t>1%</t>
        </is>
      </c>
      <c r="X1227" t="inlineStr">
        <is>
          <t>46 : 54</t>
        </is>
      </c>
      <c r="Y1227" t="n">
        <v>951</v>
      </c>
      <c r="Z1227" t="n">
        <v>601</v>
      </c>
      <c r="AA1227" t="n">
        <v>39.4</v>
      </c>
      <c r="AB1227" t="inlineStr">
        <is>
          <t>U1226</t>
        </is>
      </c>
      <c r="AC1227" t="inlineStr">
        <is>
          <t>IN</t>
        </is>
      </c>
      <c r="AD1227" t="n">
        <v>39.4</v>
      </c>
      <c r="AE1227" t="n">
        <v>7.2</v>
      </c>
      <c r="AF1227" t="n">
        <v>7.1</v>
      </c>
      <c r="AG1227" t="inlineStr">
        <is>
          <t>1:7.1</t>
        </is>
      </c>
      <c r="AH1227" t="inlineStr">
        <is>
          <t>1%</t>
        </is>
      </c>
      <c r="AI1227" t="n">
        <v>5.5</v>
      </c>
      <c r="AJ1227" t="n">
        <v>15.16</v>
      </c>
    </row>
    <row r="1228">
      <c r="A1228" t="inlineStr">
        <is>
          <t>Savitribai Phule Pune University</t>
        </is>
      </c>
      <c r="B1228" t="inlineStr">
        <is>
          <t>India</t>
        </is>
      </c>
      <c r="C1228" t="inlineStr">
        <is>
          <t>631-640</t>
        </is>
      </c>
      <c r="D1228" t="inlineStr"/>
      <c r="E1228" t="n">
        <v>8.9</v>
      </c>
      <c r="F1228" t="n">
        <v>18.3</v>
      </c>
      <c r="G1228" t="n">
        <v>48.8</v>
      </c>
      <c r="H1228" t="n">
        <v>35.3</v>
      </c>
      <c r="I1228" t="n">
        <v>1.4</v>
      </c>
      <c r="J1228" t="n">
        <v>2.5</v>
      </c>
      <c r="K1228" t="n">
        <v>44.2</v>
      </c>
      <c r="L1228" t="n">
        <v>14.4</v>
      </c>
      <c r="M1228" t="n">
        <v>1.8</v>
      </c>
      <c r="N1228" t="inlineStr">
        <is>
          <t>801–1000</t>
        </is>
      </c>
      <c r="O1228" t="inlineStr">
        <is>
          <t>32.7–36.9</t>
        </is>
      </c>
      <c r="P1228" t="n">
        <v>44</v>
      </c>
      <c r="Q1228" t="n">
        <v>11.8</v>
      </c>
      <c r="R1228" t="n">
        <v>54.5</v>
      </c>
      <c r="S1228" t="n">
        <v>22.8</v>
      </c>
      <c r="T1228" t="n">
        <v>25.2</v>
      </c>
      <c r="U1228" t="inlineStr">
        <is>
          <t>5,871</t>
        </is>
      </c>
      <c r="V1228" t="n">
        <v>9.6</v>
      </c>
      <c r="W1228" t="inlineStr">
        <is>
          <t>4%</t>
        </is>
      </c>
      <c r="X1228" t="inlineStr">
        <is>
          <t>44 : 56</t>
        </is>
      </c>
      <c r="Y1228" t="n">
        <v>631</v>
      </c>
      <c r="Z1228" t="n">
        <v>801</v>
      </c>
      <c r="AA1228" t="n">
        <v>34.8</v>
      </c>
      <c r="AB1228" t="inlineStr">
        <is>
          <t>U1227</t>
        </is>
      </c>
      <c r="AC1228" t="inlineStr">
        <is>
          <t>IN</t>
        </is>
      </c>
      <c r="AD1228" t="n">
        <v>34.8</v>
      </c>
      <c r="AE1228" t="n">
        <v>35.3</v>
      </c>
      <c r="AF1228" t="n">
        <v>9.6</v>
      </c>
      <c r="AG1228" t="inlineStr">
        <is>
          <t>1:9.6</t>
        </is>
      </c>
      <c r="AH1228" t="inlineStr">
        <is>
          <t>4%</t>
        </is>
      </c>
      <c r="AI1228" t="n">
        <v>8.9</v>
      </c>
      <c r="AJ1228" t="n">
        <v>16.37</v>
      </c>
    </row>
    <row r="1229">
      <c r="A1229" t="inlineStr">
        <is>
          <t xml:space="preserve">Sciences Po </t>
        </is>
      </c>
      <c r="B1229" t="inlineStr">
        <is>
          <t>France</t>
        </is>
      </c>
      <c r="C1229" t="inlineStr">
        <is>
          <t>350</t>
        </is>
      </c>
      <c r="D1229" t="n">
        <v>32.5</v>
      </c>
      <c r="E1229" t="n">
        <v>16.8</v>
      </c>
      <c r="F1229" t="n">
        <v>34.8</v>
      </c>
      <c r="G1229" t="n">
        <v>81.09999999999999</v>
      </c>
      <c r="H1229" t="n">
        <v>2.8</v>
      </c>
      <c r="I1229" t="n">
        <v>52.7</v>
      </c>
      <c r="J1229" t="n">
        <v>97.2</v>
      </c>
      <c r="K1229" t="n">
        <v>31.4</v>
      </c>
      <c r="L1229" t="n">
        <v>97.7</v>
      </c>
      <c r="M1229" t="n">
        <v>7.2</v>
      </c>
      <c r="N1229" t="inlineStr">
        <is>
          <t>501–600</t>
        </is>
      </c>
      <c r="O1229" t="inlineStr">
        <is>
          <t>41.9–45.3</t>
        </is>
      </c>
      <c r="P1229" t="n">
        <v>32.4</v>
      </c>
      <c r="Q1229" t="n">
        <v>25.6</v>
      </c>
      <c r="R1229" t="n">
        <v>60.1</v>
      </c>
      <c r="S1229" t="n">
        <v>17.2</v>
      </c>
      <c r="T1229" t="n">
        <v>84.59999999999999</v>
      </c>
      <c r="U1229" t="inlineStr">
        <is>
          <t>12,445</t>
        </is>
      </c>
      <c r="V1229" t="n">
        <v>42.6</v>
      </c>
      <c r="W1229" t="inlineStr">
        <is>
          <t>32%</t>
        </is>
      </c>
      <c r="X1229" t="inlineStr">
        <is>
          <t>63 : 37</t>
        </is>
      </c>
      <c r="Y1229" t="n">
        <v>350</v>
      </c>
      <c r="Z1229" t="n">
        <v>501</v>
      </c>
      <c r="AA1229" t="n">
        <v>43.59999999999999</v>
      </c>
      <c r="AB1229" t="inlineStr">
        <is>
          <t>U1228</t>
        </is>
      </c>
      <c r="AC1229" t="inlineStr">
        <is>
          <t>FR</t>
        </is>
      </c>
      <c r="AD1229" t="n">
        <v>32.5</v>
      </c>
      <c r="AE1229" t="n">
        <v>2.8</v>
      </c>
      <c r="AF1229" t="n">
        <v>42.6</v>
      </c>
      <c r="AG1229" t="inlineStr">
        <is>
          <t>1:42.6</t>
        </is>
      </c>
      <c r="AH1229" t="inlineStr">
        <is>
          <t>32%</t>
        </is>
      </c>
      <c r="AI1229" t="n">
        <v>16.8</v>
      </c>
      <c r="AJ1229" t="n">
        <v>28.12</v>
      </c>
    </row>
    <row r="1230">
      <c r="A1230" t="inlineStr">
        <is>
          <t>Scuola Normale Superiore di Pisa</t>
        </is>
      </c>
      <c r="B1230" t="inlineStr">
        <is>
          <t>Italy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>
        <f>168</f>
        <v/>
      </c>
      <c r="O1230" t="inlineStr">
        <is>
          <t>60.8</t>
        </is>
      </c>
      <c r="P1230" t="n">
        <v>60.1</v>
      </c>
      <c r="Q1230" t="n">
        <v>42.6</v>
      </c>
      <c r="R1230" t="n">
        <v>82.90000000000001</v>
      </c>
      <c r="S1230" t="n">
        <v>34.9</v>
      </c>
      <c r="T1230" t="n">
        <v>59.3</v>
      </c>
      <c r="U1230" t="inlineStr">
        <is>
          <t>614</t>
        </is>
      </c>
      <c r="V1230" t="n">
        <v>7.4</v>
      </c>
      <c r="W1230" t="inlineStr">
        <is>
          <t>11%</t>
        </is>
      </c>
      <c r="X1230" t="inlineStr">
        <is>
          <t>29 : 71</t>
        </is>
      </c>
      <c r="Y1230" t="inlineStr"/>
      <c r="Z1230" t="n">
        <v>168</v>
      </c>
      <c r="AA1230" t="n">
        <v>60.8</v>
      </c>
      <c r="AB1230" t="inlineStr">
        <is>
          <t>U1229</t>
        </is>
      </c>
      <c r="AC1230" t="inlineStr">
        <is>
          <t>IT</t>
        </is>
      </c>
      <c r="AD1230" t="n">
        <v>60.8</v>
      </c>
      <c r="AE1230" t="n">
        <v>82.90000000000001</v>
      </c>
      <c r="AF1230" t="n">
        <v>7.4</v>
      </c>
      <c r="AG1230" t="inlineStr">
        <is>
          <t>1:7.4</t>
        </is>
      </c>
      <c r="AH1230" t="inlineStr">
        <is>
          <t>11%</t>
        </is>
      </c>
      <c r="AI1230" t="inlineStr"/>
      <c r="AJ1230" t="n">
        <v>55.18</v>
      </c>
    </row>
    <row r="1231">
      <c r="A1231" t="inlineStr">
        <is>
          <t>Seattle University</t>
        </is>
      </c>
      <c r="B1231" t="inlineStr">
        <is>
          <t>United States</t>
        </is>
      </c>
      <c r="C1231" t="inlineStr">
        <is>
          <t>1201-1400</t>
        </is>
      </c>
      <c r="D1231" t="inlineStr"/>
      <c r="E1231" t="n">
        <v>5.4</v>
      </c>
      <c r="F1231" t="n">
        <v>6.4</v>
      </c>
      <c r="G1231" t="n">
        <v>32.2</v>
      </c>
      <c r="H1231" t="n">
        <v>2.1</v>
      </c>
      <c r="I1231" t="n">
        <v>1.5</v>
      </c>
      <c r="J1231" t="n">
        <v>13.2</v>
      </c>
      <c r="K1231" t="n">
        <v>6.3</v>
      </c>
      <c r="L1231" t="n">
        <v>10.1</v>
      </c>
      <c r="M1231" t="n">
        <v>2.4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n">
        <v>1201</v>
      </c>
      <c r="Z1231" t="inlineStr"/>
      <c r="AA1231" t="inlineStr"/>
      <c r="AB1231" t="inlineStr">
        <is>
          <t>U1230</t>
        </is>
      </c>
      <c r="AC1231" t="inlineStr">
        <is>
          <t>UN</t>
        </is>
      </c>
      <c r="AD1231" t="inlineStr"/>
      <c r="AE1231" t="n">
        <v>2.1</v>
      </c>
      <c r="AF1231" t="inlineStr"/>
      <c r="AG1231" t="inlineStr"/>
      <c r="AH1231" t="inlineStr"/>
      <c r="AI1231" t="n">
        <v>5.4</v>
      </c>
      <c r="AJ1231" t="n">
        <v>14.02</v>
      </c>
    </row>
    <row r="1232">
      <c r="A1232" t="inlineStr">
        <is>
          <t>Sechenov University</t>
        </is>
      </c>
      <c r="B1232" t="inlineStr">
        <is>
          <t>Russian Federation</t>
        </is>
      </c>
      <c r="C1232" t="inlineStr">
        <is>
          <t>791-800</t>
        </is>
      </c>
      <c r="D1232" t="inlineStr"/>
      <c r="E1232" t="n">
        <v>5.3</v>
      </c>
      <c r="F1232" t="n">
        <v>5</v>
      </c>
      <c r="G1232" t="n">
        <v>57.4</v>
      </c>
      <c r="H1232" t="n">
        <v>4.3</v>
      </c>
      <c r="I1232" t="n">
        <v>9</v>
      </c>
      <c r="J1232" t="n">
        <v>63</v>
      </c>
      <c r="K1232" t="n">
        <v>83.59999999999999</v>
      </c>
      <c r="L1232" t="n">
        <v>1.9</v>
      </c>
      <c r="M1232" t="n">
        <v>1</v>
      </c>
      <c r="N1232" t="inlineStr">
        <is>
          <t>801–1000</t>
        </is>
      </c>
      <c r="O1232" t="inlineStr">
        <is>
          <t>32.7–36.9</t>
        </is>
      </c>
      <c r="P1232" t="n">
        <v>32.6</v>
      </c>
      <c r="Q1232" t="n">
        <v>17.1</v>
      </c>
      <c r="R1232" t="n">
        <v>47.7</v>
      </c>
      <c r="S1232" t="n">
        <v>39.4</v>
      </c>
      <c r="T1232" t="n">
        <v>62.1</v>
      </c>
      <c r="U1232" t="inlineStr">
        <is>
          <t>15,885</t>
        </is>
      </c>
      <c r="V1232" t="n">
        <v>8.1</v>
      </c>
      <c r="W1232" t="inlineStr">
        <is>
          <t>26%</t>
        </is>
      </c>
      <c r="X1232" t="inlineStr">
        <is>
          <t>69 : 31</t>
        </is>
      </c>
      <c r="Y1232" t="n">
        <v>791</v>
      </c>
      <c r="Z1232" t="n">
        <v>801</v>
      </c>
      <c r="AA1232" t="n">
        <v>34.8</v>
      </c>
      <c r="AB1232" t="inlineStr">
        <is>
          <t>U1231</t>
        </is>
      </c>
      <c r="AC1232" t="inlineStr">
        <is>
          <t>RU</t>
        </is>
      </c>
      <c r="AD1232" t="n">
        <v>34.8</v>
      </c>
      <c r="AE1232" t="n">
        <v>4.3</v>
      </c>
      <c r="AF1232" t="n">
        <v>8.1</v>
      </c>
      <c r="AG1232" t="inlineStr">
        <is>
          <t>1:8.1</t>
        </is>
      </c>
      <c r="AH1232" t="inlineStr">
        <is>
          <t>26%</t>
        </is>
      </c>
      <c r="AI1232" t="n">
        <v>5.3</v>
      </c>
      <c r="AJ1232" t="n">
        <v>18.68</v>
      </c>
    </row>
    <row r="1233">
      <c r="A1233" t="inlineStr">
        <is>
          <t xml:space="preserve">Sejong University </t>
        </is>
      </c>
      <c r="B1233" t="inlineStr">
        <is>
          <t>South Korea</t>
        </is>
      </c>
      <c r="C1233" t="inlineStr">
        <is>
          <t>396</t>
        </is>
      </c>
      <c r="D1233" t="n">
        <v>29.7</v>
      </c>
      <c r="E1233" t="n">
        <v>10.8</v>
      </c>
      <c r="F1233" t="n">
        <v>16.1</v>
      </c>
      <c r="G1233" t="n">
        <v>11.9</v>
      </c>
      <c r="H1233" t="n">
        <v>76.90000000000001</v>
      </c>
      <c r="I1233" t="n">
        <v>23.8</v>
      </c>
      <c r="J1233" t="n">
        <v>31.2</v>
      </c>
      <c r="K1233" t="n">
        <v>64.09999999999999</v>
      </c>
      <c r="L1233" t="n">
        <v>1.8</v>
      </c>
      <c r="M1233" t="n">
        <v>45.9</v>
      </c>
      <c r="N1233" t="inlineStr">
        <is>
          <t>251–300</t>
        </is>
      </c>
      <c r="O1233" t="inlineStr">
        <is>
          <t>53.1–55.8</t>
        </is>
      </c>
      <c r="P1233" t="n">
        <v>31.4</v>
      </c>
      <c r="Q1233" t="n">
        <v>34.5</v>
      </c>
      <c r="R1233" t="n">
        <v>94</v>
      </c>
      <c r="S1233" t="n">
        <v>73.8</v>
      </c>
      <c r="T1233" t="n">
        <v>68.59999999999999</v>
      </c>
      <c r="U1233" t="inlineStr">
        <is>
          <t>11,678</t>
        </is>
      </c>
      <c r="V1233" t="n">
        <v>18.9</v>
      </c>
      <c r="W1233" t="inlineStr">
        <is>
          <t>15%</t>
        </is>
      </c>
      <c r="X1233" t="inlineStr">
        <is>
          <t>51 : 49</t>
        </is>
      </c>
      <c r="Y1233" t="n">
        <v>396</v>
      </c>
      <c r="Z1233" t="n">
        <v>251</v>
      </c>
      <c r="AA1233" t="n">
        <v>54.45</v>
      </c>
      <c r="AB1233" t="inlineStr">
        <is>
          <t>U1232</t>
        </is>
      </c>
      <c r="AC1233" t="inlineStr">
        <is>
          <t>SO</t>
        </is>
      </c>
      <c r="AD1233" t="n">
        <v>29.7</v>
      </c>
      <c r="AE1233" t="n">
        <v>76.90000000000001</v>
      </c>
      <c r="AF1233" t="n">
        <v>18.9</v>
      </c>
      <c r="AG1233" t="inlineStr">
        <is>
          <t>1:18.9</t>
        </is>
      </c>
      <c r="AH1233" t="inlineStr">
        <is>
          <t>15%</t>
        </is>
      </c>
      <c r="AI1233" t="n">
        <v>10.8</v>
      </c>
      <c r="AJ1233" t="n">
        <v>51.37</v>
      </c>
    </row>
    <row r="1234">
      <c r="A1234" t="inlineStr">
        <is>
          <t>Selçuk University</t>
        </is>
      </c>
      <c r="B1234" t="inlineStr">
        <is>
          <t>Turkey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>
        <is>
          <t>1201–1500</t>
        </is>
      </c>
      <c r="O1234" t="inlineStr">
        <is>
          <t>22.8–28.2</t>
        </is>
      </c>
      <c r="P1234" t="n">
        <v>22.4</v>
      </c>
      <c r="Q1234" t="n">
        <v>14.4</v>
      </c>
      <c r="R1234" t="n">
        <v>36.7</v>
      </c>
      <c r="S1234" t="n">
        <v>58.2</v>
      </c>
      <c r="T1234" t="n">
        <v>34.1</v>
      </c>
      <c r="U1234" t="inlineStr">
        <is>
          <t>32,183</t>
        </is>
      </c>
      <c r="V1234" t="n">
        <v>14</v>
      </c>
      <c r="W1234" t="inlineStr">
        <is>
          <t>8%</t>
        </is>
      </c>
      <c r="X1234" t="inlineStr">
        <is>
          <t>58 : 42</t>
        </is>
      </c>
      <c r="Y1234" t="inlineStr"/>
      <c r="Z1234" t="n">
        <v>1201</v>
      </c>
      <c r="AA1234" t="n">
        <v>25.5</v>
      </c>
      <c r="AB1234" t="inlineStr">
        <is>
          <t>U1233</t>
        </is>
      </c>
      <c r="AC1234" t="inlineStr">
        <is>
          <t>TU</t>
        </is>
      </c>
      <c r="AD1234" t="n">
        <v>25.5</v>
      </c>
      <c r="AE1234" t="n">
        <v>36.7</v>
      </c>
      <c r="AF1234" t="n">
        <v>14</v>
      </c>
      <c r="AG1234" t="inlineStr">
        <is>
          <t>1:14.0</t>
        </is>
      </c>
      <c r="AH1234" t="inlineStr">
        <is>
          <t>8%</t>
        </is>
      </c>
      <c r="AI1234" t="inlineStr"/>
      <c r="AJ1234" t="n">
        <v>20.31</v>
      </c>
    </row>
    <row r="1235">
      <c r="A1235" t="inlineStr">
        <is>
          <t>Semmelweis University</t>
        </is>
      </c>
      <c r="B1235" t="inlineStr">
        <is>
          <t>Hungary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>
        <is>
          <t>251–300</t>
        </is>
      </c>
      <c r="O1235" t="inlineStr">
        <is>
          <t>53.1–55.8</t>
        </is>
      </c>
      <c r="P1235" t="n">
        <v>45.2</v>
      </c>
      <c r="Q1235" t="n">
        <v>27.8</v>
      </c>
      <c r="R1235" t="n">
        <v>76.90000000000001</v>
      </c>
      <c r="S1235" t="n">
        <v>66.40000000000001</v>
      </c>
      <c r="T1235" t="n">
        <v>79.90000000000001</v>
      </c>
      <c r="U1235" t="inlineStr">
        <is>
          <t>9,966</t>
        </is>
      </c>
      <c r="V1235" t="n">
        <v>12.8</v>
      </c>
      <c r="W1235" t="inlineStr">
        <is>
          <t>37%</t>
        </is>
      </c>
      <c r="X1235" t="inlineStr">
        <is>
          <t>69 : 31</t>
        </is>
      </c>
      <c r="Y1235" t="inlineStr"/>
      <c r="Z1235" t="n">
        <v>251</v>
      </c>
      <c r="AA1235" t="n">
        <v>54.45</v>
      </c>
      <c r="AB1235" t="inlineStr">
        <is>
          <t>U1234</t>
        </is>
      </c>
      <c r="AC1235" t="inlineStr">
        <is>
          <t>HU</t>
        </is>
      </c>
      <c r="AD1235" t="n">
        <v>54.45</v>
      </c>
      <c r="AE1235" t="n">
        <v>76.90000000000001</v>
      </c>
      <c r="AF1235" t="n">
        <v>12.8</v>
      </c>
      <c r="AG1235" t="inlineStr">
        <is>
          <t>1:12.8</t>
        </is>
      </c>
      <c r="AH1235" t="inlineStr">
        <is>
          <t>37%</t>
        </is>
      </c>
      <c r="AI1235" t="inlineStr"/>
      <c r="AJ1235" t="n">
        <v>50.59</v>
      </c>
    </row>
    <row r="1236">
      <c r="A1236" t="inlineStr">
        <is>
          <t>Semnan University</t>
        </is>
      </c>
      <c r="B1236" t="inlineStr">
        <is>
          <t>Iran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>
        <is>
          <t>1001–1200</t>
        </is>
      </c>
      <c r="O1236" t="inlineStr">
        <is>
          <t>28.3–32.6</t>
        </is>
      </c>
      <c r="P1236" t="n">
        <v>30.7</v>
      </c>
      <c r="Q1236" t="n">
        <v>12.8</v>
      </c>
      <c r="R1236" t="n">
        <v>50.7</v>
      </c>
      <c r="S1236" t="n">
        <v>18.4</v>
      </c>
      <c r="T1236" t="n">
        <v>22.4</v>
      </c>
      <c r="U1236" t="inlineStr">
        <is>
          <t>14,404</t>
        </is>
      </c>
      <c r="V1236" t="n">
        <v>15.1</v>
      </c>
      <c r="W1236" t="inlineStr">
        <is>
          <t>1%</t>
        </is>
      </c>
      <c r="X1236" t="inlineStr">
        <is>
          <t>55 : 45</t>
        </is>
      </c>
      <c r="Y1236" t="inlineStr"/>
      <c r="Z1236" t="n">
        <v>1001</v>
      </c>
      <c r="AA1236" t="n">
        <v>30.45</v>
      </c>
      <c r="AB1236" t="inlineStr">
        <is>
          <t>U1235</t>
        </is>
      </c>
      <c r="AC1236" t="inlineStr">
        <is>
          <t>IR</t>
        </is>
      </c>
      <c r="AD1236" t="n">
        <v>30.45</v>
      </c>
      <c r="AE1236" t="n">
        <v>50.7</v>
      </c>
      <c r="AF1236" t="n">
        <v>15.1</v>
      </c>
      <c r="AG1236" t="inlineStr">
        <is>
          <t>1:15.1</t>
        </is>
      </c>
      <c r="AH1236" t="inlineStr">
        <is>
          <t>1%</t>
        </is>
      </c>
      <c r="AI1236" t="inlineStr"/>
      <c r="AJ1236" t="n">
        <v>20.88</v>
      </c>
    </row>
    <row r="1237">
      <c r="A1237" t="inlineStr">
        <is>
          <t>Semnan University of Medical Sciences and Health Services</t>
        </is>
      </c>
      <c r="B1237" t="inlineStr">
        <is>
          <t>Iran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>
        <is>
          <t>1201–1500</t>
        </is>
      </c>
      <c r="O1237" t="inlineStr">
        <is>
          <t>22.8–28.2</t>
        </is>
      </c>
      <c r="P1237" t="n">
        <v>25.4</v>
      </c>
      <c r="Q1237" t="n">
        <v>10.5</v>
      </c>
      <c r="R1237" t="n">
        <v>46.2</v>
      </c>
      <c r="S1237" t="n">
        <v>16.2</v>
      </c>
      <c r="T1237" t="n">
        <v>29.1</v>
      </c>
      <c r="U1237" t="inlineStr">
        <is>
          <t>3,537</t>
        </is>
      </c>
      <c r="V1237" t="n">
        <v>7.9</v>
      </c>
      <c r="W1237" t="inlineStr">
        <is>
          <t>7%</t>
        </is>
      </c>
      <c r="X1237" t="inlineStr">
        <is>
          <t>61 : 39</t>
        </is>
      </c>
      <c r="Y1237" t="inlineStr"/>
      <c r="Z1237" t="n">
        <v>1201</v>
      </c>
      <c r="AA1237" t="n">
        <v>25.5</v>
      </c>
      <c r="AB1237" t="inlineStr">
        <is>
          <t>U1236</t>
        </is>
      </c>
      <c r="AC1237" t="inlineStr">
        <is>
          <t>IR</t>
        </is>
      </c>
      <c r="AD1237" t="n">
        <v>25.5</v>
      </c>
      <c r="AE1237" t="n">
        <v>46.2</v>
      </c>
      <c r="AF1237" t="n">
        <v>7.9</v>
      </c>
      <c r="AG1237" t="inlineStr">
        <is>
          <t>1:7.9</t>
        </is>
      </c>
      <c r="AH1237" t="inlineStr">
        <is>
          <t>7%</t>
        </is>
      </c>
      <c r="AI1237" t="inlineStr"/>
      <c r="AJ1237" t="n">
        <v>19.93</v>
      </c>
    </row>
    <row r="1238">
      <c r="A1238" t="inlineStr">
        <is>
          <t>Seoul National University</t>
        </is>
      </c>
      <c r="B1238" t="inlineStr">
        <is>
          <t>South Korea</t>
        </is>
      </c>
      <c r="C1238" t="inlineStr">
        <is>
          <t>31</t>
        </is>
      </c>
      <c r="D1238" t="n">
        <v>82.3</v>
      </c>
      <c r="E1238" t="n">
        <v>98.5</v>
      </c>
      <c r="F1238" t="n">
        <v>98.59999999999999</v>
      </c>
      <c r="G1238" t="n">
        <v>83.09999999999999</v>
      </c>
      <c r="H1238" t="n">
        <v>71.7</v>
      </c>
      <c r="I1238" t="n">
        <v>10.5</v>
      </c>
      <c r="J1238" t="n">
        <v>16.9</v>
      </c>
      <c r="K1238" t="n">
        <v>73.2</v>
      </c>
      <c r="L1238" t="n">
        <v>100</v>
      </c>
      <c r="M1238" t="n">
        <v>96</v>
      </c>
      <c r="N1238" t="inlineStr">
        <is>
          <t>62</t>
        </is>
      </c>
      <c r="O1238" t="inlineStr">
        <is>
          <t>73.4</t>
        </is>
      </c>
      <c r="P1238" t="n">
        <v>74.2</v>
      </c>
      <c r="Q1238" t="n">
        <v>75.3</v>
      </c>
      <c r="R1238" t="n">
        <v>74.59999999999999</v>
      </c>
      <c r="S1238" t="n">
        <v>100</v>
      </c>
      <c r="T1238" t="n">
        <v>43.7</v>
      </c>
      <c r="U1238" t="inlineStr">
        <is>
          <t>28,620</t>
        </is>
      </c>
      <c r="V1238" t="n">
        <v>16.1</v>
      </c>
      <c r="W1238" t="inlineStr">
        <is>
          <t>13%</t>
        </is>
      </c>
      <c r="X1238" t="inlineStr"/>
      <c r="Y1238" t="n">
        <v>31</v>
      </c>
      <c r="Z1238" t="n">
        <v>62</v>
      </c>
      <c r="AA1238" t="n">
        <v>73.40000000000001</v>
      </c>
      <c r="AB1238" t="inlineStr">
        <is>
          <t>U1237</t>
        </is>
      </c>
      <c r="AC1238" t="inlineStr">
        <is>
          <t>SO</t>
        </is>
      </c>
      <c r="AD1238" t="n">
        <v>82.3</v>
      </c>
      <c r="AE1238" t="n">
        <v>71.7</v>
      </c>
      <c r="AF1238" t="n">
        <v>16.1</v>
      </c>
      <c r="AG1238" t="inlineStr">
        <is>
          <t>1:16.1</t>
        </is>
      </c>
      <c r="AH1238" t="inlineStr">
        <is>
          <t>13%</t>
        </is>
      </c>
      <c r="AI1238" t="n">
        <v>98.5</v>
      </c>
      <c r="AJ1238" t="n">
        <v>65.15000000000001</v>
      </c>
    </row>
    <row r="1239">
      <c r="A1239" t="inlineStr">
        <is>
          <t>Seoul National University of Science and Technology</t>
        </is>
      </c>
      <c r="B1239" t="inlineStr">
        <is>
          <t>South Korea</t>
        </is>
      </c>
      <c r="C1239" t="inlineStr">
        <is>
          <t>1201-1400</t>
        </is>
      </c>
      <c r="D1239" t="inlineStr"/>
      <c r="E1239" t="n">
        <v>6.4</v>
      </c>
      <c r="F1239" t="n">
        <v>3.6</v>
      </c>
      <c r="G1239" t="n">
        <v>12.8</v>
      </c>
      <c r="H1239" t="n">
        <v>10.3</v>
      </c>
      <c r="I1239" t="n">
        <v>9.6</v>
      </c>
      <c r="J1239" t="n">
        <v>11.9</v>
      </c>
      <c r="K1239" t="n">
        <v>12.4</v>
      </c>
      <c r="L1239" t="n">
        <v>1.9</v>
      </c>
      <c r="M1239" t="n">
        <v>9.800000000000001</v>
      </c>
      <c r="N1239" t="inlineStr">
        <is>
          <t>1201–1500</t>
        </is>
      </c>
      <c r="O1239" t="inlineStr">
        <is>
          <t>22.8–28.2</t>
        </is>
      </c>
      <c r="P1239" t="n">
        <v>28</v>
      </c>
      <c r="Q1239" t="n">
        <v>20.1</v>
      </c>
      <c r="R1239" t="n">
        <v>32.7</v>
      </c>
      <c r="S1239" t="n">
        <v>39.8</v>
      </c>
      <c r="T1239" t="n">
        <v>30.6</v>
      </c>
      <c r="U1239" t="inlineStr">
        <is>
          <t>8,987</t>
        </is>
      </c>
      <c r="V1239" t="n">
        <v>13.8</v>
      </c>
      <c r="W1239" t="inlineStr">
        <is>
          <t>9%</t>
        </is>
      </c>
      <c r="X1239" t="inlineStr">
        <is>
          <t>36 : 64</t>
        </is>
      </c>
      <c r="Y1239" t="n">
        <v>1201</v>
      </c>
      <c r="Z1239" t="n">
        <v>1201</v>
      </c>
      <c r="AA1239" t="n">
        <v>25.5</v>
      </c>
      <c r="AB1239" t="inlineStr">
        <is>
          <t>U1238</t>
        </is>
      </c>
      <c r="AC1239" t="inlineStr">
        <is>
          <t>SO</t>
        </is>
      </c>
      <c r="AD1239" t="n">
        <v>25.5</v>
      </c>
      <c r="AE1239" t="n">
        <v>10.3</v>
      </c>
      <c r="AF1239" t="n">
        <v>13.8</v>
      </c>
      <c r="AG1239" t="inlineStr">
        <is>
          <t>1:13.8</t>
        </is>
      </c>
      <c r="AH1239" t="inlineStr">
        <is>
          <t>9%</t>
        </is>
      </c>
      <c r="AI1239" t="n">
        <v>6.4</v>
      </c>
      <c r="AJ1239" t="n">
        <v>14.45</v>
      </c>
    </row>
    <row r="1240">
      <c r="A1240" t="inlineStr">
        <is>
          <t>SGH Warsaw School of Economics</t>
        </is>
      </c>
      <c r="B1240" t="inlineStr">
        <is>
          <t>Poland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>
        <is>
          <t>1501+</t>
        </is>
      </c>
      <c r="O1240" t="inlineStr">
        <is>
          <t>9.7–22.7</t>
        </is>
      </c>
      <c r="P1240" t="n">
        <v>24.8</v>
      </c>
      <c r="Q1240" t="n">
        <v>15.2</v>
      </c>
      <c r="R1240" t="n">
        <v>24.1</v>
      </c>
      <c r="S1240" t="n">
        <v>16.1</v>
      </c>
      <c r="T1240" t="n">
        <v>36.7</v>
      </c>
      <c r="U1240" t="inlineStr">
        <is>
          <t>8,618</t>
        </is>
      </c>
      <c r="V1240" t="n">
        <v>16.5</v>
      </c>
      <c r="W1240" t="inlineStr">
        <is>
          <t>13%</t>
        </is>
      </c>
      <c r="X1240" t="inlineStr">
        <is>
          <t>49 : 51</t>
        </is>
      </c>
      <c r="Y1240" t="inlineStr"/>
      <c r="Z1240" t="n">
        <v>1501</v>
      </c>
      <c r="AA1240" t="n">
        <v>16.2</v>
      </c>
      <c r="AB1240" t="inlineStr">
        <is>
          <t>U1239</t>
        </is>
      </c>
      <c r="AC1240" t="inlineStr">
        <is>
          <t>PO</t>
        </is>
      </c>
      <c r="AD1240" t="n">
        <v>16.2</v>
      </c>
      <c r="AE1240" t="n">
        <v>24.1</v>
      </c>
      <c r="AF1240" t="n">
        <v>16.5</v>
      </c>
      <c r="AG1240" t="inlineStr">
        <is>
          <t>1:16.5</t>
        </is>
      </c>
      <c r="AH1240" t="inlineStr">
        <is>
          <t>13%</t>
        </is>
      </c>
      <c r="AI1240" t="inlineStr"/>
      <c r="AJ1240" t="n">
        <v>17.54</v>
      </c>
    </row>
    <row r="1241">
      <c r="A1241" t="inlineStr">
        <is>
          <t>Shahed University</t>
        </is>
      </c>
      <c r="B1241" t="inlineStr">
        <is>
          <t>Iran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>
        <is>
          <t>1501+</t>
        </is>
      </c>
      <c r="O1241" t="inlineStr">
        <is>
          <t>9.7–22.7</t>
        </is>
      </c>
      <c r="P1241" t="n">
        <v>30.3</v>
      </c>
      <c r="Q1241" t="n">
        <v>14.8</v>
      </c>
      <c r="R1241" t="n">
        <v>22.5</v>
      </c>
      <c r="S1241" t="n">
        <v>26.6</v>
      </c>
      <c r="T1241" t="n">
        <v>18.7</v>
      </c>
      <c r="U1241" t="inlineStr">
        <is>
          <t>5,207</t>
        </is>
      </c>
      <c r="V1241" t="n">
        <v>15.8</v>
      </c>
      <c r="W1241" t="inlineStr">
        <is>
          <t>0%</t>
        </is>
      </c>
      <c r="X1241" t="inlineStr">
        <is>
          <t>53 : 47</t>
        </is>
      </c>
      <c r="Y1241" t="inlineStr"/>
      <c r="Z1241" t="n">
        <v>1501</v>
      </c>
      <c r="AA1241" t="n">
        <v>16.2</v>
      </c>
      <c r="AB1241" t="inlineStr">
        <is>
          <t>U1240</t>
        </is>
      </c>
      <c r="AC1241" t="inlineStr">
        <is>
          <t>IR</t>
        </is>
      </c>
      <c r="AD1241" t="n">
        <v>16.2</v>
      </c>
      <c r="AE1241" t="n">
        <v>22.5</v>
      </c>
      <c r="AF1241" t="n">
        <v>15.8</v>
      </c>
      <c r="AG1241" t="inlineStr">
        <is>
          <t>1:15.8</t>
        </is>
      </c>
      <c r="AH1241" t="inlineStr">
        <is>
          <t>0%</t>
        </is>
      </c>
      <c r="AI1241" t="inlineStr"/>
      <c r="AJ1241" t="n">
        <v>12.49</v>
      </c>
    </row>
    <row r="1242">
      <c r="A1242" t="inlineStr">
        <is>
          <t>Shahid Bahonar University of Kerman</t>
        </is>
      </c>
      <c r="B1242" t="inlineStr">
        <is>
          <t>Iran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>
        <is>
          <t>1201–1500</t>
        </is>
      </c>
      <c r="O1242" t="inlineStr">
        <is>
          <t>22.8–28.2</t>
        </is>
      </c>
      <c r="P1242" t="n">
        <v>19.4</v>
      </c>
      <c r="Q1242" t="n">
        <v>13.7</v>
      </c>
      <c r="R1242" t="n">
        <v>41.8</v>
      </c>
      <c r="S1242" t="n">
        <v>26.9</v>
      </c>
      <c r="T1242" t="n">
        <v>26.3</v>
      </c>
      <c r="U1242" t="inlineStr">
        <is>
          <t>13,458</t>
        </is>
      </c>
      <c r="V1242" t="n">
        <v>22.1</v>
      </c>
      <c r="W1242" t="inlineStr">
        <is>
          <t>1%</t>
        </is>
      </c>
      <c r="X1242" t="inlineStr">
        <is>
          <t>60 : 40</t>
        </is>
      </c>
      <c r="Y1242" t="inlineStr"/>
      <c r="Z1242" t="n">
        <v>1201</v>
      </c>
      <c r="AA1242" t="n">
        <v>25.5</v>
      </c>
      <c r="AB1242" t="inlineStr">
        <is>
          <t>U1241</t>
        </is>
      </c>
      <c r="AC1242" t="inlineStr">
        <is>
          <t>IR</t>
        </is>
      </c>
      <c r="AD1242" t="n">
        <v>25.5</v>
      </c>
      <c r="AE1242" t="n">
        <v>41.8</v>
      </c>
      <c r="AF1242" t="n">
        <v>22.1</v>
      </c>
      <c r="AG1242" t="inlineStr">
        <is>
          <t>1:22.1</t>
        </is>
      </c>
      <c r="AH1242" t="inlineStr">
        <is>
          <t>1%</t>
        </is>
      </c>
      <c r="AI1242" t="inlineStr"/>
      <c r="AJ1242" t="n">
        <v>19.6</v>
      </c>
    </row>
    <row r="1243">
      <c r="A1243" t="inlineStr">
        <is>
          <t>Shahid Beheshti University (SBU)</t>
        </is>
      </c>
      <c r="B1243" t="inlineStr">
        <is>
          <t>Iran</t>
        </is>
      </c>
      <c r="C1243" t="inlineStr">
        <is>
          <t>851-900</t>
        </is>
      </c>
      <c r="D1243" t="inlineStr"/>
      <c r="E1243" t="n">
        <v>7.9</v>
      </c>
      <c r="F1243" t="n">
        <v>7.3</v>
      </c>
      <c r="G1243" t="n">
        <v>4.1</v>
      </c>
      <c r="H1243" t="n">
        <v>33.3</v>
      </c>
      <c r="I1243" t="n">
        <v>1.6</v>
      </c>
      <c r="J1243" t="n">
        <v>1.6</v>
      </c>
      <c r="K1243" t="n">
        <v>64.7</v>
      </c>
      <c r="L1243" t="n">
        <v>19</v>
      </c>
      <c r="M1243" t="n">
        <v>1.5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n">
        <v>851</v>
      </c>
      <c r="Z1243" t="inlineStr"/>
      <c r="AA1243" t="inlineStr"/>
      <c r="AB1243" t="inlineStr">
        <is>
          <t>U1242</t>
        </is>
      </c>
      <c r="AC1243" t="inlineStr">
        <is>
          <t>IR</t>
        </is>
      </c>
      <c r="AD1243" t="inlineStr"/>
      <c r="AE1243" t="n">
        <v>33.3</v>
      </c>
      <c r="AF1243" t="inlineStr"/>
      <c r="AG1243" t="inlineStr"/>
      <c r="AH1243" t="inlineStr"/>
      <c r="AI1243" t="n">
        <v>7.9</v>
      </c>
      <c r="AJ1243" t="n">
        <v>23.48</v>
      </c>
    </row>
    <row r="1244">
      <c r="A1244" t="inlineStr">
        <is>
          <t>Shahid Beheshti University of Medical Sciences</t>
        </is>
      </c>
      <c r="B1244" t="inlineStr">
        <is>
          <t>Iran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>
        <is>
          <t>601–800</t>
        </is>
      </c>
      <c r="O1244" t="inlineStr">
        <is>
          <t>37.0–41.8</t>
        </is>
      </c>
      <c r="P1244" t="n">
        <v>45.1</v>
      </c>
      <c r="Q1244" t="n">
        <v>22.9</v>
      </c>
      <c r="R1244" t="n">
        <v>49.9</v>
      </c>
      <c r="S1244" t="n">
        <v>63.5</v>
      </c>
      <c r="T1244" t="n">
        <v>27.1</v>
      </c>
      <c r="U1244" t="inlineStr">
        <is>
          <t>12,057</t>
        </is>
      </c>
      <c r="V1244" t="n">
        <v>8</v>
      </c>
      <c r="W1244" t="inlineStr">
        <is>
          <t>4%</t>
        </is>
      </c>
      <c r="X1244" t="inlineStr">
        <is>
          <t>55 : 45</t>
        </is>
      </c>
      <c r="Y1244" t="inlineStr"/>
      <c r="Z1244" t="n">
        <v>601</v>
      </c>
      <c r="AA1244" t="n">
        <v>39.4</v>
      </c>
      <c r="AB1244" t="inlineStr">
        <is>
          <t>U1243</t>
        </is>
      </c>
      <c r="AC1244" t="inlineStr">
        <is>
          <t>IR</t>
        </is>
      </c>
      <c r="AD1244" t="n">
        <v>39.4</v>
      </c>
      <c r="AE1244" t="n">
        <v>49.9</v>
      </c>
      <c r="AF1244" t="n">
        <v>8</v>
      </c>
      <c r="AG1244" t="inlineStr">
        <is>
          <t>1:8.0</t>
        </is>
      </c>
      <c r="AH1244" t="inlineStr">
        <is>
          <t>4%</t>
        </is>
      </c>
      <c r="AI1244" t="inlineStr"/>
      <c r="AJ1244" t="n">
        <v>27.07</v>
      </c>
    </row>
    <row r="1245">
      <c r="A1245" t="inlineStr">
        <is>
          <t>​Shahid Chamran University of Ahvaz</t>
        </is>
      </c>
      <c r="B1245" t="inlineStr">
        <is>
          <t>Iran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>
        <is>
          <t>1001–1200</t>
        </is>
      </c>
      <c r="O1245" t="inlineStr">
        <is>
          <t>28.3–32.6</t>
        </is>
      </c>
      <c r="P1245" t="n">
        <v>29.6</v>
      </c>
      <c r="Q1245" t="n">
        <v>19.3</v>
      </c>
      <c r="R1245" t="n">
        <v>34.5</v>
      </c>
      <c r="S1245" t="n">
        <v>51.8</v>
      </c>
      <c r="T1245" t="n">
        <v>27.2</v>
      </c>
      <c r="U1245" t="inlineStr">
        <is>
          <t>15,142</t>
        </is>
      </c>
      <c r="V1245" t="n">
        <v>25.2</v>
      </c>
      <c r="W1245" t="inlineStr">
        <is>
          <t>5%</t>
        </is>
      </c>
      <c r="X1245" t="inlineStr"/>
      <c r="Y1245" t="inlineStr"/>
      <c r="Z1245" t="n">
        <v>1001</v>
      </c>
      <c r="AA1245" t="n">
        <v>30.45</v>
      </c>
      <c r="AB1245" t="inlineStr">
        <is>
          <t>U1244</t>
        </is>
      </c>
      <c r="AC1245" t="inlineStr">
        <is>
          <t>IR</t>
        </is>
      </c>
      <c r="AD1245" t="n">
        <v>30.45</v>
      </c>
      <c r="AE1245" t="n">
        <v>34.5</v>
      </c>
      <c r="AF1245" t="n">
        <v>25.2</v>
      </c>
      <c r="AG1245" t="inlineStr">
        <is>
          <t>1:25.2</t>
        </is>
      </c>
      <c r="AH1245" t="inlineStr">
        <is>
          <t>5%</t>
        </is>
      </c>
      <c r="AI1245" t="inlineStr"/>
      <c r="AJ1245" t="n">
        <v>20.54</v>
      </c>
    </row>
    <row r="1246">
      <c r="A1246" t="inlineStr">
        <is>
          <t>Shahid Sadoughi University of Medical Sciences</t>
        </is>
      </c>
      <c r="B1246" t="inlineStr">
        <is>
          <t>Iran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>
        <is>
          <t>1201–1500</t>
        </is>
      </c>
      <c r="O1246" t="inlineStr">
        <is>
          <t>22.8–28.2</t>
        </is>
      </c>
      <c r="P1246" t="n">
        <v>39.1</v>
      </c>
      <c r="Q1246" t="n">
        <v>10.6</v>
      </c>
      <c r="R1246" t="n">
        <v>20.8</v>
      </c>
      <c r="S1246" t="n">
        <v>17.5</v>
      </c>
      <c r="T1246" t="n">
        <v>20.6</v>
      </c>
      <c r="U1246" t="inlineStr">
        <is>
          <t>6,260</t>
        </is>
      </c>
      <c r="V1246" t="n">
        <v>13</v>
      </c>
      <c r="W1246" t="inlineStr">
        <is>
          <t>2%</t>
        </is>
      </c>
      <c r="X1246" t="inlineStr">
        <is>
          <t>58 : 42</t>
        </is>
      </c>
      <c r="Y1246" t="inlineStr"/>
      <c r="Z1246" t="n">
        <v>1201</v>
      </c>
      <c r="AA1246" t="n">
        <v>25.5</v>
      </c>
      <c r="AB1246" t="inlineStr">
        <is>
          <t>U1245</t>
        </is>
      </c>
      <c r="AC1246" t="inlineStr">
        <is>
          <t>IR</t>
        </is>
      </c>
      <c r="AD1246" t="n">
        <v>25.5</v>
      </c>
      <c r="AE1246" t="n">
        <v>20.8</v>
      </c>
      <c r="AF1246" t="n">
        <v>13</v>
      </c>
      <c r="AG1246" t="inlineStr">
        <is>
          <t>1:13.0</t>
        </is>
      </c>
      <c r="AH1246" t="inlineStr">
        <is>
          <t>2%</t>
        </is>
      </c>
      <c r="AI1246" t="inlineStr"/>
      <c r="AJ1246" t="n">
        <v>10.23</v>
      </c>
    </row>
    <row r="1247">
      <c r="A1247" t="inlineStr">
        <is>
          <t>Shahjalal University of Science and Technology</t>
        </is>
      </c>
      <c r="B1247" t="inlineStr">
        <is>
          <t>Bangladesh</t>
        </is>
      </c>
      <c r="C1247" t="inlineStr">
        <is>
          <t>1201-1400</t>
        </is>
      </c>
      <c r="D1247" t="inlineStr"/>
      <c r="E1247" t="n">
        <v>7.6</v>
      </c>
      <c r="F1247" t="n">
        <v>11.8</v>
      </c>
      <c r="G1247" t="n">
        <v>11.8</v>
      </c>
      <c r="H1247" t="n">
        <v>5.3</v>
      </c>
      <c r="I1247" t="inlineStr"/>
      <c r="J1247" t="inlineStr"/>
      <c r="K1247" t="n">
        <v>12.8</v>
      </c>
      <c r="L1247" t="n">
        <v>3.9</v>
      </c>
      <c r="M1247" t="n">
        <v>1</v>
      </c>
      <c r="N1247" t="inlineStr">
        <is>
          <t>1201–1500</t>
        </is>
      </c>
      <c r="O1247" t="inlineStr">
        <is>
          <t>22.8–28.2</t>
        </is>
      </c>
      <c r="P1247" t="n">
        <v>13.2</v>
      </c>
      <c r="Q1247" t="n">
        <v>8.4</v>
      </c>
      <c r="R1247" t="n">
        <v>43.4</v>
      </c>
      <c r="S1247" t="n">
        <v>16.6</v>
      </c>
      <c r="T1247" t="n">
        <v>44.8</v>
      </c>
      <c r="U1247" t="inlineStr">
        <is>
          <t>9,585</t>
        </is>
      </c>
      <c r="V1247" t="n">
        <v>17.8</v>
      </c>
      <c r="W1247" t="inlineStr">
        <is>
          <t>0%</t>
        </is>
      </c>
      <c r="X1247" t="inlineStr">
        <is>
          <t>31 : 69</t>
        </is>
      </c>
      <c r="Y1247" t="n">
        <v>1201</v>
      </c>
      <c r="Z1247" t="n">
        <v>1201</v>
      </c>
      <c r="AA1247" t="n">
        <v>25.5</v>
      </c>
      <c r="AB1247" t="inlineStr">
        <is>
          <t>U1246</t>
        </is>
      </c>
      <c r="AC1247" t="inlineStr">
        <is>
          <t>BA</t>
        </is>
      </c>
      <c r="AD1247" t="n">
        <v>25.5</v>
      </c>
      <c r="AE1247" t="n">
        <v>5.3</v>
      </c>
      <c r="AF1247" t="n">
        <v>17.8</v>
      </c>
      <c r="AG1247" t="inlineStr">
        <is>
          <t>1:17.8</t>
        </is>
      </c>
      <c r="AH1247" t="inlineStr">
        <is>
          <t>0%</t>
        </is>
      </c>
      <c r="AI1247" t="n">
        <v>7.6</v>
      </c>
      <c r="AJ1247" t="n">
        <v>10.24</v>
      </c>
    </row>
    <row r="1248">
      <c r="A1248" t="inlineStr">
        <is>
          <t>Shahrekord University</t>
        </is>
      </c>
      <c r="B1248" t="inlineStr">
        <is>
          <t>Iran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>
        <is>
          <t>1001–1200</t>
        </is>
      </c>
      <c r="O1248" t="inlineStr">
        <is>
          <t>28.3–32.6</t>
        </is>
      </c>
      <c r="P1248" t="n">
        <v>19.4</v>
      </c>
      <c r="Q1248" t="n">
        <v>13.5</v>
      </c>
      <c r="R1248" t="n">
        <v>55.8</v>
      </c>
      <c r="S1248" t="n">
        <v>17.9</v>
      </c>
      <c r="T1248" t="n">
        <v>22.1</v>
      </c>
      <c r="U1248" t="inlineStr">
        <is>
          <t>7,198</t>
        </is>
      </c>
      <c r="V1248" t="n">
        <v>20.3</v>
      </c>
      <c r="W1248" t="inlineStr">
        <is>
          <t>0%</t>
        </is>
      </c>
      <c r="X1248" t="inlineStr">
        <is>
          <t>56 : 44</t>
        </is>
      </c>
      <c r="Y1248" t="inlineStr"/>
      <c r="Z1248" t="n">
        <v>1001</v>
      </c>
      <c r="AA1248" t="n">
        <v>30.45</v>
      </c>
      <c r="AB1248" t="inlineStr">
        <is>
          <t>U1247</t>
        </is>
      </c>
      <c r="AC1248" t="inlineStr">
        <is>
          <t>IR</t>
        </is>
      </c>
      <c r="AD1248" t="n">
        <v>30.45</v>
      </c>
      <c r="AE1248" t="n">
        <v>55.8</v>
      </c>
      <c r="AF1248" t="n">
        <v>20.3</v>
      </c>
      <c r="AG1248" t="inlineStr">
        <is>
          <t>1:20.3</t>
        </is>
      </c>
      <c r="AH1248" t="inlineStr">
        <is>
          <t>0%</t>
        </is>
      </c>
      <c r="AI1248" t="inlineStr"/>
      <c r="AJ1248" t="n">
        <v>22.72</v>
      </c>
    </row>
    <row r="1249">
      <c r="A1249" t="inlineStr">
        <is>
          <t>Shahrekord University of Medical Sciences</t>
        </is>
      </c>
      <c r="B1249" t="inlineStr">
        <is>
          <t>Iran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>
        <is>
          <t>801–1000</t>
        </is>
      </c>
      <c r="O1249" t="inlineStr">
        <is>
          <t>32.7–36.9</t>
        </is>
      </c>
      <c r="P1249" t="n">
        <v>33.7</v>
      </c>
      <c r="Q1249" t="n">
        <v>10.5</v>
      </c>
      <c r="R1249" t="n">
        <v>62.1</v>
      </c>
      <c r="S1249" t="n">
        <v>17.3</v>
      </c>
      <c r="T1249" t="n">
        <v>20.6</v>
      </c>
      <c r="U1249" t="inlineStr">
        <is>
          <t>2,755</t>
        </is>
      </c>
      <c r="V1249" t="n">
        <v>9.199999999999999</v>
      </c>
      <c r="W1249" t="inlineStr">
        <is>
          <t>0%</t>
        </is>
      </c>
      <c r="X1249" t="inlineStr">
        <is>
          <t>53 : 47</t>
        </is>
      </c>
      <c r="Y1249" t="inlineStr"/>
      <c r="Z1249" t="n">
        <v>801</v>
      </c>
      <c r="AA1249" t="n">
        <v>34.8</v>
      </c>
      <c r="AB1249" t="inlineStr">
        <is>
          <t>U1248</t>
        </is>
      </c>
      <c r="AC1249" t="inlineStr">
        <is>
          <t>IR</t>
        </is>
      </c>
      <c r="AD1249" t="n">
        <v>34.8</v>
      </c>
      <c r="AE1249" t="n">
        <v>62.1</v>
      </c>
      <c r="AF1249" t="n">
        <v>9.199999999999999</v>
      </c>
      <c r="AG1249" t="inlineStr">
        <is>
          <t>1:9.2</t>
        </is>
      </c>
      <c r="AH1249" t="inlineStr">
        <is>
          <t>0%</t>
        </is>
      </c>
      <c r="AI1249" t="inlineStr"/>
      <c r="AJ1249" t="n">
        <v>22.7</v>
      </c>
    </row>
    <row r="1250">
      <c r="A1250" t="inlineStr">
        <is>
          <t>Shahrood University of Technology</t>
        </is>
      </c>
      <c r="B1250" t="inlineStr">
        <is>
          <t>Iran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>
        <is>
          <t>1001–1200</t>
        </is>
      </c>
      <c r="O1250" t="inlineStr">
        <is>
          <t>28.3–32.6</t>
        </is>
      </c>
      <c r="P1250" t="n">
        <v>28.3</v>
      </c>
      <c r="Q1250" t="n">
        <v>17.2</v>
      </c>
      <c r="R1250" t="n">
        <v>52.4</v>
      </c>
      <c r="S1250" t="n">
        <v>18.7</v>
      </c>
      <c r="T1250" t="n">
        <v>32.4</v>
      </c>
      <c r="U1250" t="inlineStr">
        <is>
          <t>8,326</t>
        </is>
      </c>
      <c r="V1250" t="n">
        <v>20.7</v>
      </c>
      <c r="W1250" t="inlineStr">
        <is>
          <t>1%</t>
        </is>
      </c>
      <c r="X1250" t="inlineStr">
        <is>
          <t>46 : 54</t>
        </is>
      </c>
      <c r="Y1250" t="inlineStr"/>
      <c r="Z1250" t="n">
        <v>1001</v>
      </c>
      <c r="AA1250" t="n">
        <v>30.45</v>
      </c>
      <c r="AB1250" t="inlineStr">
        <is>
          <t>U1249</t>
        </is>
      </c>
      <c r="AC1250" t="inlineStr">
        <is>
          <t>IR</t>
        </is>
      </c>
      <c r="AD1250" t="n">
        <v>30.45</v>
      </c>
      <c r="AE1250" t="n">
        <v>52.4</v>
      </c>
      <c r="AF1250" t="n">
        <v>20.7</v>
      </c>
      <c r="AG1250" t="inlineStr">
        <is>
          <t>1:20.7</t>
        </is>
      </c>
      <c r="AH1250" t="inlineStr">
        <is>
          <t>1%</t>
        </is>
      </c>
      <c r="AI1250" t="inlineStr"/>
      <c r="AJ1250" t="n">
        <v>26.12</v>
      </c>
    </row>
    <row r="1251">
      <c r="A1251" t="inlineStr">
        <is>
          <t>Shandong University</t>
        </is>
      </c>
      <c r="B1251" t="inlineStr">
        <is>
          <t>China</t>
        </is>
      </c>
      <c r="C1251" t="inlineStr">
        <is>
          <t>316</t>
        </is>
      </c>
      <c r="D1251" t="n">
        <v>34.7</v>
      </c>
      <c r="E1251" t="n">
        <v>16.6</v>
      </c>
      <c r="F1251" t="n">
        <v>35.5</v>
      </c>
      <c r="G1251" t="n">
        <v>16.7</v>
      </c>
      <c r="H1251" t="n">
        <v>88.2</v>
      </c>
      <c r="I1251" t="n">
        <v>8.199999999999999</v>
      </c>
      <c r="J1251" t="n">
        <v>3.1</v>
      </c>
      <c r="K1251" t="n">
        <v>64.09999999999999</v>
      </c>
      <c r="L1251" t="n">
        <v>20.7</v>
      </c>
      <c r="M1251" t="n">
        <v>19.7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n">
        <v>316</v>
      </c>
      <c r="Z1251" t="inlineStr"/>
      <c r="AA1251" t="inlineStr"/>
      <c r="AB1251" t="inlineStr">
        <is>
          <t>U1250</t>
        </is>
      </c>
      <c r="AC1251" t="inlineStr">
        <is>
          <t>CH</t>
        </is>
      </c>
      <c r="AD1251" t="n">
        <v>34.7</v>
      </c>
      <c r="AE1251" t="n">
        <v>88.2</v>
      </c>
      <c r="AF1251" t="inlineStr"/>
      <c r="AG1251" t="inlineStr"/>
      <c r="AH1251" t="inlineStr"/>
      <c r="AI1251" t="n">
        <v>16.6</v>
      </c>
      <c r="AJ1251" t="n">
        <v>40.12</v>
      </c>
    </row>
    <row r="1252">
      <c r="A1252" t="inlineStr">
        <is>
          <t>Shanghai International Studies University</t>
        </is>
      </c>
      <c r="B1252" t="inlineStr">
        <is>
          <t>China</t>
        </is>
      </c>
      <c r="C1252" t="inlineStr">
        <is>
          <t>1201-1400</t>
        </is>
      </c>
      <c r="D1252" t="inlineStr"/>
      <c r="E1252" t="n">
        <v>4.9</v>
      </c>
      <c r="F1252" t="n">
        <v>2.9</v>
      </c>
      <c r="G1252" t="n">
        <v>16.7</v>
      </c>
      <c r="H1252" t="n">
        <v>1.8</v>
      </c>
      <c r="I1252" t="n">
        <v>26.9</v>
      </c>
      <c r="J1252" t="n">
        <v>27.3</v>
      </c>
      <c r="K1252" t="n">
        <v>5.4</v>
      </c>
      <c r="L1252" t="n">
        <v>5.2</v>
      </c>
      <c r="M1252" t="n">
        <v>1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n">
        <v>1201</v>
      </c>
      <c r="Z1252" t="inlineStr"/>
      <c r="AA1252" t="inlineStr"/>
      <c r="AB1252" t="inlineStr">
        <is>
          <t>U1251</t>
        </is>
      </c>
      <c r="AC1252" t="inlineStr">
        <is>
          <t>CH</t>
        </is>
      </c>
      <c r="AD1252" t="inlineStr"/>
      <c r="AE1252" t="n">
        <v>1.8</v>
      </c>
      <c r="AF1252" t="inlineStr"/>
      <c r="AG1252" t="inlineStr"/>
      <c r="AH1252" t="inlineStr"/>
      <c r="AI1252" t="n">
        <v>4.9</v>
      </c>
      <c r="AJ1252" t="n">
        <v>13.93</v>
      </c>
    </row>
    <row r="1253">
      <c r="A1253" t="inlineStr">
        <is>
          <t>Shanghai Jiao Tong University</t>
        </is>
      </c>
      <c r="B1253" t="inlineStr">
        <is>
          <t>China</t>
        </is>
      </c>
      <c r="C1253" t="inlineStr">
        <is>
          <t>45</t>
        </is>
      </c>
      <c r="D1253" t="n">
        <v>77.8</v>
      </c>
      <c r="E1253" t="n">
        <v>84</v>
      </c>
      <c r="F1253" t="n">
        <v>86.3</v>
      </c>
      <c r="G1253" t="n">
        <v>58.6</v>
      </c>
      <c r="H1253" t="n">
        <v>99.59999999999999</v>
      </c>
      <c r="I1253" t="n">
        <v>23.1</v>
      </c>
      <c r="J1253" t="n">
        <v>19.6</v>
      </c>
      <c r="K1253" t="n">
        <v>73.7</v>
      </c>
      <c r="L1253" t="n">
        <v>73.5</v>
      </c>
      <c r="M1253" t="n">
        <v>80.3</v>
      </c>
      <c r="N1253" t="inlineStr">
        <is>
          <t>43</t>
        </is>
      </c>
      <c r="O1253" t="inlineStr">
        <is>
          <t>77.7</t>
        </is>
      </c>
      <c r="P1253" t="n">
        <v>76.59999999999999</v>
      </c>
      <c r="Q1253" t="n">
        <v>82.5</v>
      </c>
      <c r="R1253" t="n">
        <v>75.40000000000001</v>
      </c>
      <c r="S1253" t="n">
        <v>100</v>
      </c>
      <c r="T1253" t="n">
        <v>60.6</v>
      </c>
      <c r="U1253" t="inlineStr">
        <is>
          <t>38,472</t>
        </is>
      </c>
      <c r="V1253" t="n">
        <v>12.6</v>
      </c>
      <c r="W1253" t="inlineStr">
        <is>
          <t>9%</t>
        </is>
      </c>
      <c r="X1253" t="inlineStr">
        <is>
          <t>37 : 63</t>
        </is>
      </c>
      <c r="Y1253" t="n">
        <v>45</v>
      </c>
      <c r="Z1253" t="n">
        <v>43</v>
      </c>
      <c r="AA1253" t="n">
        <v>77.7</v>
      </c>
      <c r="AB1253" t="inlineStr">
        <is>
          <t>U1252</t>
        </is>
      </c>
      <c r="AC1253" t="inlineStr">
        <is>
          <t>CH</t>
        </is>
      </c>
      <c r="AD1253" t="n">
        <v>77.8</v>
      </c>
      <c r="AE1253" t="n">
        <v>99.59999999999999</v>
      </c>
      <c r="AF1253" t="n">
        <v>12.6</v>
      </c>
      <c r="AG1253" t="inlineStr">
        <is>
          <t>1:12.6</t>
        </is>
      </c>
      <c r="AH1253" t="inlineStr">
        <is>
          <t>9%</t>
        </is>
      </c>
      <c r="AI1253" t="n">
        <v>84</v>
      </c>
      <c r="AJ1253" t="n">
        <v>81.47</v>
      </c>
    </row>
    <row r="1254">
      <c r="A1254" t="inlineStr">
        <is>
          <t>Shanghai Maritime University</t>
        </is>
      </c>
      <c r="B1254" t="inlineStr">
        <is>
          <t>China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>
        <is>
          <t>1001–1200</t>
        </is>
      </c>
      <c r="O1254" t="inlineStr">
        <is>
          <t>28.3–32.6</t>
        </is>
      </c>
      <c r="P1254" t="n">
        <v>16.8</v>
      </c>
      <c r="Q1254" t="n">
        <v>12.8</v>
      </c>
      <c r="R1254" t="n">
        <v>51.8</v>
      </c>
      <c r="S1254" t="n">
        <v>37.4</v>
      </c>
      <c r="T1254" t="n">
        <v>36</v>
      </c>
      <c r="U1254" t="inlineStr">
        <is>
          <t>23,263</t>
        </is>
      </c>
      <c r="V1254" t="n">
        <v>16.7</v>
      </c>
      <c r="W1254" t="inlineStr">
        <is>
          <t>2%</t>
        </is>
      </c>
      <c r="X1254" t="inlineStr">
        <is>
          <t>45 : 55</t>
        </is>
      </c>
      <c r="Y1254" t="inlineStr"/>
      <c r="Z1254" t="n">
        <v>1001</v>
      </c>
      <c r="AA1254" t="n">
        <v>30.45</v>
      </c>
      <c r="AB1254" t="inlineStr">
        <is>
          <t>U1253</t>
        </is>
      </c>
      <c r="AC1254" t="inlineStr">
        <is>
          <t>CH</t>
        </is>
      </c>
      <c r="AD1254" t="n">
        <v>30.45</v>
      </c>
      <c r="AE1254" t="n">
        <v>51.8</v>
      </c>
      <c r="AF1254" t="n">
        <v>16.7</v>
      </c>
      <c r="AG1254" t="inlineStr">
        <is>
          <t>1:16.7</t>
        </is>
      </c>
      <c r="AH1254" t="inlineStr">
        <is>
          <t>2%</t>
        </is>
      </c>
      <c r="AI1254" t="inlineStr"/>
      <c r="AJ1254" t="n">
        <v>24.5</v>
      </c>
    </row>
    <row r="1255">
      <c r="A1255" t="inlineStr">
        <is>
          <t>Shanghai Normal University</t>
        </is>
      </c>
      <c r="B1255" t="inlineStr">
        <is>
          <t>China</t>
        </is>
      </c>
      <c r="C1255" t="inlineStr">
        <is>
          <t>1401+</t>
        </is>
      </c>
      <c r="D1255" t="inlineStr"/>
      <c r="E1255" t="n">
        <v>5</v>
      </c>
      <c r="F1255" t="n">
        <v>1.6</v>
      </c>
      <c r="G1255" t="n">
        <v>10.9</v>
      </c>
      <c r="H1255" t="n">
        <v>4.3</v>
      </c>
      <c r="I1255" t="n">
        <v>4.5</v>
      </c>
      <c r="J1255" t="n">
        <v>1.6</v>
      </c>
      <c r="K1255" t="n">
        <v>26.5</v>
      </c>
      <c r="L1255" t="n">
        <v>1.5</v>
      </c>
      <c r="M1255" t="n">
        <v>1.3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n">
        <v>1401</v>
      </c>
      <c r="Z1255" t="inlineStr"/>
      <c r="AA1255" t="inlineStr"/>
      <c r="AB1255" t="inlineStr">
        <is>
          <t>U1254</t>
        </is>
      </c>
      <c r="AC1255" t="inlineStr">
        <is>
          <t>CH</t>
        </is>
      </c>
      <c r="AD1255" t="inlineStr"/>
      <c r="AE1255" t="n">
        <v>4.3</v>
      </c>
      <c r="AF1255" t="inlineStr"/>
      <c r="AG1255" t="inlineStr"/>
      <c r="AH1255" t="inlineStr"/>
      <c r="AI1255" t="n">
        <v>5</v>
      </c>
      <c r="AJ1255" t="n">
        <v>14.69</v>
      </c>
    </row>
    <row r="1256">
      <c r="A1256" t="inlineStr">
        <is>
          <t>Shanghai University</t>
        </is>
      </c>
      <c r="B1256" t="inlineStr">
        <is>
          <t>China</t>
        </is>
      </c>
      <c r="C1256" t="inlineStr">
        <is>
          <t>489</t>
        </is>
      </c>
      <c r="D1256" t="n">
        <v>24.5</v>
      </c>
      <c r="E1256" t="n">
        <v>20.3</v>
      </c>
      <c r="F1256" t="n">
        <v>13.1</v>
      </c>
      <c r="G1256" t="n">
        <v>50.8</v>
      </c>
      <c r="H1256" t="n">
        <v>30.5</v>
      </c>
      <c r="I1256" t="n">
        <v>40.9</v>
      </c>
      <c r="J1256" t="n">
        <v>5.3</v>
      </c>
      <c r="K1256" t="n">
        <v>58.7</v>
      </c>
      <c r="L1256" t="n">
        <v>8.9</v>
      </c>
      <c r="M1256" t="n">
        <v>10.5</v>
      </c>
      <c r="N1256" t="inlineStr">
        <is>
          <t>501–600</t>
        </is>
      </c>
      <c r="O1256" t="inlineStr">
        <is>
          <t>41.9–45.3</t>
        </is>
      </c>
      <c r="P1256" t="n">
        <v>31.8</v>
      </c>
      <c r="Q1256" t="n">
        <v>38</v>
      </c>
      <c r="R1256" t="n">
        <v>62.7</v>
      </c>
      <c r="S1256" t="n">
        <v>71.3</v>
      </c>
      <c r="T1256" t="n">
        <v>42.9</v>
      </c>
      <c r="U1256" t="inlineStr">
        <is>
          <t>38,015</t>
        </is>
      </c>
      <c r="V1256" t="n">
        <v>13</v>
      </c>
      <c r="W1256" t="inlineStr">
        <is>
          <t>6%</t>
        </is>
      </c>
      <c r="X1256" t="inlineStr">
        <is>
          <t>51 : 49</t>
        </is>
      </c>
      <c r="Y1256" t="n">
        <v>489</v>
      </c>
      <c r="Z1256" t="n">
        <v>501</v>
      </c>
      <c r="AA1256" t="n">
        <v>43.59999999999999</v>
      </c>
      <c r="AB1256" t="inlineStr">
        <is>
          <t>U1255</t>
        </is>
      </c>
      <c r="AC1256" t="inlineStr">
        <is>
          <t>CH</t>
        </is>
      </c>
      <c r="AD1256" t="n">
        <v>24.5</v>
      </c>
      <c r="AE1256" t="n">
        <v>30.5</v>
      </c>
      <c r="AF1256" t="n">
        <v>13</v>
      </c>
      <c r="AG1256" t="inlineStr">
        <is>
          <t>1:13.0</t>
        </is>
      </c>
      <c r="AH1256" t="inlineStr">
        <is>
          <t>6%</t>
        </is>
      </c>
      <c r="AI1256" t="n">
        <v>20.3</v>
      </c>
      <c r="AJ1256" t="n">
        <v>32.93</v>
      </c>
    </row>
    <row r="1257">
      <c r="A1257" t="inlineStr">
        <is>
          <t>Shanghai University of Finance and Economics</t>
        </is>
      </c>
      <c r="B1257" t="inlineStr">
        <is>
          <t>China</t>
        </is>
      </c>
      <c r="C1257" t="inlineStr">
        <is>
          <t>1201-1400</t>
        </is>
      </c>
      <c r="D1257" t="inlineStr"/>
      <c r="E1257" t="n">
        <v>4.5</v>
      </c>
      <c r="F1257" t="n">
        <v>5.2</v>
      </c>
      <c r="G1257" t="n">
        <v>8.9</v>
      </c>
      <c r="H1257" t="n">
        <v>3.5</v>
      </c>
      <c r="I1257" t="n">
        <v>15.5</v>
      </c>
      <c r="J1257" t="n">
        <v>2.1</v>
      </c>
      <c r="K1257" t="n">
        <v>14.9</v>
      </c>
      <c r="L1257" t="n">
        <v>42.6</v>
      </c>
      <c r="M1257" t="n">
        <v>1.4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n">
        <v>1201</v>
      </c>
      <c r="Z1257" t="inlineStr"/>
      <c r="AA1257" t="inlineStr"/>
      <c r="AB1257" t="inlineStr">
        <is>
          <t>U1256</t>
        </is>
      </c>
      <c r="AC1257" t="inlineStr">
        <is>
          <t>CH</t>
        </is>
      </c>
      <c r="AD1257" t="inlineStr"/>
      <c r="AE1257" t="n">
        <v>3.5</v>
      </c>
      <c r="AF1257" t="inlineStr"/>
      <c r="AG1257" t="inlineStr"/>
      <c r="AH1257" t="inlineStr"/>
      <c r="AI1257" t="n">
        <v>4.5</v>
      </c>
      <c r="AJ1257" t="n">
        <v>14.45</v>
      </c>
    </row>
    <row r="1258">
      <c r="A1258" t="inlineStr">
        <is>
          <t>Shantou University</t>
        </is>
      </c>
      <c r="B1258" t="inlineStr">
        <is>
          <t>China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>
        <is>
          <t>801–1000</t>
        </is>
      </c>
      <c r="O1258" t="inlineStr">
        <is>
          <t>32.7–36.9</t>
        </is>
      </c>
      <c r="P1258" t="n">
        <v>21.2</v>
      </c>
      <c r="Q1258" t="n">
        <v>16.4</v>
      </c>
      <c r="R1258" t="n">
        <v>63</v>
      </c>
      <c r="S1258" t="n">
        <v>33.8</v>
      </c>
      <c r="T1258" t="n">
        <v>42.9</v>
      </c>
      <c r="U1258" t="inlineStr">
        <is>
          <t>16,620</t>
        </is>
      </c>
      <c r="V1258" t="n">
        <v>13.3</v>
      </c>
      <c r="W1258" t="inlineStr">
        <is>
          <t>1%</t>
        </is>
      </c>
      <c r="X1258" t="inlineStr">
        <is>
          <t>49 : 51</t>
        </is>
      </c>
      <c r="Y1258" t="inlineStr"/>
      <c r="Z1258" t="n">
        <v>801</v>
      </c>
      <c r="AA1258" t="n">
        <v>34.8</v>
      </c>
      <c r="AB1258" t="inlineStr">
        <is>
          <t>U1257</t>
        </is>
      </c>
      <c r="AC1258" t="inlineStr">
        <is>
          <t>CH</t>
        </is>
      </c>
      <c r="AD1258" t="n">
        <v>34.8</v>
      </c>
      <c r="AE1258" t="n">
        <v>63</v>
      </c>
      <c r="AF1258" t="n">
        <v>13.3</v>
      </c>
      <c r="AG1258" t="inlineStr">
        <is>
          <t>1:13.3</t>
        </is>
      </c>
      <c r="AH1258" t="inlineStr">
        <is>
          <t>1%</t>
        </is>
      </c>
      <c r="AI1258" t="inlineStr"/>
      <c r="AJ1258" t="n">
        <v>31.45</v>
      </c>
    </row>
    <row r="1259">
      <c r="A1259" t="inlineStr">
        <is>
          <t>Sharif University of Technology</t>
        </is>
      </c>
      <c r="B1259" t="inlineStr">
        <is>
          <t>Iran</t>
        </is>
      </c>
      <c r="C1259" t="inlineStr">
        <is>
          <t>342</t>
        </is>
      </c>
      <c r="D1259" t="n">
        <v>33</v>
      </c>
      <c r="E1259" t="n">
        <v>11.5</v>
      </c>
      <c r="F1259" t="n">
        <v>33.6</v>
      </c>
      <c r="G1259" t="n">
        <v>5.1</v>
      </c>
      <c r="H1259" t="n">
        <v>99.90000000000001</v>
      </c>
      <c r="I1259" t="n">
        <v>2.9</v>
      </c>
      <c r="J1259" t="n">
        <v>1.2</v>
      </c>
      <c r="K1259" t="n">
        <v>61.4</v>
      </c>
      <c r="L1259" t="n">
        <v>28.2</v>
      </c>
      <c r="M1259" t="n">
        <v>1.3</v>
      </c>
      <c r="N1259" t="inlineStr">
        <is>
          <t>301–350</t>
        </is>
      </c>
      <c r="O1259" t="inlineStr">
        <is>
          <t>51.1–53.0</t>
        </is>
      </c>
      <c r="P1259" t="n">
        <v>39.1</v>
      </c>
      <c r="Q1259" t="n">
        <v>37.4</v>
      </c>
      <c r="R1259" t="n">
        <v>78.3</v>
      </c>
      <c r="S1259" t="n">
        <v>86.2</v>
      </c>
      <c r="T1259" t="n">
        <v>37</v>
      </c>
      <c r="U1259" t="inlineStr">
        <is>
          <t>9,389</t>
        </is>
      </c>
      <c r="V1259" t="n">
        <v>21.8</v>
      </c>
      <c r="W1259" t="inlineStr">
        <is>
          <t>2%</t>
        </is>
      </c>
      <c r="X1259" t="inlineStr">
        <is>
          <t>26 : 74</t>
        </is>
      </c>
      <c r="Y1259" t="n">
        <v>342</v>
      </c>
      <c r="Z1259" t="n">
        <v>301</v>
      </c>
      <c r="AA1259" t="n">
        <v>52.05</v>
      </c>
      <c r="AB1259" t="inlineStr">
        <is>
          <t>U1258</t>
        </is>
      </c>
      <c r="AC1259" t="inlineStr">
        <is>
          <t>IR</t>
        </is>
      </c>
      <c r="AD1259" t="n">
        <v>33</v>
      </c>
      <c r="AE1259" t="n">
        <v>99.90000000000001</v>
      </c>
      <c r="AF1259" t="n">
        <v>21.8</v>
      </c>
      <c r="AG1259" t="inlineStr">
        <is>
          <t>1:21.8</t>
        </is>
      </c>
      <c r="AH1259" t="inlineStr">
        <is>
          <t>2%</t>
        </is>
      </c>
      <c r="AI1259" t="n">
        <v>11.5</v>
      </c>
      <c r="AJ1259" t="n">
        <v>52.21</v>
      </c>
    </row>
    <row r="1260">
      <c r="A1260" t="inlineStr">
        <is>
          <t>Sheffield Hallam University</t>
        </is>
      </c>
      <c r="B1260" t="inlineStr">
        <is>
          <t>United Kingdom</t>
        </is>
      </c>
      <c r="C1260" t="inlineStr">
        <is>
          <t>1001-1200</t>
        </is>
      </c>
      <c r="D1260" t="inlineStr"/>
      <c r="E1260" t="n">
        <v>6.7</v>
      </c>
      <c r="F1260" t="n">
        <v>8.6</v>
      </c>
      <c r="G1260" t="n">
        <v>9.5</v>
      </c>
      <c r="H1260" t="n">
        <v>4.5</v>
      </c>
      <c r="I1260" t="n">
        <v>33.6</v>
      </c>
      <c r="J1260" t="n">
        <v>33.1</v>
      </c>
      <c r="K1260" t="n">
        <v>50.4</v>
      </c>
      <c r="L1260" t="n">
        <v>8.6</v>
      </c>
      <c r="M1260" t="n">
        <v>2.2</v>
      </c>
      <c r="N1260" t="inlineStr">
        <is>
          <t>801–1000</t>
        </is>
      </c>
      <c r="O1260" t="inlineStr">
        <is>
          <t>32.7–36.9</t>
        </is>
      </c>
      <c r="P1260" t="n">
        <v>19.4</v>
      </c>
      <c r="Q1260" t="n">
        <v>14.4</v>
      </c>
      <c r="R1260" t="n">
        <v>66.7</v>
      </c>
      <c r="S1260" t="n">
        <v>33.1</v>
      </c>
      <c r="T1260" t="n">
        <v>64</v>
      </c>
      <c r="U1260" t="inlineStr">
        <is>
          <t>26,580</t>
        </is>
      </c>
      <c r="V1260" t="n">
        <v>17.7</v>
      </c>
      <c r="W1260" t="inlineStr">
        <is>
          <t>12%</t>
        </is>
      </c>
      <c r="X1260" t="inlineStr">
        <is>
          <t>55 : 45</t>
        </is>
      </c>
      <c r="Y1260" t="n">
        <v>1001</v>
      </c>
      <c r="Z1260" t="n">
        <v>801</v>
      </c>
      <c r="AA1260" t="n">
        <v>34.8</v>
      </c>
      <c r="AB1260" t="inlineStr">
        <is>
          <t>U1259</t>
        </is>
      </c>
      <c r="AC1260" t="inlineStr">
        <is>
          <t>UN</t>
        </is>
      </c>
      <c r="AD1260" t="n">
        <v>34.8</v>
      </c>
      <c r="AE1260" t="n">
        <v>4.5</v>
      </c>
      <c r="AF1260" t="n">
        <v>17.7</v>
      </c>
      <c r="AG1260" t="inlineStr">
        <is>
          <t>1:17.7</t>
        </is>
      </c>
      <c r="AH1260" t="inlineStr">
        <is>
          <t>12%</t>
        </is>
      </c>
      <c r="AI1260" t="n">
        <v>6.7</v>
      </c>
      <c r="AJ1260" t="n">
        <v>17.78</v>
      </c>
    </row>
    <row r="1261">
      <c r="A1261" t="inlineStr">
        <is>
          <t>Shenzhen University</t>
        </is>
      </c>
      <c r="B1261" t="inlineStr">
        <is>
          <t>China</t>
        </is>
      </c>
      <c r="C1261" t="inlineStr">
        <is>
          <t>508</t>
        </is>
      </c>
      <c r="D1261" t="n">
        <v>23.9</v>
      </c>
      <c r="E1261" t="n">
        <v>7.7</v>
      </c>
      <c r="F1261" t="n">
        <v>3.2</v>
      </c>
      <c r="G1261" t="n">
        <v>42.1</v>
      </c>
      <c r="H1261" t="n">
        <v>64.5</v>
      </c>
      <c r="I1261" t="n">
        <v>11</v>
      </c>
      <c r="J1261" t="n">
        <v>1.4</v>
      </c>
      <c r="K1261" t="n">
        <v>65.09999999999999</v>
      </c>
      <c r="L1261" t="n">
        <v>15.8</v>
      </c>
      <c r="M1261" t="n">
        <v>7.4</v>
      </c>
      <c r="N1261" t="inlineStr">
        <is>
          <t>351–400</t>
        </is>
      </c>
      <c r="O1261" t="inlineStr">
        <is>
          <t>49.1–51.0</t>
        </is>
      </c>
      <c r="P1261" t="n">
        <v>27.8</v>
      </c>
      <c r="Q1261" t="n">
        <v>34.3</v>
      </c>
      <c r="R1261" t="n">
        <v>85.3</v>
      </c>
      <c r="S1261" t="n">
        <v>57.9</v>
      </c>
      <c r="T1261" t="n">
        <v>42.4</v>
      </c>
      <c r="U1261" t="inlineStr">
        <is>
          <t>35,736</t>
        </is>
      </c>
      <c r="V1261" t="n">
        <v>14</v>
      </c>
      <c r="W1261" t="inlineStr">
        <is>
          <t>1%</t>
        </is>
      </c>
      <c r="X1261" t="inlineStr">
        <is>
          <t>49 : 51</t>
        </is>
      </c>
      <c r="Y1261" t="n">
        <v>508</v>
      </c>
      <c r="Z1261" t="n">
        <v>351</v>
      </c>
      <c r="AA1261" t="n">
        <v>50.05</v>
      </c>
      <c r="AB1261" t="inlineStr">
        <is>
          <t>U1260</t>
        </is>
      </c>
      <c r="AC1261" t="inlineStr">
        <is>
          <t>CH</t>
        </is>
      </c>
      <c r="AD1261" t="n">
        <v>23.9</v>
      </c>
      <c r="AE1261" t="n">
        <v>64.5</v>
      </c>
      <c r="AF1261" t="n">
        <v>14</v>
      </c>
      <c r="AG1261" t="inlineStr">
        <is>
          <t>1:14.0</t>
        </is>
      </c>
      <c r="AH1261" t="inlineStr">
        <is>
          <t>1%</t>
        </is>
      </c>
      <c r="AI1261" t="n">
        <v>7.7</v>
      </c>
      <c r="AJ1261" t="n">
        <v>41.17</v>
      </c>
    </row>
    <row r="1262">
      <c r="A1262" t="inlineStr">
        <is>
          <t>Shibaura Institute of Technology</t>
        </is>
      </c>
      <c r="B1262" t="inlineStr">
        <is>
          <t>Japan</t>
        </is>
      </c>
      <c r="C1262" t="inlineStr">
        <is>
          <t>1401+</t>
        </is>
      </c>
      <c r="D1262" t="inlineStr"/>
      <c r="E1262" t="n">
        <v>4.5</v>
      </c>
      <c r="F1262" t="n">
        <v>2.5</v>
      </c>
      <c r="G1262" t="n">
        <v>3.1</v>
      </c>
      <c r="H1262" t="n">
        <v>5.1</v>
      </c>
      <c r="I1262" t="n">
        <v>13</v>
      </c>
      <c r="J1262" t="n">
        <v>8.699999999999999</v>
      </c>
      <c r="K1262" t="n">
        <v>14.5</v>
      </c>
      <c r="L1262" t="n">
        <v>1.8</v>
      </c>
      <c r="M1262" t="n">
        <v>1</v>
      </c>
      <c r="N1262" t="inlineStr">
        <is>
          <t>1201–1500</t>
        </is>
      </c>
      <c r="O1262" t="inlineStr">
        <is>
          <t>22.8–28.2</t>
        </is>
      </c>
      <c r="P1262" t="n">
        <v>20.8</v>
      </c>
      <c r="Q1262" t="n">
        <v>20.1</v>
      </c>
      <c r="R1262" t="n">
        <v>22.3</v>
      </c>
      <c r="S1262" t="n">
        <v>36.3</v>
      </c>
      <c r="T1262" t="n">
        <v>42.3</v>
      </c>
      <c r="U1262" t="inlineStr">
        <is>
          <t>9,001</t>
        </is>
      </c>
      <c r="V1262" t="n">
        <v>29.7</v>
      </c>
      <c r="W1262" t="inlineStr">
        <is>
          <t>5%</t>
        </is>
      </c>
      <c r="X1262" t="inlineStr">
        <is>
          <t>18 : 82</t>
        </is>
      </c>
      <c r="Y1262" t="n">
        <v>1401</v>
      </c>
      <c r="Z1262" t="n">
        <v>1201</v>
      </c>
      <c r="AA1262" t="n">
        <v>25.5</v>
      </c>
      <c r="AB1262" t="inlineStr">
        <is>
          <t>U1261</t>
        </is>
      </c>
      <c r="AC1262" t="inlineStr">
        <is>
          <t>JA</t>
        </is>
      </c>
      <c r="AD1262" t="n">
        <v>25.5</v>
      </c>
      <c r="AE1262" t="n">
        <v>5.1</v>
      </c>
      <c r="AF1262" t="n">
        <v>29.7</v>
      </c>
      <c r="AG1262" t="inlineStr">
        <is>
          <t>1:29.7</t>
        </is>
      </c>
      <c r="AH1262" t="inlineStr">
        <is>
          <t>5%</t>
        </is>
      </c>
      <c r="AI1262" t="n">
        <v>4.5</v>
      </c>
      <c r="AJ1262" t="n">
        <v>15.7</v>
      </c>
    </row>
    <row r="1263">
      <c r="A1263" t="inlineStr">
        <is>
          <t>Shiga University of Medical Science</t>
        </is>
      </c>
      <c r="B1263" t="inlineStr">
        <is>
          <t>Japan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>
        <is>
          <t>1201–1500</t>
        </is>
      </c>
      <c r="O1263" t="inlineStr">
        <is>
          <t>22.8–28.2</t>
        </is>
      </c>
      <c r="P1263" t="n">
        <v>31.5</v>
      </c>
      <c r="Q1263" t="n">
        <v>12.8</v>
      </c>
      <c r="R1263" t="n">
        <v>32.3</v>
      </c>
      <c r="S1263" t="n">
        <v>62.7</v>
      </c>
      <c r="T1263" t="n">
        <v>24.5</v>
      </c>
      <c r="U1263" t="inlineStr">
        <is>
          <t>1,163</t>
        </is>
      </c>
      <c r="V1263" t="n">
        <v>3.2</v>
      </c>
      <c r="W1263" t="inlineStr">
        <is>
          <t>4%</t>
        </is>
      </c>
      <c r="X1263" t="inlineStr">
        <is>
          <t>50 : 50</t>
        </is>
      </c>
      <c r="Y1263" t="inlineStr"/>
      <c r="Z1263" t="n">
        <v>1201</v>
      </c>
      <c r="AA1263" t="n">
        <v>25.5</v>
      </c>
      <c r="AB1263" t="inlineStr">
        <is>
          <t>U1262</t>
        </is>
      </c>
      <c r="AC1263" t="inlineStr">
        <is>
          <t>JA</t>
        </is>
      </c>
      <c r="AD1263" t="n">
        <v>25.5</v>
      </c>
      <c r="AE1263" t="n">
        <v>32.3</v>
      </c>
      <c r="AF1263" t="n">
        <v>3.2</v>
      </c>
      <c r="AG1263" t="inlineStr">
        <is>
          <t>1:3.2</t>
        </is>
      </c>
      <c r="AH1263" t="inlineStr">
        <is>
          <t>4%</t>
        </is>
      </c>
      <c r="AI1263" t="inlineStr"/>
      <c r="AJ1263" t="n">
        <v>15.81</v>
      </c>
    </row>
    <row r="1264">
      <c r="A1264" t="inlineStr">
        <is>
          <t>Shimane University</t>
        </is>
      </c>
      <c r="B1264" t="inlineStr">
        <is>
          <t>Japan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>
        <is>
          <t>1501+</t>
        </is>
      </c>
      <c r="O1264" t="inlineStr">
        <is>
          <t>9.7–22.7</t>
        </is>
      </c>
      <c r="P1264" t="n">
        <v>25.7</v>
      </c>
      <c r="Q1264" t="n">
        <v>13</v>
      </c>
      <c r="R1264" t="n">
        <v>19.3</v>
      </c>
      <c r="S1264" t="n">
        <v>37.1</v>
      </c>
      <c r="T1264" t="n">
        <v>28.7</v>
      </c>
      <c r="U1264" t="inlineStr">
        <is>
          <t>6,005</t>
        </is>
      </c>
      <c r="V1264" t="n">
        <v>8.199999999999999</v>
      </c>
      <c r="W1264" t="inlineStr">
        <is>
          <t>3%</t>
        </is>
      </c>
      <c r="X1264" t="inlineStr">
        <is>
          <t>40 : 60</t>
        </is>
      </c>
      <c r="Y1264" t="inlineStr"/>
      <c r="Z1264" t="n">
        <v>1501</v>
      </c>
      <c r="AA1264" t="n">
        <v>16.2</v>
      </c>
      <c r="AB1264" t="inlineStr">
        <is>
          <t>U1263</t>
        </is>
      </c>
      <c r="AC1264" t="inlineStr">
        <is>
          <t>JA</t>
        </is>
      </c>
      <c r="AD1264" t="n">
        <v>16.2</v>
      </c>
      <c r="AE1264" t="n">
        <v>19.3</v>
      </c>
      <c r="AF1264" t="n">
        <v>8.199999999999999</v>
      </c>
      <c r="AG1264" t="inlineStr">
        <is>
          <t>1:8.2</t>
        </is>
      </c>
      <c r="AH1264" t="inlineStr">
        <is>
          <t>3%</t>
        </is>
      </c>
      <c r="AI1264" t="inlineStr"/>
      <c r="AJ1264" t="n">
        <v>13</v>
      </c>
    </row>
    <row r="1265">
      <c r="A1265" t="inlineStr">
        <is>
          <t xml:space="preserve">Shinshu University </t>
        </is>
      </c>
      <c r="B1265" t="inlineStr">
        <is>
          <t>Japan</t>
        </is>
      </c>
      <c r="C1265" t="inlineStr">
        <is>
          <t>1001-1200</t>
        </is>
      </c>
      <c r="D1265" t="inlineStr"/>
      <c r="E1265" t="n">
        <v>3.6</v>
      </c>
      <c r="F1265" t="n">
        <v>3.2</v>
      </c>
      <c r="G1265" t="n">
        <v>34.9</v>
      </c>
      <c r="H1265" t="n">
        <v>11.2</v>
      </c>
      <c r="I1265" t="n">
        <v>5.5</v>
      </c>
      <c r="J1265" t="n">
        <v>2.6</v>
      </c>
      <c r="K1265" t="n">
        <v>24.1</v>
      </c>
      <c r="L1265" t="n">
        <v>1.8</v>
      </c>
      <c r="M1265" t="n">
        <v>1.1</v>
      </c>
      <c r="N1265" t="inlineStr">
        <is>
          <t>1001–1200</t>
        </is>
      </c>
      <c r="O1265" t="inlineStr">
        <is>
          <t>28.3–32.6</t>
        </is>
      </c>
      <c r="P1265" t="n">
        <v>26.8</v>
      </c>
      <c r="Q1265" t="n">
        <v>18</v>
      </c>
      <c r="R1265" t="n">
        <v>34.6</v>
      </c>
      <c r="S1265" t="n">
        <v>63.1</v>
      </c>
      <c r="T1265" t="n">
        <v>32.6</v>
      </c>
      <c r="U1265" t="inlineStr">
        <is>
          <t>10,602</t>
        </is>
      </c>
      <c r="V1265" t="n">
        <v>10.4</v>
      </c>
      <c r="W1265" t="inlineStr">
        <is>
          <t>3%</t>
        </is>
      </c>
      <c r="X1265" t="inlineStr">
        <is>
          <t>32 : 68</t>
        </is>
      </c>
      <c r="Y1265" t="n">
        <v>1001</v>
      </c>
      <c r="Z1265" t="n">
        <v>1001</v>
      </c>
      <c r="AA1265" t="n">
        <v>30.45</v>
      </c>
      <c r="AB1265" t="inlineStr">
        <is>
          <t>U1264</t>
        </is>
      </c>
      <c r="AC1265" t="inlineStr">
        <is>
          <t>JA</t>
        </is>
      </c>
      <c r="AD1265" t="n">
        <v>30.45</v>
      </c>
      <c r="AE1265" t="n">
        <v>11.2</v>
      </c>
      <c r="AF1265" t="n">
        <v>10.4</v>
      </c>
      <c r="AG1265" t="inlineStr">
        <is>
          <t>1:10.4</t>
        </is>
      </c>
      <c r="AH1265" t="inlineStr">
        <is>
          <t>3%</t>
        </is>
      </c>
      <c r="AI1265" t="n">
        <v>3.6</v>
      </c>
      <c r="AJ1265" t="n">
        <v>14.1</v>
      </c>
    </row>
    <row r="1266">
      <c r="A1266" t="inlineStr">
        <is>
          <t>Shiraz University</t>
        </is>
      </c>
      <c r="B1266" t="inlineStr">
        <is>
          <t>Iran</t>
        </is>
      </c>
      <c r="C1266" t="inlineStr">
        <is>
          <t>691-700</t>
        </is>
      </c>
      <c r="D1266" t="inlineStr"/>
      <c r="E1266" t="n">
        <v>6.9</v>
      </c>
      <c r="F1266" t="n">
        <v>5.4</v>
      </c>
      <c r="G1266" t="n">
        <v>4.6</v>
      </c>
      <c r="H1266" t="n">
        <v>60.7</v>
      </c>
      <c r="I1266" t="n">
        <v>1.2</v>
      </c>
      <c r="J1266" t="n">
        <v>2.2</v>
      </c>
      <c r="K1266" t="n">
        <v>54.3</v>
      </c>
      <c r="L1266" t="n">
        <v>14.1</v>
      </c>
      <c r="M1266" t="n">
        <v>7.9</v>
      </c>
      <c r="N1266" t="inlineStr">
        <is>
          <t>801–1000</t>
        </is>
      </c>
      <c r="O1266" t="inlineStr">
        <is>
          <t>32.7–36.9</t>
        </is>
      </c>
      <c r="P1266" t="n">
        <v>29.3</v>
      </c>
      <c r="Q1266" t="n">
        <v>24.6</v>
      </c>
      <c r="R1266" t="n">
        <v>55</v>
      </c>
      <c r="S1266" t="n">
        <v>57.4</v>
      </c>
      <c r="T1266" t="n">
        <v>29.1</v>
      </c>
      <c r="U1266" t="inlineStr">
        <is>
          <t>14,857</t>
        </is>
      </c>
      <c r="V1266" t="n">
        <v>20.8</v>
      </c>
      <c r="W1266" t="inlineStr">
        <is>
          <t>2%</t>
        </is>
      </c>
      <c r="X1266" t="inlineStr">
        <is>
          <t>53 : 47</t>
        </is>
      </c>
      <c r="Y1266" t="n">
        <v>691</v>
      </c>
      <c r="Z1266" t="n">
        <v>801</v>
      </c>
      <c r="AA1266" t="n">
        <v>34.8</v>
      </c>
      <c r="AB1266" t="inlineStr">
        <is>
          <t>U1265</t>
        </is>
      </c>
      <c r="AC1266" t="inlineStr">
        <is>
          <t>IR</t>
        </is>
      </c>
      <c r="AD1266" t="n">
        <v>34.8</v>
      </c>
      <c r="AE1266" t="n">
        <v>60.7</v>
      </c>
      <c r="AF1266" t="n">
        <v>20.8</v>
      </c>
      <c r="AG1266" t="inlineStr">
        <is>
          <t>1:20.8</t>
        </is>
      </c>
      <c r="AH1266" t="inlineStr">
        <is>
          <t>2%</t>
        </is>
      </c>
      <c r="AI1266" t="n">
        <v>6.9</v>
      </c>
      <c r="AJ1266" t="n">
        <v>31.72</v>
      </c>
    </row>
    <row r="1267">
      <c r="A1267" t="inlineStr">
        <is>
          <t>Shiraz University of Medical Sciences</t>
        </is>
      </c>
      <c r="B1267" t="inlineStr">
        <is>
          <t>Iran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>
        <is>
          <t>801–1000</t>
        </is>
      </c>
      <c r="O1267" t="inlineStr">
        <is>
          <t>32.7–36.9</t>
        </is>
      </c>
      <c r="P1267" t="n">
        <v>41.7</v>
      </c>
      <c r="Q1267" t="n">
        <v>12.7</v>
      </c>
      <c r="R1267" t="n">
        <v>55.7</v>
      </c>
      <c r="S1267" t="n">
        <v>24.5</v>
      </c>
      <c r="T1267" t="n">
        <v>24.1</v>
      </c>
      <c r="U1267" t="inlineStr">
        <is>
          <t>9,938</t>
        </is>
      </c>
      <c r="V1267" t="n">
        <v>10.1</v>
      </c>
      <c r="W1267" t="inlineStr">
        <is>
          <t>2%</t>
        </is>
      </c>
      <c r="X1267" t="inlineStr">
        <is>
          <t>56 : 44</t>
        </is>
      </c>
      <c r="Y1267" t="inlineStr"/>
      <c r="Z1267" t="n">
        <v>801</v>
      </c>
      <c r="AA1267" t="n">
        <v>34.8</v>
      </c>
      <c r="AB1267" t="inlineStr">
        <is>
          <t>U1266</t>
        </is>
      </c>
      <c r="AC1267" t="inlineStr">
        <is>
          <t>IR</t>
        </is>
      </c>
      <c r="AD1267" t="n">
        <v>34.8</v>
      </c>
      <c r="AE1267" t="n">
        <v>55.7</v>
      </c>
      <c r="AF1267" t="n">
        <v>10.1</v>
      </c>
      <c r="AG1267" t="inlineStr">
        <is>
          <t>1:10.1</t>
        </is>
      </c>
      <c r="AH1267" t="inlineStr">
        <is>
          <t>2%</t>
        </is>
      </c>
      <c r="AI1267" t="inlineStr"/>
      <c r="AJ1267" t="n">
        <v>22.76</v>
      </c>
    </row>
    <row r="1268">
      <c r="A1268" t="inlineStr">
        <is>
          <t>Shiraz University of Technology</t>
        </is>
      </c>
      <c r="B1268" t="inlineStr">
        <is>
          <t>Iran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>
        <is>
          <t>501–600</t>
        </is>
      </c>
      <c r="O1268" t="inlineStr">
        <is>
          <t>41.9–45.3</t>
        </is>
      </c>
      <c r="P1268" t="n">
        <v>37</v>
      </c>
      <c r="Q1268" t="n">
        <v>22.8</v>
      </c>
      <c r="R1268" t="n">
        <v>77.7</v>
      </c>
      <c r="S1268" t="n">
        <v>32.6</v>
      </c>
      <c r="T1268" t="n">
        <v>33.7</v>
      </c>
      <c r="U1268" t="inlineStr">
        <is>
          <t>1,372</t>
        </is>
      </c>
      <c r="V1268" t="n">
        <v>12.9</v>
      </c>
      <c r="W1268" t="inlineStr">
        <is>
          <t>0%</t>
        </is>
      </c>
      <c r="X1268" t="inlineStr">
        <is>
          <t>39 : 61</t>
        </is>
      </c>
      <c r="Y1268" t="inlineStr"/>
      <c r="Z1268" t="n">
        <v>501</v>
      </c>
      <c r="AA1268" t="n">
        <v>43.59999999999999</v>
      </c>
      <c r="AB1268" t="inlineStr">
        <is>
          <t>U1267</t>
        </is>
      </c>
      <c r="AC1268" t="inlineStr">
        <is>
          <t>IR</t>
        </is>
      </c>
      <c r="AD1268" t="n">
        <v>43.59999999999999</v>
      </c>
      <c r="AE1268" t="n">
        <v>77.7</v>
      </c>
      <c r="AF1268" t="n">
        <v>12.9</v>
      </c>
      <c r="AG1268" t="inlineStr">
        <is>
          <t>1:12.9</t>
        </is>
      </c>
      <c r="AH1268" t="inlineStr">
        <is>
          <t>0%</t>
        </is>
      </c>
      <c r="AI1268" t="inlineStr"/>
      <c r="AJ1268" t="n">
        <v>37.04</v>
      </c>
    </row>
    <row r="1269">
      <c r="A1269" t="inlineStr">
        <is>
          <t>Shizuoka University</t>
        </is>
      </c>
      <c r="B1269" t="inlineStr">
        <is>
          <t>Japan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>
        <is>
          <t>1501+</t>
        </is>
      </c>
      <c r="O1269" t="inlineStr">
        <is>
          <t>9.7–22.7</t>
        </is>
      </c>
      <c r="P1269" t="n">
        <v>22.6</v>
      </c>
      <c r="Q1269" t="n">
        <v>16</v>
      </c>
      <c r="R1269" t="n">
        <v>19.5</v>
      </c>
      <c r="S1269" t="n">
        <v>58.3</v>
      </c>
      <c r="T1269" t="n">
        <v>37</v>
      </c>
      <c r="U1269" t="inlineStr">
        <is>
          <t>9,928</t>
        </is>
      </c>
      <c r="V1269" t="n">
        <v>14.5</v>
      </c>
      <c r="W1269" t="inlineStr">
        <is>
          <t>4%</t>
        </is>
      </c>
      <c r="X1269" t="inlineStr">
        <is>
          <t>29 : 71</t>
        </is>
      </c>
      <c r="Y1269" t="inlineStr"/>
      <c r="Z1269" t="n">
        <v>1501</v>
      </c>
      <c r="AA1269" t="n">
        <v>16.2</v>
      </c>
      <c r="AB1269" t="inlineStr">
        <is>
          <t>U1268</t>
        </is>
      </c>
      <c r="AC1269" t="inlineStr">
        <is>
          <t>JA</t>
        </is>
      </c>
      <c r="AD1269" t="n">
        <v>16.2</v>
      </c>
      <c r="AE1269" t="n">
        <v>19.5</v>
      </c>
      <c r="AF1269" t="n">
        <v>14.5</v>
      </c>
      <c r="AG1269" t="inlineStr">
        <is>
          <t>1:14.5</t>
        </is>
      </c>
      <c r="AH1269" t="inlineStr">
        <is>
          <t>4%</t>
        </is>
      </c>
      <c r="AI1269" t="inlineStr"/>
      <c r="AJ1269" t="n">
        <v>16.64</v>
      </c>
    </row>
    <row r="1270">
      <c r="A1270" t="inlineStr">
        <is>
          <t>Shoolini University of Biotechnology and Management Sciences</t>
        </is>
      </c>
      <c r="B1270" t="inlineStr">
        <is>
          <t>India</t>
        </is>
      </c>
      <c r="C1270" t="inlineStr">
        <is>
          <t>587</t>
        </is>
      </c>
      <c r="D1270" t="n">
        <v>21.1</v>
      </c>
      <c r="E1270" t="n">
        <v>10</v>
      </c>
      <c r="F1270" t="n">
        <v>14.9</v>
      </c>
      <c r="G1270" t="n">
        <v>8.1</v>
      </c>
      <c r="H1270" t="n">
        <v>55.9</v>
      </c>
      <c r="I1270" t="n">
        <v>33.3</v>
      </c>
      <c r="J1270" t="n">
        <v>1.7</v>
      </c>
      <c r="K1270" t="n">
        <v>44.8</v>
      </c>
      <c r="L1270" t="n">
        <v>2</v>
      </c>
      <c r="M1270" t="n">
        <v>16.3</v>
      </c>
      <c r="N1270" t="inlineStr">
        <is>
          <t>501–600</t>
        </is>
      </c>
      <c r="O1270" t="inlineStr">
        <is>
          <t>41.9–45.3</t>
        </is>
      </c>
      <c r="P1270" t="n">
        <v>27.6</v>
      </c>
      <c r="Q1270" t="n">
        <v>17.9</v>
      </c>
      <c r="R1270" t="n">
        <v>85.2</v>
      </c>
      <c r="S1270" t="n">
        <v>17.7</v>
      </c>
      <c r="T1270" t="n">
        <v>70</v>
      </c>
      <c r="U1270" t="inlineStr">
        <is>
          <t>3,251</t>
        </is>
      </c>
      <c r="V1270" t="n">
        <v>15.3</v>
      </c>
      <c r="W1270" t="inlineStr">
        <is>
          <t>1%</t>
        </is>
      </c>
      <c r="X1270" t="inlineStr">
        <is>
          <t>47 : 53</t>
        </is>
      </c>
      <c r="Y1270" t="n">
        <v>587</v>
      </c>
      <c r="Z1270" t="n">
        <v>501</v>
      </c>
      <c r="AA1270" t="n">
        <v>43.59999999999999</v>
      </c>
      <c r="AB1270" t="inlineStr">
        <is>
          <t>U1269</t>
        </is>
      </c>
      <c r="AC1270" t="inlineStr">
        <is>
          <t>IN</t>
        </is>
      </c>
      <c r="AD1270" t="n">
        <v>21.1</v>
      </c>
      <c r="AE1270" t="n">
        <v>55.9</v>
      </c>
      <c r="AF1270" t="n">
        <v>15.3</v>
      </c>
      <c r="AG1270" t="inlineStr">
        <is>
          <t>1:15.3</t>
        </is>
      </c>
      <c r="AH1270" t="inlineStr">
        <is>
          <t>1%</t>
        </is>
      </c>
      <c r="AI1270" t="n">
        <v>10</v>
      </c>
      <c r="AJ1270" t="n">
        <v>36.64</v>
      </c>
    </row>
    <row r="1271">
      <c r="A1271" t="inlineStr">
        <is>
          <t>Showa University</t>
        </is>
      </c>
      <c r="B1271" t="inlineStr">
        <is>
          <t>Japan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>
        <is>
          <t>1201–1500</t>
        </is>
      </c>
      <c r="O1271" t="inlineStr">
        <is>
          <t>22.8–28.2</t>
        </is>
      </c>
      <c r="P1271" t="n">
        <v>32.8</v>
      </c>
      <c r="Q1271" t="n">
        <v>10.3</v>
      </c>
      <c r="R1271" t="n">
        <v>35.5</v>
      </c>
      <c r="S1271" t="n">
        <v>40.2</v>
      </c>
      <c r="T1271" t="n">
        <v>19.8</v>
      </c>
      <c r="U1271" t="inlineStr">
        <is>
          <t>3,668</t>
        </is>
      </c>
      <c r="V1271" t="n">
        <v>1.6</v>
      </c>
      <c r="W1271" t="inlineStr">
        <is>
          <t>0%</t>
        </is>
      </c>
      <c r="X1271" t="inlineStr">
        <is>
          <t>62 : 38</t>
        </is>
      </c>
      <c r="Y1271" t="inlineStr"/>
      <c r="Z1271" t="n">
        <v>1201</v>
      </c>
      <c r="AA1271" t="n">
        <v>25.5</v>
      </c>
      <c r="AB1271" t="inlineStr">
        <is>
          <t>U1270</t>
        </is>
      </c>
      <c r="AC1271" t="inlineStr">
        <is>
          <t>JA</t>
        </is>
      </c>
      <c r="AD1271" t="n">
        <v>25.5</v>
      </c>
      <c r="AE1271" t="n">
        <v>35.5</v>
      </c>
      <c r="AF1271" t="n">
        <v>1.6</v>
      </c>
      <c r="AG1271" t="inlineStr">
        <is>
          <t>1:1.6</t>
        </is>
      </c>
      <c r="AH1271" t="inlineStr">
        <is>
          <t>0%</t>
        </is>
      </c>
      <c r="AI1271" t="inlineStr"/>
      <c r="AJ1271" t="n">
        <v>14.34</v>
      </c>
    </row>
    <row r="1272">
      <c r="A1272" t="inlineStr">
        <is>
          <t>Shri Mata Vaishno Devi University</t>
        </is>
      </c>
      <c r="B1272" t="inlineStr">
        <is>
          <t>India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>
        <is>
          <t>801–1000</t>
        </is>
      </c>
      <c r="O1272" t="inlineStr">
        <is>
          <t>32.7–36.9</t>
        </is>
      </c>
      <c r="P1272" t="n">
        <v>24.7</v>
      </c>
      <c r="Q1272" t="n">
        <v>17.2</v>
      </c>
      <c r="R1272" t="n">
        <v>68</v>
      </c>
      <c r="S1272" t="n">
        <v>26.1</v>
      </c>
      <c r="T1272" t="n">
        <v>22.8</v>
      </c>
      <c r="U1272" t="inlineStr">
        <is>
          <t>2,502</t>
        </is>
      </c>
      <c r="V1272" t="n">
        <v>20.3</v>
      </c>
      <c r="W1272" t="inlineStr">
        <is>
          <t>0%</t>
        </is>
      </c>
      <c r="X1272" t="inlineStr">
        <is>
          <t>34 : 66</t>
        </is>
      </c>
      <c r="Y1272" t="inlineStr"/>
      <c r="Z1272" t="n">
        <v>801</v>
      </c>
      <c r="AA1272" t="n">
        <v>34.8</v>
      </c>
      <c r="AB1272" t="inlineStr">
        <is>
          <t>U1271</t>
        </is>
      </c>
      <c r="AC1272" t="inlineStr">
        <is>
          <t>IN</t>
        </is>
      </c>
      <c r="AD1272" t="n">
        <v>34.8</v>
      </c>
      <c r="AE1272" t="n">
        <v>68</v>
      </c>
      <c r="AF1272" t="n">
        <v>20.3</v>
      </c>
      <c r="AG1272" t="inlineStr">
        <is>
          <t>1:20.3</t>
        </is>
      </c>
      <c r="AH1272" t="inlineStr">
        <is>
          <t>0%</t>
        </is>
      </c>
      <c r="AI1272" t="inlineStr"/>
      <c r="AJ1272" t="n">
        <v>28.53</v>
      </c>
    </row>
    <row r="1273">
      <c r="A1273" t="inlineStr">
        <is>
          <t>Siberian Federal University</t>
        </is>
      </c>
      <c r="B1273" t="inlineStr">
        <is>
          <t>Russian Federation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>
        <is>
          <t>1001–1200</t>
        </is>
      </c>
      <c r="O1273" t="inlineStr">
        <is>
          <t>28.3–32.6</t>
        </is>
      </c>
      <c r="P1273" t="n">
        <v>30.4</v>
      </c>
      <c r="Q1273" t="n">
        <v>24.2</v>
      </c>
      <c r="R1273" t="n">
        <v>26.9</v>
      </c>
      <c r="S1273" t="n">
        <v>55.3</v>
      </c>
      <c r="T1273" t="n">
        <v>59.5</v>
      </c>
      <c r="U1273" t="inlineStr">
        <is>
          <t>9,401</t>
        </is>
      </c>
      <c r="V1273" t="n">
        <v>18.3</v>
      </c>
      <c r="W1273" t="inlineStr">
        <is>
          <t>13%</t>
        </is>
      </c>
      <c r="X1273" t="inlineStr">
        <is>
          <t>51 : 49</t>
        </is>
      </c>
      <c r="Y1273" t="inlineStr"/>
      <c r="Z1273" t="n">
        <v>1001</v>
      </c>
      <c r="AA1273" t="n">
        <v>30.45</v>
      </c>
      <c r="AB1273" t="inlineStr">
        <is>
          <t>U1272</t>
        </is>
      </c>
      <c r="AC1273" t="inlineStr">
        <is>
          <t>RU</t>
        </is>
      </c>
      <c r="AD1273" t="n">
        <v>30.45</v>
      </c>
      <c r="AE1273" t="n">
        <v>26.9</v>
      </c>
      <c r="AF1273" t="n">
        <v>18.3</v>
      </c>
      <c r="AG1273" t="inlineStr">
        <is>
          <t>1:18.3</t>
        </is>
      </c>
      <c r="AH1273" t="inlineStr">
        <is>
          <t>13%</t>
        </is>
      </c>
      <c r="AI1273" t="inlineStr"/>
      <c r="AJ1273" t="n">
        <v>28.62</v>
      </c>
    </row>
    <row r="1274">
      <c r="A1274" t="inlineStr">
        <is>
          <t>Siberian Federal University, SibFU</t>
        </is>
      </c>
      <c r="B1274" t="inlineStr">
        <is>
          <t>Russian Federation</t>
        </is>
      </c>
      <c r="C1274" t="inlineStr">
        <is>
          <t>1001-1200</t>
        </is>
      </c>
      <c r="D1274" t="inlineStr"/>
      <c r="E1274" t="n">
        <v>6.8</v>
      </c>
      <c r="F1274" t="n">
        <v>4.5</v>
      </c>
      <c r="G1274" t="n">
        <v>18.9</v>
      </c>
      <c r="H1274" t="n">
        <v>3.8</v>
      </c>
      <c r="I1274" t="n">
        <v>46.3</v>
      </c>
      <c r="J1274" t="n">
        <v>31.6</v>
      </c>
      <c r="K1274" t="n">
        <v>32.6</v>
      </c>
      <c r="L1274" t="n">
        <v>8</v>
      </c>
      <c r="M1274" t="n">
        <v>1.2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n">
        <v>1001</v>
      </c>
      <c r="Z1274" t="inlineStr"/>
      <c r="AA1274" t="inlineStr"/>
      <c r="AB1274" t="inlineStr">
        <is>
          <t>U1273</t>
        </is>
      </c>
      <c r="AC1274" t="inlineStr">
        <is>
          <t>RU</t>
        </is>
      </c>
      <c r="AD1274" t="inlineStr"/>
      <c r="AE1274" t="n">
        <v>3.8</v>
      </c>
      <c r="AF1274" t="inlineStr"/>
      <c r="AG1274" t="inlineStr"/>
      <c r="AH1274" t="inlineStr"/>
      <c r="AI1274" t="n">
        <v>6.8</v>
      </c>
      <c r="AJ1274" t="n">
        <v>14.54</v>
      </c>
    </row>
    <row r="1275">
      <c r="A1275" t="inlineStr">
        <is>
          <t>Siberian State Medical University</t>
        </is>
      </c>
      <c r="B1275" t="inlineStr">
        <is>
          <t>Russian Federation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>
        <is>
          <t>1501+</t>
        </is>
      </c>
      <c r="O1275" t="inlineStr">
        <is>
          <t>9.7–22.7</t>
        </is>
      </c>
      <c r="P1275" t="n">
        <v>22.1</v>
      </c>
      <c r="Q1275" t="n">
        <v>9.6</v>
      </c>
      <c r="R1275" t="n">
        <v>3.4</v>
      </c>
      <c r="S1275" t="n">
        <v>17.1</v>
      </c>
      <c r="T1275" t="n">
        <v>39.8</v>
      </c>
      <c r="U1275" t="inlineStr">
        <is>
          <t>6,798</t>
        </is>
      </c>
      <c r="V1275" t="n">
        <v>10.6</v>
      </c>
      <c r="W1275" t="inlineStr">
        <is>
          <t>21%</t>
        </is>
      </c>
      <c r="X1275" t="inlineStr">
        <is>
          <t>71 : 29</t>
        </is>
      </c>
      <c r="Y1275" t="inlineStr"/>
      <c r="Z1275" t="n">
        <v>1501</v>
      </c>
      <c r="AA1275" t="n">
        <v>16.2</v>
      </c>
      <c r="AB1275" t="inlineStr">
        <is>
          <t>U1274</t>
        </is>
      </c>
      <c r="AC1275" t="inlineStr">
        <is>
          <t>RU</t>
        </is>
      </c>
      <c r="AD1275" t="n">
        <v>16.2</v>
      </c>
      <c r="AE1275" t="n">
        <v>3.4</v>
      </c>
      <c r="AF1275" t="n">
        <v>10.6</v>
      </c>
      <c r="AG1275" t="inlineStr">
        <is>
          <t>1:10.6</t>
        </is>
      </c>
      <c r="AH1275" t="inlineStr">
        <is>
          <t>21%</t>
        </is>
      </c>
      <c r="AI1275" t="inlineStr"/>
      <c r="AJ1275" t="n">
        <v>9.08</v>
      </c>
    </row>
    <row r="1276">
      <c r="A1276" t="inlineStr">
        <is>
          <t>Sichuan University</t>
        </is>
      </c>
      <c r="B1276" t="inlineStr">
        <is>
          <t>China</t>
        </is>
      </c>
      <c r="C1276" t="inlineStr">
        <is>
          <t>336</t>
        </is>
      </c>
      <c r="D1276" t="n">
        <v>33.3</v>
      </c>
      <c r="E1276" t="n">
        <v>20.4</v>
      </c>
      <c r="F1276" t="n">
        <v>12.3</v>
      </c>
      <c r="G1276" t="n">
        <v>10.3</v>
      </c>
      <c r="H1276" t="n">
        <v>98.5</v>
      </c>
      <c r="I1276" t="n">
        <v>7.1</v>
      </c>
      <c r="J1276" t="n">
        <v>4.9</v>
      </c>
      <c r="K1276" t="n">
        <v>71.3</v>
      </c>
      <c r="L1276" t="n">
        <v>12.9</v>
      </c>
      <c r="M1276" t="n">
        <v>11</v>
      </c>
      <c r="N1276">
        <f>150</f>
        <v/>
      </c>
      <c r="O1276" t="inlineStr">
        <is>
          <t>62.0</t>
        </is>
      </c>
      <c r="P1276" t="n">
        <v>59.1</v>
      </c>
      <c r="Q1276" t="n">
        <v>57.3</v>
      </c>
      <c r="R1276" t="n">
        <v>69.3</v>
      </c>
      <c r="S1276" t="n">
        <v>93.2</v>
      </c>
      <c r="T1276" t="n">
        <v>46.1</v>
      </c>
      <c r="U1276" t="inlineStr">
        <is>
          <t>49,117</t>
        </is>
      </c>
      <c r="V1276" t="n">
        <v>15.9</v>
      </c>
      <c r="W1276" t="inlineStr">
        <is>
          <t>5%</t>
        </is>
      </c>
      <c r="X1276" t="inlineStr"/>
      <c r="Y1276" t="n">
        <v>336</v>
      </c>
      <c r="Z1276" t="n">
        <v>150</v>
      </c>
      <c r="AA1276" t="n">
        <v>62</v>
      </c>
      <c r="AB1276" t="inlineStr">
        <is>
          <t>U1275</t>
        </is>
      </c>
      <c r="AC1276" t="inlineStr">
        <is>
          <t>CH</t>
        </is>
      </c>
      <c r="AD1276" t="n">
        <v>33.3</v>
      </c>
      <c r="AE1276" t="n">
        <v>98.5</v>
      </c>
      <c r="AF1276" t="n">
        <v>15.9</v>
      </c>
      <c r="AG1276" t="inlineStr">
        <is>
          <t>1:15.9</t>
        </is>
      </c>
      <c r="AH1276" t="inlineStr">
        <is>
          <t>5%</t>
        </is>
      </c>
      <c r="AI1276" t="n">
        <v>20.4</v>
      </c>
      <c r="AJ1276" t="n">
        <v>64.42</v>
      </c>
    </row>
    <row r="1277">
      <c r="A1277" t="inlineStr">
        <is>
          <t>Sichuan University of Science and Engineering</t>
        </is>
      </c>
      <c r="B1277" t="inlineStr">
        <is>
          <t>China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>
        <is>
          <t>1501+</t>
        </is>
      </c>
      <c r="O1277" t="inlineStr">
        <is>
          <t>9.7–22.7</t>
        </is>
      </c>
      <c r="P1277" t="n">
        <v>12</v>
      </c>
      <c r="Q1277" t="n">
        <v>10.4</v>
      </c>
      <c r="R1277" t="n">
        <v>23.8</v>
      </c>
      <c r="S1277" t="n">
        <v>26.4</v>
      </c>
      <c r="T1277" t="n">
        <v>20.3</v>
      </c>
      <c r="U1277" t="inlineStr">
        <is>
          <t>44,741</t>
        </is>
      </c>
      <c r="V1277" t="n">
        <v>22.9</v>
      </c>
      <c r="W1277" t="inlineStr">
        <is>
          <t>1%</t>
        </is>
      </c>
      <c r="X1277" t="inlineStr">
        <is>
          <t>39 : 61</t>
        </is>
      </c>
      <c r="Y1277" t="inlineStr"/>
      <c r="Z1277" t="n">
        <v>1501</v>
      </c>
      <c r="AA1277" t="n">
        <v>16.2</v>
      </c>
      <c r="AB1277" t="inlineStr">
        <is>
          <t>U1276</t>
        </is>
      </c>
      <c r="AC1277" t="inlineStr">
        <is>
          <t>CH</t>
        </is>
      </c>
      <c r="AD1277" t="n">
        <v>16.2</v>
      </c>
      <c r="AE1277" t="n">
        <v>23.8</v>
      </c>
      <c r="AF1277" t="n">
        <v>22.9</v>
      </c>
      <c r="AG1277" t="inlineStr">
        <is>
          <t>1:22.9</t>
        </is>
      </c>
      <c r="AH1277" t="inlineStr">
        <is>
          <t>1%</t>
        </is>
      </c>
      <c r="AI1277" t="inlineStr"/>
      <c r="AJ1277" t="n">
        <v>10.96</v>
      </c>
    </row>
    <row r="1278">
      <c r="A1278" t="inlineStr">
        <is>
          <t>Sidi Mohamed Ben Abdellah University</t>
        </is>
      </c>
      <c r="B1278" t="inlineStr">
        <is>
          <t>Morocco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>
        <is>
          <t>1001–1200</t>
        </is>
      </c>
      <c r="O1278" t="inlineStr">
        <is>
          <t>28.3–32.6</t>
        </is>
      </c>
      <c r="P1278" t="n">
        <v>26.6</v>
      </c>
      <c r="Q1278" t="n">
        <v>11.3</v>
      </c>
      <c r="R1278" t="n">
        <v>50.6</v>
      </c>
      <c r="S1278" t="n">
        <v>16.9</v>
      </c>
      <c r="T1278" t="n">
        <v>25.3</v>
      </c>
      <c r="U1278" t="inlineStr">
        <is>
          <t>95,994</t>
        </is>
      </c>
      <c r="V1278" t="n">
        <v>55.6</v>
      </c>
      <c r="W1278" t="inlineStr">
        <is>
          <t>1%</t>
        </is>
      </c>
      <c r="X1278" t="inlineStr">
        <is>
          <t>51 : 49</t>
        </is>
      </c>
      <c r="Y1278" t="inlineStr"/>
      <c r="Z1278" t="n">
        <v>1001</v>
      </c>
      <c r="AA1278" t="n">
        <v>30.45</v>
      </c>
      <c r="AB1278" t="inlineStr">
        <is>
          <t>U1277</t>
        </is>
      </c>
      <c r="AC1278" t="inlineStr">
        <is>
          <t>MO</t>
        </is>
      </c>
      <c r="AD1278" t="n">
        <v>30.45</v>
      </c>
      <c r="AE1278" t="n">
        <v>50.6</v>
      </c>
      <c r="AF1278" t="n">
        <v>55.6</v>
      </c>
      <c r="AG1278" t="inlineStr">
        <is>
          <t>1:55.6</t>
        </is>
      </c>
      <c r="AH1278" t="inlineStr">
        <is>
          <t>1%</t>
        </is>
      </c>
      <c r="AI1278" t="inlineStr"/>
      <c r="AJ1278" t="n">
        <v>20.77</v>
      </c>
    </row>
    <row r="1279">
      <c r="A1279" t="inlineStr">
        <is>
          <t>Siksha 'O' Anusandhan (Deemed to be University)</t>
        </is>
      </c>
      <c r="B1279" t="inlineStr">
        <is>
          <t>India</t>
        </is>
      </c>
      <c r="C1279" t="inlineStr">
        <is>
          <t>1201-1400</t>
        </is>
      </c>
      <c r="D1279" t="inlineStr"/>
      <c r="E1279" t="n">
        <v>7.5</v>
      </c>
      <c r="F1279" t="n">
        <v>3.6</v>
      </c>
      <c r="G1279" t="n">
        <v>34.3</v>
      </c>
      <c r="H1279" t="n">
        <v>5.3</v>
      </c>
      <c r="I1279" t="n">
        <v>2.2</v>
      </c>
      <c r="J1279" t="n">
        <v>2.2</v>
      </c>
      <c r="K1279" t="n">
        <v>23.7</v>
      </c>
      <c r="L1279" t="n">
        <v>1.9</v>
      </c>
      <c r="M1279" t="n">
        <v>1</v>
      </c>
      <c r="N1279" t="inlineStr">
        <is>
          <t>801–1000</t>
        </is>
      </c>
      <c r="O1279" t="inlineStr">
        <is>
          <t>32.7–36.9</t>
        </is>
      </c>
      <c r="P1279" t="n">
        <v>37.9</v>
      </c>
      <c r="Q1279" t="n">
        <v>16.7</v>
      </c>
      <c r="R1279" t="n">
        <v>47.7</v>
      </c>
      <c r="S1279" t="n">
        <v>40.8</v>
      </c>
      <c r="T1279" t="n">
        <v>19.9</v>
      </c>
      <c r="U1279" t="inlineStr">
        <is>
          <t>13,808</t>
        </is>
      </c>
      <c r="V1279" t="n">
        <v>11.9</v>
      </c>
      <c r="W1279" t="inlineStr">
        <is>
          <t>2%</t>
        </is>
      </c>
      <c r="X1279" t="inlineStr">
        <is>
          <t>52 : 48</t>
        </is>
      </c>
      <c r="Y1279" t="n">
        <v>1201</v>
      </c>
      <c r="Z1279" t="n">
        <v>801</v>
      </c>
      <c r="AA1279" t="n">
        <v>34.8</v>
      </c>
      <c r="AB1279" t="inlineStr">
        <is>
          <t>U1278</t>
        </is>
      </c>
      <c r="AC1279" t="inlineStr">
        <is>
          <t>IN</t>
        </is>
      </c>
      <c r="AD1279" t="n">
        <v>34.8</v>
      </c>
      <c r="AE1279" t="n">
        <v>5.3</v>
      </c>
      <c r="AF1279" t="n">
        <v>11.9</v>
      </c>
      <c r="AG1279" t="inlineStr">
        <is>
          <t>1:11.9</t>
        </is>
      </c>
      <c r="AH1279" t="inlineStr">
        <is>
          <t>2%</t>
        </is>
      </c>
      <c r="AI1279" t="n">
        <v>7.5</v>
      </c>
      <c r="AJ1279" t="n">
        <v>8.56</v>
      </c>
    </row>
    <row r="1280">
      <c r="A1280" t="inlineStr">
        <is>
          <t>Silesian University of Technology</t>
        </is>
      </c>
      <c r="B1280" t="inlineStr">
        <is>
          <t>Poland</t>
        </is>
      </c>
      <c r="C1280" t="inlineStr">
        <is>
          <t>1001-1200</t>
        </is>
      </c>
      <c r="D1280" t="inlineStr"/>
      <c r="E1280" t="n">
        <v>6.8</v>
      </c>
      <c r="F1280" t="n">
        <v>3.8</v>
      </c>
      <c r="G1280" t="n">
        <v>30.3</v>
      </c>
      <c r="H1280" t="n">
        <v>7</v>
      </c>
      <c r="I1280" t="n">
        <v>2.9</v>
      </c>
      <c r="J1280" t="n">
        <v>3.3</v>
      </c>
      <c r="K1280" t="n">
        <v>63.4</v>
      </c>
      <c r="L1280" t="n">
        <v>9.5</v>
      </c>
      <c r="M1280" t="n">
        <v>1.4</v>
      </c>
      <c r="N1280" t="inlineStr">
        <is>
          <t>1201–1500</t>
        </is>
      </c>
      <c r="O1280" t="inlineStr">
        <is>
          <t>22.8–28.2</t>
        </is>
      </c>
      <c r="P1280" t="n">
        <v>21.8</v>
      </c>
      <c r="Q1280" t="n">
        <v>15.6</v>
      </c>
      <c r="R1280" t="n">
        <v>39.4</v>
      </c>
      <c r="S1280" t="n">
        <v>31.5</v>
      </c>
      <c r="T1280" t="n">
        <v>26.6</v>
      </c>
      <c r="U1280" t="inlineStr">
        <is>
          <t>17,424</t>
        </is>
      </c>
      <c r="V1280" t="n">
        <v>12</v>
      </c>
      <c r="W1280" t="inlineStr">
        <is>
          <t>4%</t>
        </is>
      </c>
      <c r="X1280" t="inlineStr">
        <is>
          <t>32 : 68</t>
        </is>
      </c>
      <c r="Y1280" t="n">
        <v>1001</v>
      </c>
      <c r="Z1280" t="n">
        <v>1201</v>
      </c>
      <c r="AA1280" t="n">
        <v>25.5</v>
      </c>
      <c r="AB1280" t="inlineStr">
        <is>
          <t>U1279</t>
        </is>
      </c>
      <c r="AC1280" t="inlineStr">
        <is>
          <t>PO</t>
        </is>
      </c>
      <c r="AD1280" t="n">
        <v>25.5</v>
      </c>
      <c r="AE1280" t="n">
        <v>7</v>
      </c>
      <c r="AF1280" t="n">
        <v>12</v>
      </c>
      <c r="AG1280" t="inlineStr">
        <is>
          <t>1:12.0</t>
        </is>
      </c>
      <c r="AH1280" t="inlineStr">
        <is>
          <t>4%</t>
        </is>
      </c>
      <c r="AI1280" t="n">
        <v>6.8</v>
      </c>
      <c r="AJ1280" t="n">
        <v>10.12</v>
      </c>
    </row>
    <row r="1281">
      <c r="A1281" t="inlineStr">
        <is>
          <t>Silpakorn University</t>
        </is>
      </c>
      <c r="B1281" t="inlineStr">
        <is>
          <t>Thailand</t>
        </is>
      </c>
      <c r="C1281" t="inlineStr">
        <is>
          <t>1401+</t>
        </is>
      </c>
      <c r="D1281" t="inlineStr"/>
      <c r="E1281" t="n">
        <v>6.3</v>
      </c>
      <c r="F1281" t="n">
        <v>5.4</v>
      </c>
      <c r="G1281" t="n">
        <v>4.4</v>
      </c>
      <c r="H1281" t="n">
        <v>2.8</v>
      </c>
      <c r="I1281" t="n">
        <v>4.3</v>
      </c>
      <c r="J1281" t="n">
        <v>1.2</v>
      </c>
      <c r="K1281" t="n">
        <v>24.7</v>
      </c>
      <c r="L1281" t="n">
        <v>2.5</v>
      </c>
      <c r="M1281" t="n">
        <v>1</v>
      </c>
      <c r="N1281" t="inlineStr">
        <is>
          <t>1501+</t>
        </is>
      </c>
      <c r="O1281" t="inlineStr">
        <is>
          <t>9.7–22.7</t>
        </is>
      </c>
      <c r="P1281" t="n">
        <v>19.3</v>
      </c>
      <c r="Q1281" t="n">
        <v>13.6</v>
      </c>
      <c r="R1281" t="n">
        <v>20.7</v>
      </c>
      <c r="S1281" t="n">
        <v>38</v>
      </c>
      <c r="T1281" t="n">
        <v>29</v>
      </c>
      <c r="U1281" t="inlineStr">
        <is>
          <t>22,163</t>
        </is>
      </c>
      <c r="V1281" t="n">
        <v>18.8</v>
      </c>
      <c r="W1281" t="inlineStr">
        <is>
          <t>2%</t>
        </is>
      </c>
      <c r="X1281" t="inlineStr">
        <is>
          <t>69 : 31</t>
        </is>
      </c>
      <c r="Y1281" t="n">
        <v>1401</v>
      </c>
      <c r="Z1281" t="n">
        <v>1501</v>
      </c>
      <c r="AA1281" t="n">
        <v>16.2</v>
      </c>
      <c r="AB1281" t="inlineStr">
        <is>
          <t>U1280</t>
        </is>
      </c>
      <c r="AC1281" t="inlineStr">
        <is>
          <t>TH</t>
        </is>
      </c>
      <c r="AD1281" t="n">
        <v>16.2</v>
      </c>
      <c r="AE1281" t="n">
        <v>2.8</v>
      </c>
      <c r="AF1281" t="n">
        <v>18.8</v>
      </c>
      <c r="AG1281" t="inlineStr">
        <is>
          <t>1:18.8</t>
        </is>
      </c>
      <c r="AH1281" t="inlineStr">
        <is>
          <t>2%</t>
        </is>
      </c>
      <c r="AI1281" t="n">
        <v>6.3</v>
      </c>
      <c r="AJ1281" t="n">
        <v>8.380000000000001</v>
      </c>
    </row>
    <row r="1282">
      <c r="A1282" t="inlineStr">
        <is>
          <t>Simon Fraser University</t>
        </is>
      </c>
      <c r="B1282" t="inlineStr">
        <is>
          <t>Canada</t>
        </is>
      </c>
      <c r="C1282" t="inlineStr">
        <is>
          <t>319</t>
        </is>
      </c>
      <c r="D1282" t="n">
        <v>34.6</v>
      </c>
      <c r="E1282" t="n">
        <v>24</v>
      </c>
      <c r="F1282" t="n">
        <v>11.4</v>
      </c>
      <c r="G1282" t="n">
        <v>6.2</v>
      </c>
      <c r="H1282" t="n">
        <v>36.6</v>
      </c>
      <c r="I1282" t="n">
        <v>97</v>
      </c>
      <c r="J1282" t="n">
        <v>83.90000000000001</v>
      </c>
      <c r="K1282" t="n">
        <v>76.8</v>
      </c>
      <c r="L1282" t="n">
        <v>22.8</v>
      </c>
      <c r="M1282" t="n">
        <v>89.8</v>
      </c>
      <c r="N1282" t="inlineStr">
        <is>
          <t>251–300</t>
        </is>
      </c>
      <c r="O1282" t="inlineStr">
        <is>
          <t>53.1–55.8</t>
        </is>
      </c>
      <c r="P1282" t="n">
        <v>28.7</v>
      </c>
      <c r="Q1282" t="n">
        <v>36.7</v>
      </c>
      <c r="R1282" t="n">
        <v>84.2</v>
      </c>
      <c r="S1282" t="n">
        <v>83.09999999999999</v>
      </c>
      <c r="T1282" t="n">
        <v>92.90000000000001</v>
      </c>
      <c r="U1282" t="inlineStr">
        <is>
          <t>27,269</t>
        </is>
      </c>
      <c r="V1282" t="n">
        <v>26.8</v>
      </c>
      <c r="W1282" t="inlineStr">
        <is>
          <t>31%</t>
        </is>
      </c>
      <c r="X1282" t="inlineStr">
        <is>
          <t>54 : 46</t>
        </is>
      </c>
      <c r="Y1282" t="n">
        <v>319</v>
      </c>
      <c r="Z1282" t="n">
        <v>251</v>
      </c>
      <c r="AA1282" t="n">
        <v>54.45</v>
      </c>
      <c r="AB1282" t="inlineStr">
        <is>
          <t>U1281</t>
        </is>
      </c>
      <c r="AC1282" t="inlineStr">
        <is>
          <t>CA</t>
        </is>
      </c>
      <c r="AD1282" t="n">
        <v>34.6</v>
      </c>
      <c r="AE1282" t="n">
        <v>36.6</v>
      </c>
      <c r="AF1282" t="n">
        <v>26.8</v>
      </c>
      <c r="AG1282" t="inlineStr">
        <is>
          <t>1:26.8</t>
        </is>
      </c>
      <c r="AH1282" t="inlineStr">
        <is>
          <t>31%</t>
        </is>
      </c>
      <c r="AI1282" t="n">
        <v>24</v>
      </c>
      <c r="AJ1282" t="n">
        <v>46.18</v>
      </c>
    </row>
    <row r="1283">
      <c r="A1283" t="inlineStr">
        <is>
          <t>Singapore Management University</t>
        </is>
      </c>
      <c r="B1283" t="inlineStr">
        <is>
          <t>Singapore</t>
        </is>
      </c>
      <c r="C1283" t="inlineStr">
        <is>
          <t>585</t>
        </is>
      </c>
      <c r="D1283" t="n">
        <v>21.2</v>
      </c>
      <c r="E1283" t="n">
        <v>12.3</v>
      </c>
      <c r="F1283" t="n">
        <v>14.2</v>
      </c>
      <c r="G1283" t="n">
        <v>10.2</v>
      </c>
      <c r="H1283" t="n">
        <v>18.8</v>
      </c>
      <c r="I1283" t="n">
        <v>100</v>
      </c>
      <c r="J1283" t="n">
        <v>58.9</v>
      </c>
      <c r="K1283" t="n">
        <v>20.8</v>
      </c>
      <c r="L1283" t="n">
        <v>27.1</v>
      </c>
      <c r="M1283" t="n">
        <v>26.3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n">
        <v>585</v>
      </c>
      <c r="Z1283" t="inlineStr"/>
      <c r="AA1283" t="inlineStr"/>
      <c r="AB1283" t="inlineStr">
        <is>
          <t>U1282</t>
        </is>
      </c>
      <c r="AC1283" t="inlineStr">
        <is>
          <t>SI</t>
        </is>
      </c>
      <c r="AD1283" t="n">
        <v>21.2</v>
      </c>
      <c r="AE1283" t="n">
        <v>18.8</v>
      </c>
      <c r="AF1283" t="inlineStr"/>
      <c r="AG1283" t="inlineStr"/>
      <c r="AH1283" t="inlineStr"/>
      <c r="AI1283" t="n">
        <v>12.3</v>
      </c>
      <c r="AJ1283" t="n">
        <v>19.09</v>
      </c>
    </row>
    <row r="1284">
      <c r="A1284" t="inlineStr">
        <is>
          <t>Singapore University of Technology and Design</t>
        </is>
      </c>
      <c r="B1284" t="inlineStr">
        <is>
          <t>Singapore</t>
        </is>
      </c>
      <c r="C1284" t="inlineStr">
        <is>
          <t>440</t>
        </is>
      </c>
      <c r="D1284" t="n">
        <v>27</v>
      </c>
      <c r="E1284" t="n">
        <v>7.4</v>
      </c>
      <c r="F1284" t="n">
        <v>5.3</v>
      </c>
      <c r="G1284" t="n">
        <v>99</v>
      </c>
      <c r="H1284" t="n">
        <v>66</v>
      </c>
      <c r="I1284" t="inlineStr"/>
      <c r="J1284" t="inlineStr"/>
      <c r="K1284" t="n">
        <v>31.2</v>
      </c>
      <c r="L1284" t="n">
        <v>4.6</v>
      </c>
      <c r="M1284" t="n">
        <v>1.1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n">
        <v>440</v>
      </c>
      <c r="Z1284" t="inlineStr"/>
      <c r="AA1284" t="inlineStr"/>
      <c r="AB1284" t="inlineStr">
        <is>
          <t>U1283</t>
        </is>
      </c>
      <c r="AC1284" t="inlineStr">
        <is>
          <t>SI</t>
        </is>
      </c>
      <c r="AD1284" t="n">
        <v>27</v>
      </c>
      <c r="AE1284" t="n">
        <v>66</v>
      </c>
      <c r="AF1284" t="inlineStr"/>
      <c r="AG1284" t="inlineStr"/>
      <c r="AH1284" t="inlineStr"/>
      <c r="AI1284" t="n">
        <v>7.4</v>
      </c>
      <c r="AJ1284" t="n">
        <v>33.39</v>
      </c>
    </row>
    <row r="1285">
      <c r="A1285" t="inlineStr">
        <is>
          <t>Sivas Cumhuriyet University</t>
        </is>
      </c>
      <c r="B1285" t="inlineStr">
        <is>
          <t>Turkey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>
        <is>
          <t>1501+</t>
        </is>
      </c>
      <c r="O1285" t="inlineStr">
        <is>
          <t>9.7–22.7</t>
        </is>
      </c>
      <c r="P1285" t="n">
        <v>14.9</v>
      </c>
      <c r="Q1285" t="n">
        <v>9.5</v>
      </c>
      <c r="R1285" t="n">
        <v>26.1</v>
      </c>
      <c r="S1285" t="n">
        <v>18.5</v>
      </c>
      <c r="T1285" t="n">
        <v>29.7</v>
      </c>
      <c r="U1285" t="inlineStr">
        <is>
          <t>33,919</t>
        </is>
      </c>
      <c r="V1285" t="n">
        <v>32.4</v>
      </c>
      <c r="W1285" t="inlineStr">
        <is>
          <t>8%</t>
        </is>
      </c>
      <c r="X1285" t="inlineStr">
        <is>
          <t>50 : 50</t>
        </is>
      </c>
      <c r="Y1285" t="inlineStr"/>
      <c r="Z1285" t="n">
        <v>1501</v>
      </c>
      <c r="AA1285" t="n">
        <v>16.2</v>
      </c>
      <c r="AB1285" t="inlineStr">
        <is>
          <t>U1284</t>
        </is>
      </c>
      <c r="AC1285" t="inlineStr">
        <is>
          <t>TU</t>
        </is>
      </c>
      <c r="AD1285" t="n">
        <v>16.2</v>
      </c>
      <c r="AE1285" t="n">
        <v>26.1</v>
      </c>
      <c r="AF1285" t="n">
        <v>32.4</v>
      </c>
      <c r="AG1285" t="inlineStr">
        <is>
          <t>1:32.4</t>
        </is>
      </c>
      <c r="AH1285" t="inlineStr">
        <is>
          <t>8%</t>
        </is>
      </c>
      <c r="AI1285" t="inlineStr"/>
      <c r="AJ1285" t="n">
        <v>13.46</v>
      </c>
    </row>
    <row r="1286">
      <c r="A1286" t="inlineStr">
        <is>
          <t>Slovak University of Agriculture in Nitra</t>
        </is>
      </c>
      <c r="B1286" t="inlineStr">
        <is>
          <t>Slovakia</t>
        </is>
      </c>
      <c r="C1286" t="inlineStr">
        <is>
          <t>1001-1200</t>
        </is>
      </c>
      <c r="D1286" t="inlineStr"/>
      <c r="E1286" t="n">
        <v>8.5</v>
      </c>
      <c r="F1286" t="n">
        <v>9</v>
      </c>
      <c r="G1286" t="n">
        <v>25.8</v>
      </c>
      <c r="H1286" t="n">
        <v>7.2</v>
      </c>
      <c r="I1286" t="n">
        <v>7.1</v>
      </c>
      <c r="J1286" t="n">
        <v>4.4</v>
      </c>
      <c r="K1286" t="n">
        <v>29</v>
      </c>
      <c r="L1286" t="n">
        <v>4.9</v>
      </c>
      <c r="M1286" t="n">
        <v>1</v>
      </c>
      <c r="N1286" t="inlineStr">
        <is>
          <t>1201–1500</t>
        </is>
      </c>
      <c r="O1286" t="inlineStr">
        <is>
          <t>22.8–28.2</t>
        </is>
      </c>
      <c r="P1286" t="n">
        <v>23.6</v>
      </c>
      <c r="Q1286" t="n">
        <v>12.2</v>
      </c>
      <c r="R1286" t="n">
        <v>27.4</v>
      </c>
      <c r="S1286" t="n">
        <v>18.9</v>
      </c>
      <c r="T1286" t="n">
        <v>48.5</v>
      </c>
      <c r="U1286" t="inlineStr">
        <is>
          <t>4,550</t>
        </is>
      </c>
      <c r="V1286" t="n">
        <v>11.9</v>
      </c>
      <c r="W1286" t="inlineStr">
        <is>
          <t>5%</t>
        </is>
      </c>
      <c r="X1286" t="inlineStr">
        <is>
          <t>54 : 46</t>
        </is>
      </c>
      <c r="Y1286" t="n">
        <v>1001</v>
      </c>
      <c r="Z1286" t="n">
        <v>1201</v>
      </c>
      <c r="AA1286" t="n">
        <v>25.5</v>
      </c>
      <c r="AB1286" t="inlineStr">
        <is>
          <t>U1285</t>
        </is>
      </c>
      <c r="AC1286" t="inlineStr">
        <is>
          <t>SL</t>
        </is>
      </c>
      <c r="AD1286" t="n">
        <v>25.5</v>
      </c>
      <c r="AE1286" t="n">
        <v>7.2</v>
      </c>
      <c r="AF1286" t="n">
        <v>11.9</v>
      </c>
      <c r="AG1286" t="inlineStr">
        <is>
          <t>1:11.9</t>
        </is>
      </c>
      <c r="AH1286" t="inlineStr">
        <is>
          <t>5%</t>
        </is>
      </c>
      <c r="AI1286" t="n">
        <v>8.5</v>
      </c>
      <c r="AJ1286" t="n">
        <v>13.7</v>
      </c>
    </row>
    <row r="1287">
      <c r="A1287" t="inlineStr">
        <is>
          <t>Slovak University of Technology in Bratislava</t>
        </is>
      </c>
      <c r="B1287" t="inlineStr">
        <is>
          <t>Slovakia</t>
        </is>
      </c>
      <c r="C1287" t="inlineStr">
        <is>
          <t>1001-1200</t>
        </is>
      </c>
      <c r="D1287" t="inlineStr"/>
      <c r="E1287" t="n">
        <v>9.1</v>
      </c>
      <c r="F1287" t="n">
        <v>9</v>
      </c>
      <c r="G1287" t="n">
        <v>38.8</v>
      </c>
      <c r="H1287" t="n">
        <v>3.8</v>
      </c>
      <c r="I1287" t="n">
        <v>2.4</v>
      </c>
      <c r="J1287" t="n">
        <v>6.5</v>
      </c>
      <c r="K1287" t="n">
        <v>48.3</v>
      </c>
      <c r="L1287" t="n">
        <v>15</v>
      </c>
      <c r="M1287" t="n">
        <v>1</v>
      </c>
      <c r="N1287" t="inlineStr">
        <is>
          <t>1501+</t>
        </is>
      </c>
      <c r="O1287" t="inlineStr">
        <is>
          <t>9.7–22.7</t>
        </is>
      </c>
      <c r="P1287" t="n">
        <v>27.6</v>
      </c>
      <c r="Q1287" t="n">
        <v>12</v>
      </c>
      <c r="R1287" t="n">
        <v>22.3</v>
      </c>
      <c r="S1287" t="n">
        <v>28.7</v>
      </c>
      <c r="T1287" t="n">
        <v>32.8</v>
      </c>
      <c r="U1287" t="inlineStr">
        <is>
          <t>10,678</t>
        </is>
      </c>
      <c r="V1287" t="n">
        <v>8.5</v>
      </c>
      <c r="W1287" t="inlineStr">
        <is>
          <t>7%</t>
        </is>
      </c>
      <c r="X1287" t="inlineStr">
        <is>
          <t>31 : 69</t>
        </is>
      </c>
      <c r="Y1287" t="n">
        <v>1001</v>
      </c>
      <c r="Z1287" t="n">
        <v>1501</v>
      </c>
      <c r="AA1287" t="n">
        <v>16.2</v>
      </c>
      <c r="AB1287" t="inlineStr">
        <is>
          <t>U1286</t>
        </is>
      </c>
      <c r="AC1287" t="inlineStr">
        <is>
          <t>SL</t>
        </is>
      </c>
      <c r="AD1287" t="n">
        <v>16.2</v>
      </c>
      <c r="AE1287" t="n">
        <v>3.8</v>
      </c>
      <c r="AF1287" t="n">
        <v>8.5</v>
      </c>
      <c r="AG1287" t="inlineStr">
        <is>
          <t>1:8.5</t>
        </is>
      </c>
      <c r="AH1287" t="inlineStr">
        <is>
          <t>7%</t>
        </is>
      </c>
      <c r="AI1287" t="n">
        <v>9.1</v>
      </c>
      <c r="AJ1287" t="n">
        <v>8.77</v>
      </c>
    </row>
    <row r="1288">
      <c r="A1288" t="inlineStr">
        <is>
          <t xml:space="preserve">SOAS University of London </t>
        </is>
      </c>
      <c r="B1288" t="inlineStr">
        <is>
          <t>United Kingdom</t>
        </is>
      </c>
      <c r="C1288" t="inlineStr">
        <is>
          <t>508</t>
        </is>
      </c>
      <c r="D1288" t="n">
        <v>23.9</v>
      </c>
      <c r="E1288" t="n">
        <v>17.1</v>
      </c>
      <c r="F1288" t="n">
        <v>9.4</v>
      </c>
      <c r="G1288" t="n">
        <v>14.8</v>
      </c>
      <c r="H1288" t="n">
        <v>15.1</v>
      </c>
      <c r="I1288" t="n">
        <v>100</v>
      </c>
      <c r="J1288" t="n">
        <v>98.7</v>
      </c>
      <c r="K1288" t="n">
        <v>16.9</v>
      </c>
      <c r="L1288" t="n">
        <v>22.4</v>
      </c>
      <c r="M1288" t="n">
        <v>39.1</v>
      </c>
      <c r="N1288" t="inlineStr">
        <is>
          <t>401–500</t>
        </is>
      </c>
      <c r="O1288" t="inlineStr">
        <is>
          <t>45.4–49.0</t>
        </is>
      </c>
      <c r="P1288" t="n">
        <v>42.5</v>
      </c>
      <c r="Q1288" t="n">
        <v>36.1</v>
      </c>
      <c r="R1288" t="n">
        <v>60.2</v>
      </c>
      <c r="S1288" t="n">
        <v>15.6</v>
      </c>
      <c r="T1288" t="n">
        <v>80.40000000000001</v>
      </c>
      <c r="U1288" t="inlineStr">
        <is>
          <t>4,845</t>
        </is>
      </c>
      <c r="V1288" t="n">
        <v>14.9</v>
      </c>
      <c r="W1288" t="inlineStr">
        <is>
          <t>45%</t>
        </is>
      </c>
      <c r="X1288" t="inlineStr">
        <is>
          <t>65 : 35</t>
        </is>
      </c>
      <c r="Y1288" t="n">
        <v>508</v>
      </c>
      <c r="Z1288" t="n">
        <v>401</v>
      </c>
      <c r="AA1288" t="n">
        <v>47.2</v>
      </c>
      <c r="AB1288" t="inlineStr">
        <is>
          <t>U1287</t>
        </is>
      </c>
      <c r="AC1288" t="inlineStr">
        <is>
          <t>UN</t>
        </is>
      </c>
      <c r="AD1288" t="n">
        <v>23.9</v>
      </c>
      <c r="AE1288" t="n">
        <v>15.1</v>
      </c>
      <c r="AF1288" t="n">
        <v>14.9</v>
      </c>
      <c r="AG1288" t="inlineStr">
        <is>
          <t>1:14.9</t>
        </is>
      </c>
      <c r="AH1288" t="inlineStr">
        <is>
          <t>45%</t>
        </is>
      </c>
      <c r="AI1288" t="n">
        <v>17.1</v>
      </c>
      <c r="AJ1288" t="n">
        <v>36.33</v>
      </c>
    </row>
    <row r="1289">
      <c r="A1289" t="inlineStr">
        <is>
          <t>Sofia University</t>
        </is>
      </c>
      <c r="B1289" t="inlineStr">
        <is>
          <t>Bulgaria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>
        <is>
          <t>1501+</t>
        </is>
      </c>
      <c r="O1289" t="inlineStr">
        <is>
          <t>9.7–22.7</t>
        </is>
      </c>
      <c r="P1289" t="n">
        <v>28.3</v>
      </c>
      <c r="Q1289" t="n">
        <v>12.2</v>
      </c>
      <c r="R1289" t="n">
        <v>23.4</v>
      </c>
      <c r="S1289" t="n">
        <v>21.6</v>
      </c>
      <c r="T1289" t="n">
        <v>39.4</v>
      </c>
      <c r="U1289" t="inlineStr">
        <is>
          <t>22,467</t>
        </is>
      </c>
      <c r="V1289" t="n">
        <v>7.5</v>
      </c>
      <c r="W1289" t="inlineStr">
        <is>
          <t>7%</t>
        </is>
      </c>
      <c r="X1289" t="inlineStr">
        <is>
          <t>67 : 33</t>
        </is>
      </c>
      <c r="Y1289" t="inlineStr"/>
      <c r="Z1289" t="n">
        <v>1501</v>
      </c>
      <c r="AA1289" t="n">
        <v>16.2</v>
      </c>
      <c r="AB1289" t="inlineStr">
        <is>
          <t>U1288</t>
        </is>
      </c>
      <c r="AC1289" t="inlineStr">
        <is>
          <t>BU</t>
        </is>
      </c>
      <c r="AD1289" t="n">
        <v>16.2</v>
      </c>
      <c r="AE1289" t="n">
        <v>23.4</v>
      </c>
      <c r="AF1289" t="n">
        <v>7.5</v>
      </c>
      <c r="AG1289" t="inlineStr">
        <is>
          <t>1:7.5</t>
        </is>
      </c>
      <c r="AH1289" t="inlineStr">
        <is>
          <t>7%</t>
        </is>
      </c>
      <c r="AI1289" t="inlineStr"/>
      <c r="AJ1289" t="n">
        <v>16.41</v>
      </c>
    </row>
    <row r="1290">
      <c r="A1290" t="inlineStr">
        <is>
          <t>Sofia University "St. Kliment Ohridski"</t>
        </is>
      </c>
      <c r="B1290" t="inlineStr">
        <is>
          <t>Bulgaria</t>
        </is>
      </c>
      <c r="C1290" t="inlineStr">
        <is>
          <t>661-670</t>
        </is>
      </c>
      <c r="D1290" t="inlineStr"/>
      <c r="E1290" t="n">
        <v>14.2</v>
      </c>
      <c r="F1290" t="n">
        <v>18</v>
      </c>
      <c r="G1290" t="n">
        <v>45.7</v>
      </c>
      <c r="H1290" t="n">
        <v>2</v>
      </c>
      <c r="I1290" t="n">
        <v>3</v>
      </c>
      <c r="J1290" t="n">
        <v>8.5</v>
      </c>
      <c r="K1290" t="n">
        <v>61</v>
      </c>
      <c r="L1290" t="n">
        <v>81.8</v>
      </c>
      <c r="M1290" t="n">
        <v>8.9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n">
        <v>661</v>
      </c>
      <c r="Z1290" t="inlineStr"/>
      <c r="AA1290" t="inlineStr"/>
      <c r="AB1290" t="inlineStr">
        <is>
          <t>U1289</t>
        </is>
      </c>
      <c r="AC1290" t="inlineStr">
        <is>
          <t>BU</t>
        </is>
      </c>
      <c r="AD1290" t="inlineStr"/>
      <c r="AE1290" t="n">
        <v>2</v>
      </c>
      <c r="AF1290" t="inlineStr"/>
      <c r="AG1290" t="inlineStr"/>
      <c r="AH1290" t="inlineStr"/>
      <c r="AI1290" t="n">
        <v>14.2</v>
      </c>
      <c r="AJ1290" t="n">
        <v>13.99</v>
      </c>
    </row>
    <row r="1291">
      <c r="A1291" t="inlineStr">
        <is>
          <t>Sogang University</t>
        </is>
      </c>
      <c r="B1291" t="inlineStr">
        <is>
          <t>South Korea</t>
        </is>
      </c>
      <c r="C1291" t="inlineStr">
        <is>
          <t>576</t>
        </is>
      </c>
      <c r="D1291" t="n">
        <v>21.4</v>
      </c>
      <c r="E1291" t="n">
        <v>17.5</v>
      </c>
      <c r="F1291" t="n">
        <v>45.5</v>
      </c>
      <c r="G1291" t="n">
        <v>56.7</v>
      </c>
      <c r="H1291" t="n">
        <v>5.1</v>
      </c>
      <c r="I1291" t="n">
        <v>7.1</v>
      </c>
      <c r="J1291" t="n">
        <v>19.6</v>
      </c>
      <c r="K1291" t="n">
        <v>13.8</v>
      </c>
      <c r="L1291" t="n">
        <v>16</v>
      </c>
      <c r="M1291" t="n">
        <v>17.7</v>
      </c>
      <c r="N1291" t="inlineStr">
        <is>
          <t>801–1000</t>
        </is>
      </c>
      <c r="O1291" t="inlineStr">
        <is>
          <t>32.7–36.9</t>
        </is>
      </c>
      <c r="P1291" t="n">
        <v>27.2</v>
      </c>
      <c r="Q1291" t="n">
        <v>30.6</v>
      </c>
      <c r="R1291" t="n">
        <v>39.8</v>
      </c>
      <c r="S1291" t="n">
        <v>73.3</v>
      </c>
      <c r="T1291" t="n">
        <v>45</v>
      </c>
      <c r="U1291" t="inlineStr">
        <is>
          <t>9,688</t>
        </is>
      </c>
      <c r="V1291" t="n">
        <v>23.9</v>
      </c>
      <c r="W1291" t="inlineStr">
        <is>
          <t>19%</t>
        </is>
      </c>
      <c r="X1291" t="inlineStr">
        <is>
          <t>47 : 53</t>
        </is>
      </c>
      <c r="Y1291" t="n">
        <v>576</v>
      </c>
      <c r="Z1291" t="n">
        <v>801</v>
      </c>
      <c r="AA1291" t="n">
        <v>34.8</v>
      </c>
      <c r="AB1291" t="inlineStr">
        <is>
          <t>U1290</t>
        </is>
      </c>
      <c r="AC1291" t="inlineStr">
        <is>
          <t>SO</t>
        </is>
      </c>
      <c r="AD1291" t="n">
        <v>21.4</v>
      </c>
      <c r="AE1291" t="n">
        <v>5.1</v>
      </c>
      <c r="AF1291" t="n">
        <v>23.9</v>
      </c>
      <c r="AG1291" t="inlineStr">
        <is>
          <t>1:23.9</t>
        </is>
      </c>
      <c r="AH1291" t="inlineStr">
        <is>
          <t>19%</t>
        </is>
      </c>
      <c r="AI1291" t="n">
        <v>17.5</v>
      </c>
      <c r="AJ1291" t="n">
        <v>21.86</v>
      </c>
    </row>
    <row r="1292">
      <c r="A1292" t="inlineStr">
        <is>
          <t>Sohag University</t>
        </is>
      </c>
      <c r="B1292" t="inlineStr">
        <is>
          <t>Egypt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>
        <is>
          <t>1201–1500</t>
        </is>
      </c>
      <c r="O1292" t="inlineStr">
        <is>
          <t>22.8–28.2</t>
        </is>
      </c>
      <c r="P1292" t="n">
        <v>12.5</v>
      </c>
      <c r="Q1292" t="n">
        <v>9</v>
      </c>
      <c r="R1292" t="n">
        <v>53.5</v>
      </c>
      <c r="S1292" t="n">
        <v>18.3</v>
      </c>
      <c r="T1292" t="n">
        <v>48.8</v>
      </c>
      <c r="U1292" t="inlineStr">
        <is>
          <t>64,200</t>
        </is>
      </c>
      <c r="V1292" t="n">
        <v>27.6</v>
      </c>
      <c r="W1292" t="inlineStr">
        <is>
          <t>0%</t>
        </is>
      </c>
      <c r="X1292" t="inlineStr">
        <is>
          <t>56 : 44</t>
        </is>
      </c>
      <c r="Y1292" t="inlineStr"/>
      <c r="Z1292" t="n">
        <v>1201</v>
      </c>
      <c r="AA1292" t="n">
        <v>25.5</v>
      </c>
      <c r="AB1292" t="inlineStr">
        <is>
          <t>U1291</t>
        </is>
      </c>
      <c r="AC1292" t="inlineStr">
        <is>
          <t>EG</t>
        </is>
      </c>
      <c r="AD1292" t="n">
        <v>25.5</v>
      </c>
      <c r="AE1292" t="n">
        <v>53.5</v>
      </c>
      <c r="AF1292" t="n">
        <v>27.6</v>
      </c>
      <c r="AG1292" t="inlineStr">
        <is>
          <t>1:27.6</t>
        </is>
      </c>
      <c r="AH1292" t="inlineStr">
        <is>
          <t>0%</t>
        </is>
      </c>
      <c r="AI1292" t="inlineStr"/>
      <c r="AJ1292" t="n">
        <v>26.12</v>
      </c>
    </row>
    <row r="1293">
      <c r="A1293" t="inlineStr">
        <is>
          <t>Sohar University</t>
        </is>
      </c>
      <c r="B1293" t="inlineStr">
        <is>
          <t>Oman</t>
        </is>
      </c>
      <c r="C1293" t="inlineStr">
        <is>
          <t>1001-1200</t>
        </is>
      </c>
      <c r="D1293" t="inlineStr"/>
      <c r="E1293" t="n">
        <v>4.4</v>
      </c>
      <c r="F1293" t="n">
        <v>5</v>
      </c>
      <c r="G1293" t="n">
        <v>2.2</v>
      </c>
      <c r="H1293" t="n">
        <v>9</v>
      </c>
      <c r="I1293" t="n">
        <v>100</v>
      </c>
      <c r="J1293" t="n">
        <v>1.7</v>
      </c>
      <c r="K1293" t="n">
        <v>9</v>
      </c>
      <c r="L1293" t="n">
        <v>53.7</v>
      </c>
      <c r="M1293" t="n">
        <v>1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n">
        <v>1001</v>
      </c>
      <c r="Z1293" t="inlineStr"/>
      <c r="AA1293" t="inlineStr"/>
      <c r="AB1293" t="inlineStr">
        <is>
          <t>U1292</t>
        </is>
      </c>
      <c r="AC1293" t="inlineStr">
        <is>
          <t>OM</t>
        </is>
      </c>
      <c r="AD1293" t="inlineStr"/>
      <c r="AE1293" t="n">
        <v>9</v>
      </c>
      <c r="AF1293" t="inlineStr"/>
      <c r="AG1293" t="inlineStr"/>
      <c r="AH1293" t="inlineStr"/>
      <c r="AI1293" t="n">
        <v>4.4</v>
      </c>
      <c r="AJ1293" t="n">
        <v>16.12</v>
      </c>
    </row>
    <row r="1294">
      <c r="A1294" t="inlineStr">
        <is>
          <t>Soochow University</t>
        </is>
      </c>
      <c r="B1294" t="inlineStr">
        <is>
          <t>China</t>
        </is>
      </c>
      <c r="C1294" t="inlineStr">
        <is>
          <t>641-650</t>
        </is>
      </c>
      <c r="D1294" t="inlineStr"/>
      <c r="E1294" t="n">
        <v>6.6</v>
      </c>
      <c r="F1294" t="n">
        <v>2.6</v>
      </c>
      <c r="G1294" t="n">
        <v>15.9</v>
      </c>
      <c r="H1294" t="n">
        <v>63</v>
      </c>
      <c r="I1294" t="n">
        <v>6.2</v>
      </c>
      <c r="J1294" t="n">
        <v>2.5</v>
      </c>
      <c r="K1294" t="n">
        <v>47.4</v>
      </c>
      <c r="L1294" t="n">
        <v>16.8</v>
      </c>
      <c r="M1294" t="n">
        <v>2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n">
        <v>641</v>
      </c>
      <c r="Z1294" t="inlineStr"/>
      <c r="AA1294" t="inlineStr"/>
      <c r="AB1294" t="inlineStr">
        <is>
          <t>U1293</t>
        </is>
      </c>
      <c r="AC1294" t="inlineStr">
        <is>
          <t>CH</t>
        </is>
      </c>
      <c r="AD1294" t="inlineStr"/>
      <c r="AE1294" t="n">
        <v>63</v>
      </c>
      <c r="AF1294" t="inlineStr"/>
      <c r="AG1294" t="inlineStr"/>
      <c r="AH1294" t="inlineStr"/>
      <c r="AI1294" t="n">
        <v>6.6</v>
      </c>
      <c r="AJ1294" t="n">
        <v>32.48</v>
      </c>
    </row>
    <row r="1295">
      <c r="A1295" t="inlineStr">
        <is>
          <t>Soochow University (Taiwan)</t>
        </is>
      </c>
      <c r="B1295" t="inlineStr">
        <is>
          <t>Taiwan</t>
        </is>
      </c>
      <c r="C1295" t="inlineStr">
        <is>
          <t>1401+</t>
        </is>
      </c>
      <c r="D1295" t="inlineStr"/>
      <c r="E1295" t="n">
        <v>4.7</v>
      </c>
      <c r="F1295" t="n">
        <v>5.3</v>
      </c>
      <c r="G1295" t="n">
        <v>4.1</v>
      </c>
      <c r="H1295" t="n">
        <v>1.8</v>
      </c>
      <c r="I1295" t="n">
        <v>3.8</v>
      </c>
      <c r="J1295" t="n">
        <v>2.9</v>
      </c>
      <c r="K1295" t="n">
        <v>3.4</v>
      </c>
      <c r="L1295" t="n">
        <v>3.2</v>
      </c>
      <c r="M1295" t="n">
        <v>1.8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n">
        <v>1401</v>
      </c>
      <c r="Z1295" t="inlineStr"/>
      <c r="AA1295" t="inlineStr"/>
      <c r="AB1295" t="inlineStr">
        <is>
          <t>U1294</t>
        </is>
      </c>
      <c r="AC1295" t="inlineStr">
        <is>
          <t>TA</t>
        </is>
      </c>
      <c r="AD1295" t="inlineStr"/>
      <c r="AE1295" t="n">
        <v>1.8</v>
      </c>
      <c r="AF1295" t="inlineStr"/>
      <c r="AG1295" t="inlineStr"/>
      <c r="AH1295" t="inlineStr"/>
      <c r="AI1295" t="n">
        <v>4.7</v>
      </c>
      <c r="AJ1295" t="n">
        <v>13.93</v>
      </c>
    </row>
    <row r="1296">
      <c r="A1296" t="inlineStr">
        <is>
          <t>Soochow University, China</t>
        </is>
      </c>
      <c r="B1296" t="inlineStr">
        <is>
          <t>China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>
        <is>
          <t>501–600</t>
        </is>
      </c>
      <c r="O1296" t="inlineStr">
        <is>
          <t>41.9–45.3</t>
        </is>
      </c>
      <c r="P1296" t="n">
        <v>27.7</v>
      </c>
      <c r="Q1296" t="n">
        <v>24.3</v>
      </c>
      <c r="R1296" t="n">
        <v>79.8</v>
      </c>
      <c r="S1296" t="n">
        <v>75.59999999999999</v>
      </c>
      <c r="T1296" t="n">
        <v>30.6</v>
      </c>
      <c r="U1296" t="inlineStr">
        <is>
          <t>47,295</t>
        </is>
      </c>
      <c r="V1296" t="n">
        <v>15.8</v>
      </c>
      <c r="W1296" t="inlineStr">
        <is>
          <t>3%</t>
        </is>
      </c>
      <c r="X1296" t="inlineStr">
        <is>
          <t>52 : 48</t>
        </is>
      </c>
      <c r="Y1296" t="inlineStr"/>
      <c r="Z1296" t="n">
        <v>501</v>
      </c>
      <c r="AA1296" t="n">
        <v>43.59999999999999</v>
      </c>
      <c r="AB1296" t="inlineStr">
        <is>
          <t>U1295</t>
        </is>
      </c>
      <c r="AC1296" t="inlineStr">
        <is>
          <t>CH</t>
        </is>
      </c>
      <c r="AD1296" t="n">
        <v>43.59999999999999</v>
      </c>
      <c r="AE1296" t="n">
        <v>79.8</v>
      </c>
      <c r="AF1296" t="n">
        <v>15.8</v>
      </c>
      <c r="AG1296" t="inlineStr">
        <is>
          <t>1:15.8</t>
        </is>
      </c>
      <c r="AH1296" t="inlineStr">
        <is>
          <t>3%</t>
        </is>
      </c>
      <c r="AI1296" t="inlineStr"/>
      <c r="AJ1296" t="n">
        <v>37.71</v>
      </c>
    </row>
    <row r="1297">
      <c r="A1297" t="inlineStr">
        <is>
          <t xml:space="preserve">Sookmyung Women's University </t>
        </is>
      </c>
      <c r="B1297" t="inlineStr">
        <is>
          <t>South Korea</t>
        </is>
      </c>
      <c r="C1297" t="inlineStr">
        <is>
          <t>1201-1400</t>
        </is>
      </c>
      <c r="D1297" t="inlineStr"/>
      <c r="E1297" t="n">
        <v>4.4</v>
      </c>
      <c r="F1297" t="n">
        <v>5.6</v>
      </c>
      <c r="G1297" t="n">
        <v>29</v>
      </c>
      <c r="H1297" t="n">
        <v>3.4</v>
      </c>
      <c r="I1297" t="n">
        <v>4</v>
      </c>
      <c r="J1297" t="n">
        <v>2.2</v>
      </c>
      <c r="K1297" t="n">
        <v>4.8</v>
      </c>
      <c r="L1297" t="n">
        <v>1.8</v>
      </c>
      <c r="M1297" t="n">
        <v>2.6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n">
        <v>1201</v>
      </c>
      <c r="Z1297" t="inlineStr"/>
      <c r="AA1297" t="inlineStr"/>
      <c r="AB1297" t="inlineStr">
        <is>
          <t>U1296</t>
        </is>
      </c>
      <c r="AC1297" t="inlineStr">
        <is>
          <t>SO</t>
        </is>
      </c>
      <c r="AD1297" t="inlineStr"/>
      <c r="AE1297" t="n">
        <v>3.4</v>
      </c>
      <c r="AF1297" t="inlineStr"/>
      <c r="AG1297" t="inlineStr"/>
      <c r="AH1297" t="inlineStr"/>
      <c r="AI1297" t="n">
        <v>4.4</v>
      </c>
      <c r="AJ1297" t="n">
        <v>14.42</v>
      </c>
    </row>
    <row r="1298">
      <c r="A1298" t="inlineStr">
        <is>
          <t>Soonchunhyang University</t>
        </is>
      </c>
      <c r="B1298" t="inlineStr">
        <is>
          <t>South Korea</t>
        </is>
      </c>
      <c r="C1298" t="inlineStr">
        <is>
          <t>1001-1200</t>
        </is>
      </c>
      <c r="D1298" t="inlineStr"/>
      <c r="E1298" t="n">
        <v>5.6</v>
      </c>
      <c r="F1298" t="n">
        <v>4.7</v>
      </c>
      <c r="G1298" t="n">
        <v>55.2</v>
      </c>
      <c r="H1298" t="n">
        <v>5.7</v>
      </c>
      <c r="I1298" t="n">
        <v>5.5</v>
      </c>
      <c r="J1298" t="n">
        <v>3.9</v>
      </c>
      <c r="K1298" t="n">
        <v>11.7</v>
      </c>
      <c r="L1298" t="n">
        <v>1.8</v>
      </c>
      <c r="M1298" t="n">
        <v>6.4</v>
      </c>
      <c r="N1298" t="inlineStr">
        <is>
          <t>1201–1500</t>
        </is>
      </c>
      <c r="O1298" t="inlineStr">
        <is>
          <t>22.8–28.2</t>
        </is>
      </c>
      <c r="P1298" t="n">
        <v>19.8</v>
      </c>
      <c r="Q1298" t="n">
        <v>25.4</v>
      </c>
      <c r="R1298" t="n">
        <v>33</v>
      </c>
      <c r="S1298" t="n">
        <v>48.2</v>
      </c>
      <c r="T1298" t="n">
        <v>35</v>
      </c>
      <c r="U1298" t="inlineStr">
        <is>
          <t>10,329</t>
        </is>
      </c>
      <c r="V1298" t="n">
        <v>21.4</v>
      </c>
      <c r="W1298" t="inlineStr">
        <is>
          <t>6%</t>
        </is>
      </c>
      <c r="X1298" t="inlineStr">
        <is>
          <t>51 : 49</t>
        </is>
      </c>
      <c r="Y1298" t="n">
        <v>1001</v>
      </c>
      <c r="Z1298" t="n">
        <v>1201</v>
      </c>
      <c r="AA1298" t="n">
        <v>25.5</v>
      </c>
      <c r="AB1298" t="inlineStr">
        <is>
          <t>U1297</t>
        </is>
      </c>
      <c r="AC1298" t="inlineStr">
        <is>
          <t>SO</t>
        </is>
      </c>
      <c r="AD1298" t="n">
        <v>25.5</v>
      </c>
      <c r="AE1298" t="n">
        <v>5.7</v>
      </c>
      <c r="AF1298" t="n">
        <v>21.4</v>
      </c>
      <c r="AG1298" t="inlineStr">
        <is>
          <t>1:21.4</t>
        </is>
      </c>
      <c r="AH1298" t="inlineStr">
        <is>
          <t>6%</t>
        </is>
      </c>
      <c r="AI1298" t="n">
        <v>5.6</v>
      </c>
      <c r="AJ1298" t="n">
        <v>16.9</v>
      </c>
    </row>
    <row r="1299">
      <c r="A1299" t="inlineStr">
        <is>
          <t>Soongsil University</t>
        </is>
      </c>
      <c r="B1299" t="inlineStr">
        <is>
          <t>South Korea</t>
        </is>
      </c>
      <c r="C1299" t="inlineStr">
        <is>
          <t>1401+</t>
        </is>
      </c>
      <c r="D1299" t="inlineStr"/>
      <c r="E1299" t="n">
        <v>3.5</v>
      </c>
      <c r="F1299" t="n">
        <v>6</v>
      </c>
      <c r="G1299" t="n">
        <v>8.300000000000001</v>
      </c>
      <c r="H1299" t="n">
        <v>4.5</v>
      </c>
      <c r="I1299" t="n">
        <v>5.2</v>
      </c>
      <c r="J1299" t="n">
        <v>11.2</v>
      </c>
      <c r="K1299" t="n">
        <v>14.9</v>
      </c>
      <c r="L1299" t="n">
        <v>2.8</v>
      </c>
      <c r="M1299" t="n">
        <v>1</v>
      </c>
      <c r="N1299" t="inlineStr">
        <is>
          <t>1201–1500</t>
        </is>
      </c>
      <c r="O1299" t="inlineStr">
        <is>
          <t>22.8–28.2</t>
        </is>
      </c>
      <c r="P1299" t="n">
        <v>26.7</v>
      </c>
      <c r="Q1299" t="n">
        <v>15</v>
      </c>
      <c r="R1299" t="n">
        <v>25.1</v>
      </c>
      <c r="S1299" t="n">
        <v>47.4</v>
      </c>
      <c r="T1299" t="n">
        <v>35.6</v>
      </c>
      <c r="U1299" t="inlineStr">
        <is>
          <t>15,808</t>
        </is>
      </c>
      <c r="V1299" t="n">
        <v>18.6</v>
      </c>
      <c r="W1299" t="inlineStr">
        <is>
          <t>12%</t>
        </is>
      </c>
      <c r="X1299" t="inlineStr">
        <is>
          <t>48 : 52</t>
        </is>
      </c>
      <c r="Y1299" t="n">
        <v>1401</v>
      </c>
      <c r="Z1299" t="n">
        <v>1201</v>
      </c>
      <c r="AA1299" t="n">
        <v>25.5</v>
      </c>
      <c r="AB1299" t="inlineStr">
        <is>
          <t>U1298</t>
        </is>
      </c>
      <c r="AC1299" t="inlineStr">
        <is>
          <t>SO</t>
        </is>
      </c>
      <c r="AD1299" t="n">
        <v>25.5</v>
      </c>
      <c r="AE1299" t="n">
        <v>4.5</v>
      </c>
      <c r="AF1299" t="n">
        <v>18.6</v>
      </c>
      <c r="AG1299" t="inlineStr">
        <is>
          <t>1:18.6</t>
        </is>
      </c>
      <c r="AH1299" t="inlineStr">
        <is>
          <t>12%</t>
        </is>
      </c>
      <c r="AI1299" t="n">
        <v>3.5</v>
      </c>
      <c r="AJ1299" t="n">
        <v>11.23</v>
      </c>
    </row>
    <row r="1300">
      <c r="A1300" t="inlineStr">
        <is>
          <t xml:space="preserve">Sophia University </t>
        </is>
      </c>
      <c r="B1300" t="inlineStr">
        <is>
          <t>Japan</t>
        </is>
      </c>
      <c r="C1300" t="inlineStr">
        <is>
          <t>951-1000</t>
        </is>
      </c>
      <c r="D1300" t="inlineStr"/>
      <c r="E1300" t="n">
        <v>12.7</v>
      </c>
      <c r="F1300" t="n">
        <v>19.9</v>
      </c>
      <c r="G1300" t="n">
        <v>21.9</v>
      </c>
      <c r="H1300" t="n">
        <v>1.8</v>
      </c>
      <c r="I1300" t="n">
        <v>34.5</v>
      </c>
      <c r="J1300" t="n">
        <v>10.8</v>
      </c>
      <c r="K1300" t="n">
        <v>8.6</v>
      </c>
      <c r="L1300" t="n">
        <v>11.7</v>
      </c>
      <c r="M1300" t="n">
        <v>5.2</v>
      </c>
      <c r="N1300" t="inlineStr">
        <is>
          <t>1501+</t>
        </is>
      </c>
      <c r="O1300" t="inlineStr">
        <is>
          <t>9.7–22.7</t>
        </is>
      </c>
      <c r="P1300" t="n">
        <v>22.6</v>
      </c>
      <c r="Q1300" t="n">
        <v>11</v>
      </c>
      <c r="R1300" t="n">
        <v>13.3</v>
      </c>
      <c r="S1300" t="n">
        <v>25.4</v>
      </c>
      <c r="T1300" t="n">
        <v>50.9</v>
      </c>
      <c r="U1300" t="inlineStr">
        <is>
          <t>13,265</t>
        </is>
      </c>
      <c r="V1300" t="n">
        <v>12.7</v>
      </c>
      <c r="W1300" t="inlineStr">
        <is>
          <t>10%</t>
        </is>
      </c>
      <c r="X1300" t="inlineStr">
        <is>
          <t>60 : 40</t>
        </is>
      </c>
      <c r="Y1300" t="n">
        <v>951</v>
      </c>
      <c r="Z1300" t="n">
        <v>1501</v>
      </c>
      <c r="AA1300" t="n">
        <v>16.2</v>
      </c>
      <c r="AB1300" t="inlineStr">
        <is>
          <t>U1299</t>
        </is>
      </c>
      <c r="AC1300" t="inlineStr">
        <is>
          <t>JA</t>
        </is>
      </c>
      <c r="AD1300" t="n">
        <v>16.2</v>
      </c>
      <c r="AE1300" t="n">
        <v>1.8</v>
      </c>
      <c r="AF1300" t="n">
        <v>12.7</v>
      </c>
      <c r="AG1300" t="inlineStr">
        <is>
          <t>1:12.7</t>
        </is>
      </c>
      <c r="AH1300" t="inlineStr">
        <is>
          <t>10%</t>
        </is>
      </c>
      <c r="AI1300" t="n">
        <v>12.7</v>
      </c>
      <c r="AJ1300" t="n">
        <v>12.01</v>
      </c>
    </row>
    <row r="1301">
      <c r="A1301" t="inlineStr">
        <is>
          <t>Sorbonne University</t>
        </is>
      </c>
      <c r="B1301" t="inlineStr">
        <is>
          <t>France</t>
        </is>
      </c>
      <c r="C1301" t="inlineStr">
        <is>
          <t>63</t>
        </is>
      </c>
      <c r="D1301" t="n">
        <v>70.3</v>
      </c>
      <c r="E1301" t="n">
        <v>87.2</v>
      </c>
      <c r="F1301" t="n">
        <v>52</v>
      </c>
      <c r="G1301" t="n">
        <v>43</v>
      </c>
      <c r="H1301" t="n">
        <v>72.3</v>
      </c>
      <c r="I1301" t="n">
        <v>33.8</v>
      </c>
      <c r="J1301" t="n">
        <v>46.7</v>
      </c>
      <c r="K1301" t="n">
        <v>99.8</v>
      </c>
      <c r="L1301" t="n">
        <v>79.7</v>
      </c>
      <c r="M1301" t="n">
        <v>87.59999999999999</v>
      </c>
      <c r="N1301" t="inlineStr">
        <is>
          <t>75</t>
        </is>
      </c>
      <c r="O1301" t="inlineStr">
        <is>
          <t>70.5</t>
        </is>
      </c>
      <c r="P1301" t="n">
        <v>64.7</v>
      </c>
      <c r="Q1301" t="n">
        <v>60.8</v>
      </c>
      <c r="R1301" t="n">
        <v>83.7</v>
      </c>
      <c r="S1301" t="n">
        <v>69.5</v>
      </c>
      <c r="T1301" t="n">
        <v>78.8</v>
      </c>
      <c r="U1301" t="inlineStr">
        <is>
          <t>41,527</t>
        </is>
      </c>
      <c r="V1301" t="n">
        <v>14.5</v>
      </c>
      <c r="W1301" t="inlineStr">
        <is>
          <t>22%</t>
        </is>
      </c>
      <c r="X1301" t="inlineStr">
        <is>
          <t>60 : 40</t>
        </is>
      </c>
      <c r="Y1301" t="n">
        <v>63</v>
      </c>
      <c r="Z1301" t="n">
        <v>75</v>
      </c>
      <c r="AA1301" t="n">
        <v>70.5</v>
      </c>
      <c r="AB1301" t="inlineStr">
        <is>
          <t>U1300</t>
        </is>
      </c>
      <c r="AC1301" t="inlineStr">
        <is>
          <t>FR</t>
        </is>
      </c>
      <c r="AD1301" t="n">
        <v>70.3</v>
      </c>
      <c r="AE1301" t="n">
        <v>72.3</v>
      </c>
      <c r="AF1301" t="n">
        <v>14.5</v>
      </c>
      <c r="AG1301" t="inlineStr">
        <is>
          <t>1:14.5</t>
        </is>
      </c>
      <c r="AH1301" t="inlineStr">
        <is>
          <t>22%</t>
        </is>
      </c>
      <c r="AI1301" t="n">
        <v>87.2</v>
      </c>
      <c r="AJ1301" t="n">
        <v>66.22</v>
      </c>
    </row>
    <row r="1302">
      <c r="A1302" t="inlineStr">
        <is>
          <t>South China Normal University</t>
        </is>
      </c>
      <c r="B1302" t="inlineStr">
        <is>
          <t>China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>
        <is>
          <t>601–800</t>
        </is>
      </c>
      <c r="O1302" t="inlineStr">
        <is>
          <t>37.0–41.8</t>
        </is>
      </c>
      <c r="P1302" t="n">
        <v>22.9</v>
      </c>
      <c r="Q1302" t="n">
        <v>21.7</v>
      </c>
      <c r="R1302" t="n">
        <v>63.9</v>
      </c>
      <c r="S1302" t="n">
        <v>51.4</v>
      </c>
      <c r="T1302" t="n">
        <v>37.4</v>
      </c>
      <c r="U1302" t="inlineStr">
        <is>
          <t>33,133</t>
        </is>
      </c>
      <c r="V1302" t="n">
        <v>18.9</v>
      </c>
      <c r="W1302" t="inlineStr">
        <is>
          <t>3%</t>
        </is>
      </c>
      <c r="X1302" t="inlineStr"/>
      <c r="Y1302" t="inlineStr"/>
      <c r="Z1302" t="n">
        <v>601</v>
      </c>
      <c r="AA1302" t="n">
        <v>39.4</v>
      </c>
      <c r="AB1302" t="inlineStr">
        <is>
          <t>U1301</t>
        </is>
      </c>
      <c r="AC1302" t="inlineStr">
        <is>
          <t>CH</t>
        </is>
      </c>
      <c r="AD1302" t="n">
        <v>39.4</v>
      </c>
      <c r="AE1302" t="n">
        <v>63.9</v>
      </c>
      <c r="AF1302" t="n">
        <v>18.9</v>
      </c>
      <c r="AG1302" t="inlineStr">
        <is>
          <t>1:18.9</t>
        </is>
      </c>
      <c r="AH1302" t="inlineStr">
        <is>
          <t>3%</t>
        </is>
      </c>
      <c r="AI1302" t="inlineStr"/>
      <c r="AJ1302" t="n">
        <v>33.17</v>
      </c>
    </row>
    <row r="1303">
      <c r="A1303" t="inlineStr">
        <is>
          <t>South China University of Technology</t>
        </is>
      </c>
      <c r="B1303" t="inlineStr">
        <is>
          <t>China</t>
        </is>
      </c>
      <c r="C1303" t="inlineStr">
        <is>
          <t>385</t>
        </is>
      </c>
      <c r="D1303" t="n">
        <v>30.4</v>
      </c>
      <c r="E1303" t="n">
        <v>12.1</v>
      </c>
      <c r="F1303" t="n">
        <v>6.6</v>
      </c>
      <c r="G1303" t="n">
        <v>20</v>
      </c>
      <c r="H1303" t="n">
        <v>97.8</v>
      </c>
      <c r="I1303" t="n">
        <v>10.7</v>
      </c>
      <c r="J1303" t="n">
        <v>4.6</v>
      </c>
      <c r="K1303" t="n">
        <v>51.3</v>
      </c>
      <c r="L1303" t="n">
        <v>27.3</v>
      </c>
      <c r="M1303" t="n">
        <v>7.3</v>
      </c>
      <c r="N1303" t="inlineStr">
        <is>
          <t>251–300</t>
        </is>
      </c>
      <c r="O1303" t="inlineStr">
        <is>
          <t>53.1–55.8</t>
        </is>
      </c>
      <c r="P1303" t="n">
        <v>36.6</v>
      </c>
      <c r="Q1303" t="n">
        <v>38.2</v>
      </c>
      <c r="R1303" t="n">
        <v>83.2</v>
      </c>
      <c r="S1303" t="n">
        <v>92.8</v>
      </c>
      <c r="T1303" t="n">
        <v>44</v>
      </c>
      <c r="U1303" t="inlineStr">
        <is>
          <t>40,449</t>
        </is>
      </c>
      <c r="V1303" t="n">
        <v>12.6</v>
      </c>
      <c r="W1303" t="inlineStr">
        <is>
          <t>6%</t>
        </is>
      </c>
      <c r="X1303" t="inlineStr">
        <is>
          <t>38 : 62</t>
        </is>
      </c>
      <c r="Y1303" t="n">
        <v>385</v>
      </c>
      <c r="Z1303" t="n">
        <v>251</v>
      </c>
      <c r="AA1303" t="n">
        <v>54.45</v>
      </c>
      <c r="AB1303" t="inlineStr">
        <is>
          <t>U1302</t>
        </is>
      </c>
      <c r="AC1303" t="inlineStr">
        <is>
          <t>CH</t>
        </is>
      </c>
      <c r="AD1303" t="n">
        <v>30.4</v>
      </c>
      <c r="AE1303" t="n">
        <v>97.8</v>
      </c>
      <c r="AF1303" t="n">
        <v>12.6</v>
      </c>
      <c r="AG1303" t="inlineStr">
        <is>
          <t>1:12.6</t>
        </is>
      </c>
      <c r="AH1303" t="inlineStr">
        <is>
          <t>6%</t>
        </is>
      </c>
      <c r="AI1303" t="n">
        <v>12.1</v>
      </c>
      <c r="AJ1303" t="n">
        <v>53.69</v>
      </c>
    </row>
    <row r="1304">
      <c r="A1304" t="inlineStr">
        <is>
          <t>South Ural State University (National Research University)</t>
        </is>
      </c>
      <c r="B1304" t="inlineStr">
        <is>
          <t>Russian Federation</t>
        </is>
      </c>
      <c r="C1304" t="inlineStr">
        <is>
          <t>901-950</t>
        </is>
      </c>
      <c r="D1304" t="inlineStr"/>
      <c r="E1304" t="n">
        <v>8.4</v>
      </c>
      <c r="F1304" t="n">
        <v>4.7</v>
      </c>
      <c r="G1304" t="n">
        <v>44.1</v>
      </c>
      <c r="H1304" t="n">
        <v>3.6</v>
      </c>
      <c r="I1304" t="n">
        <v>4.5</v>
      </c>
      <c r="J1304" t="n">
        <v>13.4</v>
      </c>
      <c r="K1304" t="n">
        <v>84.09999999999999</v>
      </c>
      <c r="L1304" t="n">
        <v>4.2</v>
      </c>
      <c r="M1304" t="n">
        <v>1.6</v>
      </c>
      <c r="N1304" t="inlineStr">
        <is>
          <t>601–800</t>
        </is>
      </c>
      <c r="O1304" t="inlineStr">
        <is>
          <t>37.0–41.8</t>
        </is>
      </c>
      <c r="P1304" t="n">
        <v>23.2</v>
      </c>
      <c r="Q1304" t="n">
        <v>13.5</v>
      </c>
      <c r="R1304" t="n">
        <v>74.7</v>
      </c>
      <c r="S1304" t="n">
        <v>24.7</v>
      </c>
      <c r="T1304" t="n">
        <v>54.5</v>
      </c>
      <c r="U1304" t="inlineStr">
        <is>
          <t>15,354</t>
        </is>
      </c>
      <c r="V1304" t="n">
        <v>11</v>
      </c>
      <c r="W1304" t="inlineStr">
        <is>
          <t>11%</t>
        </is>
      </c>
      <c r="X1304" t="inlineStr">
        <is>
          <t>37 : 63</t>
        </is>
      </c>
      <c r="Y1304" t="n">
        <v>901</v>
      </c>
      <c r="Z1304" t="n">
        <v>601</v>
      </c>
      <c r="AA1304" t="n">
        <v>39.4</v>
      </c>
      <c r="AB1304" t="inlineStr">
        <is>
          <t>U1303</t>
        </is>
      </c>
      <c r="AC1304" t="inlineStr">
        <is>
          <t>RU</t>
        </is>
      </c>
      <c r="AD1304" t="n">
        <v>39.4</v>
      </c>
      <c r="AE1304" t="n">
        <v>3.6</v>
      </c>
      <c r="AF1304" t="n">
        <v>11</v>
      </c>
      <c r="AG1304" t="inlineStr">
        <is>
          <t>1:11.0</t>
        </is>
      </c>
      <c r="AH1304" t="inlineStr">
        <is>
          <t>11%</t>
        </is>
      </c>
      <c r="AI1304" t="n">
        <v>8.4</v>
      </c>
      <c r="AJ1304" t="n">
        <v>14.74</v>
      </c>
    </row>
    <row r="1305">
      <c r="A1305" t="inlineStr">
        <is>
          <t>South Valley University</t>
        </is>
      </c>
      <c r="B1305" t="inlineStr">
        <is>
          <t>Egypt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>
        <is>
          <t>1201–1500</t>
        </is>
      </c>
      <c r="O1305" t="inlineStr">
        <is>
          <t>22.8–28.2</t>
        </is>
      </c>
      <c r="P1305" t="n">
        <v>16</v>
      </c>
      <c r="Q1305" t="n">
        <v>9.199999999999999</v>
      </c>
      <c r="R1305" t="n">
        <v>53.3</v>
      </c>
      <c r="S1305" t="n">
        <v>17.7</v>
      </c>
      <c r="T1305" t="n">
        <v>48.9</v>
      </c>
      <c r="U1305" t="inlineStr">
        <is>
          <t>61,914</t>
        </is>
      </c>
      <c r="V1305" t="n">
        <v>33</v>
      </c>
      <c r="W1305" t="inlineStr">
        <is>
          <t>1%</t>
        </is>
      </c>
      <c r="X1305" t="inlineStr">
        <is>
          <t>53 : 47</t>
        </is>
      </c>
      <c r="Y1305" t="inlineStr"/>
      <c r="Z1305" t="n">
        <v>1201</v>
      </c>
      <c r="AA1305" t="n">
        <v>25.5</v>
      </c>
      <c r="AB1305" t="inlineStr">
        <is>
          <t>U1304</t>
        </is>
      </c>
      <c r="AC1305" t="inlineStr">
        <is>
          <t>EG</t>
        </is>
      </c>
      <c r="AD1305" t="n">
        <v>25.5</v>
      </c>
      <c r="AE1305" t="n">
        <v>53.3</v>
      </c>
      <c r="AF1305" t="n">
        <v>33</v>
      </c>
      <c r="AG1305" t="inlineStr">
        <is>
          <t>1:33.0</t>
        </is>
      </c>
      <c r="AH1305" t="inlineStr">
        <is>
          <t>1%</t>
        </is>
      </c>
      <c r="AI1305" t="inlineStr"/>
      <c r="AJ1305" t="n">
        <v>26.19</v>
      </c>
    </row>
    <row r="1306">
      <c r="A1306" t="inlineStr">
        <is>
          <t>Southeast University</t>
        </is>
      </c>
      <c r="B1306" t="inlineStr">
        <is>
          <t>China</t>
        </is>
      </c>
      <c r="C1306" t="inlineStr">
        <is>
          <t>428</t>
        </is>
      </c>
      <c r="D1306" t="n">
        <v>27.8</v>
      </c>
      <c r="E1306" t="n">
        <v>13.5</v>
      </c>
      <c r="F1306" t="n">
        <v>6.6</v>
      </c>
      <c r="G1306" t="n">
        <v>20.8</v>
      </c>
      <c r="H1306" t="n">
        <v>82</v>
      </c>
      <c r="I1306" t="n">
        <v>14.4</v>
      </c>
      <c r="J1306" t="n">
        <v>3.4</v>
      </c>
      <c r="K1306" t="n">
        <v>69.2</v>
      </c>
      <c r="L1306" t="n">
        <v>5</v>
      </c>
      <c r="M1306" t="n">
        <v>11.6</v>
      </c>
      <c r="N1306" t="inlineStr">
        <is>
          <t>301–350</t>
        </is>
      </c>
      <c r="O1306" t="inlineStr">
        <is>
          <t>51.1–53.0</t>
        </is>
      </c>
      <c r="P1306" t="n">
        <v>39.9</v>
      </c>
      <c r="Q1306" t="n">
        <v>46.3</v>
      </c>
      <c r="R1306" t="n">
        <v>68.40000000000001</v>
      </c>
      <c r="S1306" t="n">
        <v>90.40000000000001</v>
      </c>
      <c r="T1306" t="n">
        <v>47.6</v>
      </c>
      <c r="U1306" t="inlineStr">
        <is>
          <t>39,637</t>
        </is>
      </c>
      <c r="V1306" t="n">
        <v>12.4</v>
      </c>
      <c r="W1306" t="inlineStr">
        <is>
          <t>4%</t>
        </is>
      </c>
      <c r="X1306" t="inlineStr">
        <is>
          <t>36 : 64</t>
        </is>
      </c>
      <c r="Y1306" t="n">
        <v>428</v>
      </c>
      <c r="Z1306" t="n">
        <v>301</v>
      </c>
      <c r="AA1306" t="n">
        <v>52.05</v>
      </c>
      <c r="AB1306" t="inlineStr">
        <is>
          <t>U1305</t>
        </is>
      </c>
      <c r="AC1306" t="inlineStr">
        <is>
          <t>CH</t>
        </is>
      </c>
      <c r="AD1306" t="n">
        <v>27.8</v>
      </c>
      <c r="AE1306" t="n">
        <v>82</v>
      </c>
      <c r="AF1306" t="n">
        <v>12.4</v>
      </c>
      <c r="AG1306" t="inlineStr">
        <is>
          <t>1:12.4</t>
        </is>
      </c>
      <c r="AH1306" t="inlineStr">
        <is>
          <t>4%</t>
        </is>
      </c>
      <c r="AI1306" t="n">
        <v>13.5</v>
      </c>
      <c r="AJ1306" t="n">
        <v>54.02</v>
      </c>
    </row>
    <row r="1307">
      <c r="A1307" t="inlineStr">
        <is>
          <t xml:space="preserve">Southern Cross University </t>
        </is>
      </c>
      <c r="B1307" t="inlineStr">
        <is>
          <t>Australia</t>
        </is>
      </c>
      <c r="C1307" t="inlineStr">
        <is>
          <t>576</t>
        </is>
      </c>
      <c r="D1307" t="n">
        <v>21.4</v>
      </c>
      <c r="E1307" t="n">
        <v>4.4</v>
      </c>
      <c r="F1307" t="n">
        <v>2.8</v>
      </c>
      <c r="G1307" t="n">
        <v>2.9</v>
      </c>
      <c r="H1307" t="n">
        <v>46.3</v>
      </c>
      <c r="I1307" t="n">
        <v>81.09999999999999</v>
      </c>
      <c r="J1307" t="n">
        <v>44.8</v>
      </c>
      <c r="K1307" t="n">
        <v>44.2</v>
      </c>
      <c r="L1307" t="n">
        <v>4.8</v>
      </c>
      <c r="M1307" t="n">
        <v>48.2</v>
      </c>
      <c r="N1307" t="inlineStr">
        <is>
          <t>501–600</t>
        </is>
      </c>
      <c r="O1307" t="inlineStr">
        <is>
          <t>41.9–45.3</t>
        </is>
      </c>
      <c r="P1307" t="n">
        <v>23.5</v>
      </c>
      <c r="Q1307" t="n">
        <v>27.7</v>
      </c>
      <c r="R1307" t="n">
        <v>65.40000000000001</v>
      </c>
      <c r="S1307" t="n">
        <v>52.8</v>
      </c>
      <c r="T1307" t="n">
        <v>73.7</v>
      </c>
      <c r="U1307" t="inlineStr">
        <is>
          <t>10,381</t>
        </is>
      </c>
      <c r="V1307" t="n">
        <v>48.7</v>
      </c>
      <c r="W1307" t="inlineStr">
        <is>
          <t>23%</t>
        </is>
      </c>
      <c r="X1307" t="inlineStr">
        <is>
          <t>66 : 34</t>
        </is>
      </c>
      <c r="Y1307" t="n">
        <v>576</v>
      </c>
      <c r="Z1307" t="n">
        <v>501</v>
      </c>
      <c r="AA1307" t="n">
        <v>43.59999999999999</v>
      </c>
      <c r="AB1307" t="inlineStr">
        <is>
          <t>U1306</t>
        </is>
      </c>
      <c r="AC1307" t="inlineStr">
        <is>
          <t>AU</t>
        </is>
      </c>
      <c r="AD1307" t="n">
        <v>21.4</v>
      </c>
      <c r="AE1307" t="n">
        <v>46.3</v>
      </c>
      <c r="AF1307" t="n">
        <v>48.7</v>
      </c>
      <c r="AG1307" t="inlineStr">
        <is>
          <t>1:48.7</t>
        </is>
      </c>
      <c r="AH1307" t="inlineStr">
        <is>
          <t>23%</t>
        </is>
      </c>
      <c r="AI1307" t="n">
        <v>4.4</v>
      </c>
      <c r="AJ1307" t="n">
        <v>39.76</v>
      </c>
    </row>
    <row r="1308">
      <c r="A1308" t="inlineStr">
        <is>
          <t>Southern Federal University</t>
        </is>
      </c>
      <c r="B1308" t="inlineStr">
        <is>
          <t>Russian Federation</t>
        </is>
      </c>
      <c r="C1308" t="inlineStr">
        <is>
          <t>951-1000</t>
        </is>
      </c>
      <c r="D1308" t="inlineStr"/>
      <c r="E1308" t="n">
        <v>6.6</v>
      </c>
      <c r="F1308" t="n">
        <v>3.8</v>
      </c>
      <c r="G1308" t="n">
        <v>67.90000000000001</v>
      </c>
      <c r="H1308" t="n">
        <v>1.9</v>
      </c>
      <c r="I1308" t="n">
        <v>2.9</v>
      </c>
      <c r="J1308" t="n">
        <v>25.2</v>
      </c>
      <c r="K1308" t="n">
        <v>40.1</v>
      </c>
      <c r="L1308" t="n">
        <v>1.8</v>
      </c>
      <c r="M1308" t="n">
        <v>1.2</v>
      </c>
      <c r="N1308" t="inlineStr">
        <is>
          <t>1201–1500</t>
        </is>
      </c>
      <c r="O1308" t="inlineStr">
        <is>
          <t>22.8–28.2</t>
        </is>
      </c>
      <c r="P1308" t="n">
        <v>27.9</v>
      </c>
      <c r="Q1308" t="n">
        <v>14.3</v>
      </c>
      <c r="R1308" t="n">
        <v>21.4</v>
      </c>
      <c r="S1308" t="n">
        <v>32.1</v>
      </c>
      <c r="T1308" t="n">
        <v>40.3</v>
      </c>
      <c r="U1308" t="inlineStr">
        <is>
          <t>19,181</t>
        </is>
      </c>
      <c r="V1308" t="n">
        <v>11.3</v>
      </c>
      <c r="W1308" t="inlineStr">
        <is>
          <t>11%</t>
        </is>
      </c>
      <c r="X1308" t="inlineStr">
        <is>
          <t>54 : 46</t>
        </is>
      </c>
      <c r="Y1308" t="n">
        <v>951</v>
      </c>
      <c r="Z1308" t="n">
        <v>1201</v>
      </c>
      <c r="AA1308" t="n">
        <v>25.5</v>
      </c>
      <c r="AB1308" t="inlineStr">
        <is>
          <t>U1307</t>
        </is>
      </c>
      <c r="AC1308" t="inlineStr">
        <is>
          <t>RU</t>
        </is>
      </c>
      <c r="AD1308" t="n">
        <v>25.5</v>
      </c>
      <c r="AE1308" t="n">
        <v>1.9</v>
      </c>
      <c r="AF1308" t="n">
        <v>11.3</v>
      </c>
      <c r="AG1308" t="inlineStr">
        <is>
          <t>1:11.3</t>
        </is>
      </c>
      <c r="AH1308" t="inlineStr">
        <is>
          <t>11%</t>
        </is>
      </c>
      <c r="AI1308" t="n">
        <v>6.6</v>
      </c>
      <c r="AJ1308" t="n">
        <v>11.21</v>
      </c>
    </row>
    <row r="1309">
      <c r="A1309" t="inlineStr">
        <is>
          <t>Southern Medical University</t>
        </is>
      </c>
      <c r="B1309" t="inlineStr">
        <is>
          <t>China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>
        <is>
          <t>351–400</t>
        </is>
      </c>
      <c r="O1309" t="inlineStr">
        <is>
          <t>49.1–51.0</t>
        </is>
      </c>
      <c r="P1309" t="n">
        <v>44.1</v>
      </c>
      <c r="Q1309" t="n">
        <v>36.7</v>
      </c>
      <c r="R1309" t="n">
        <v>74.8</v>
      </c>
      <c r="S1309" t="n">
        <v>56.4</v>
      </c>
      <c r="T1309" t="n">
        <v>30.4</v>
      </c>
      <c r="U1309" t="inlineStr">
        <is>
          <t>20,555</t>
        </is>
      </c>
      <c r="V1309" t="n">
        <v>10.7</v>
      </c>
      <c r="W1309" t="inlineStr">
        <is>
          <t>6%</t>
        </is>
      </c>
      <c r="X1309" t="inlineStr"/>
      <c r="Y1309" t="inlineStr"/>
      <c r="Z1309" t="n">
        <v>351</v>
      </c>
      <c r="AA1309" t="n">
        <v>50.05</v>
      </c>
      <c r="AB1309" t="inlineStr">
        <is>
          <t>U1308</t>
        </is>
      </c>
      <c r="AC1309" t="inlineStr">
        <is>
          <t>CH</t>
        </is>
      </c>
      <c r="AD1309" t="n">
        <v>50.05</v>
      </c>
      <c r="AE1309" t="n">
        <v>74.8</v>
      </c>
      <c r="AF1309" t="n">
        <v>10.7</v>
      </c>
      <c r="AG1309" t="inlineStr">
        <is>
          <t>1:10.7</t>
        </is>
      </c>
      <c r="AH1309" t="inlineStr">
        <is>
          <t>6%</t>
        </is>
      </c>
      <c r="AI1309" t="inlineStr"/>
      <c r="AJ1309" t="n">
        <v>42.65</v>
      </c>
    </row>
    <row r="1310">
      <c r="A1310" t="inlineStr">
        <is>
          <t>Southern Methodist University</t>
        </is>
      </c>
      <c r="B1310" t="inlineStr">
        <is>
          <t>United States</t>
        </is>
      </c>
      <c r="C1310" t="inlineStr">
        <is>
          <t>1001-1200</t>
        </is>
      </c>
      <c r="D1310" t="inlineStr"/>
      <c r="E1310" t="n">
        <v>4.9</v>
      </c>
      <c r="F1310" t="n">
        <v>3.6</v>
      </c>
      <c r="G1310" t="n">
        <v>29.3</v>
      </c>
      <c r="H1310" t="n">
        <v>7.2</v>
      </c>
      <c r="I1310" t="n">
        <v>6.8</v>
      </c>
      <c r="J1310" t="n">
        <v>8.699999999999999</v>
      </c>
      <c r="K1310" t="n">
        <v>30.2</v>
      </c>
      <c r="L1310" t="n">
        <v>38.8</v>
      </c>
      <c r="M1310" t="n">
        <v>2.4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n">
        <v>1001</v>
      </c>
      <c r="Z1310" t="inlineStr"/>
      <c r="AA1310" t="inlineStr"/>
      <c r="AB1310" t="inlineStr">
        <is>
          <t>U1309</t>
        </is>
      </c>
      <c r="AC1310" t="inlineStr">
        <is>
          <t>UN</t>
        </is>
      </c>
      <c r="AD1310" t="inlineStr"/>
      <c r="AE1310" t="n">
        <v>7.2</v>
      </c>
      <c r="AF1310" t="inlineStr"/>
      <c r="AG1310" t="inlineStr"/>
      <c r="AH1310" t="inlineStr"/>
      <c r="AI1310" t="n">
        <v>4.9</v>
      </c>
      <c r="AJ1310" t="n">
        <v>15.57</v>
      </c>
    </row>
    <row r="1311">
      <c r="A1311" t="inlineStr">
        <is>
          <t>Southern University of Science and Technology</t>
        </is>
      </c>
      <c r="B1311" t="inlineStr">
        <is>
          <t>China</t>
        </is>
      </c>
      <c r="C1311" t="inlineStr">
        <is>
          <t>284</t>
        </is>
      </c>
      <c r="D1311" t="n">
        <v>37.3</v>
      </c>
      <c r="E1311" t="n">
        <v>9.300000000000001</v>
      </c>
      <c r="F1311" t="n">
        <v>2.5</v>
      </c>
      <c r="G1311" t="n">
        <v>89.7</v>
      </c>
      <c r="H1311" t="n">
        <v>98.8</v>
      </c>
      <c r="I1311" t="n">
        <v>37.5</v>
      </c>
      <c r="J1311" t="n">
        <v>1.4</v>
      </c>
      <c r="K1311" t="n">
        <v>48.3</v>
      </c>
      <c r="L1311" t="n">
        <v>1.6</v>
      </c>
      <c r="M1311" t="n">
        <v>31.6</v>
      </c>
      <c r="N1311" t="inlineStr">
        <is>
          <t>201–250</t>
        </is>
      </c>
      <c r="O1311" t="inlineStr">
        <is>
          <t>55.9–58.6</t>
        </is>
      </c>
      <c r="P1311" t="n">
        <v>32.9</v>
      </c>
      <c r="Q1311" t="n">
        <v>40.8</v>
      </c>
      <c r="R1311" t="n">
        <v>92.8</v>
      </c>
      <c r="S1311" t="n">
        <v>60.3</v>
      </c>
      <c r="T1311" t="n">
        <v>69.3</v>
      </c>
      <c r="U1311" t="inlineStr">
        <is>
          <t>6,575</t>
        </is>
      </c>
      <c r="V1311" t="n">
        <v>9</v>
      </c>
      <c r="W1311" t="inlineStr">
        <is>
          <t>1%</t>
        </is>
      </c>
      <c r="X1311" t="inlineStr"/>
      <c r="Y1311" t="n">
        <v>284</v>
      </c>
      <c r="Z1311" t="n">
        <v>201</v>
      </c>
      <c r="AA1311" t="n">
        <v>57.25</v>
      </c>
      <c r="AB1311" t="inlineStr">
        <is>
          <t>U1310</t>
        </is>
      </c>
      <c r="AC1311" t="inlineStr">
        <is>
          <t>CH</t>
        </is>
      </c>
      <c r="AD1311" t="n">
        <v>37.3</v>
      </c>
      <c r="AE1311" t="n">
        <v>98.8</v>
      </c>
      <c r="AF1311" t="n">
        <v>9</v>
      </c>
      <c r="AG1311" t="inlineStr">
        <is>
          <t>1:9.0</t>
        </is>
      </c>
      <c r="AH1311" t="inlineStr">
        <is>
          <t>1%</t>
        </is>
      </c>
      <c r="AI1311" t="n">
        <v>9.300000000000001</v>
      </c>
      <c r="AJ1311" t="n">
        <v>61.47</v>
      </c>
    </row>
    <row r="1312">
      <c r="A1312" t="inlineStr">
        <is>
          <t>Southwest Petroleum University</t>
        </is>
      </c>
      <c r="B1312" t="inlineStr">
        <is>
          <t>China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>
        <is>
          <t>1201–1500</t>
        </is>
      </c>
      <c r="O1312" t="inlineStr">
        <is>
          <t>22.8–28.2</t>
        </is>
      </c>
      <c r="P1312" t="n">
        <v>17.9</v>
      </c>
      <c r="Q1312" t="n">
        <v>15.1</v>
      </c>
      <c r="R1312" t="n">
        <v>38.3</v>
      </c>
      <c r="S1312" t="n">
        <v>53.1</v>
      </c>
      <c r="T1312" t="n">
        <v>21.8</v>
      </c>
      <c r="U1312" t="inlineStr">
        <is>
          <t>33,002</t>
        </is>
      </c>
      <c r="V1312" t="n">
        <v>15.9</v>
      </c>
      <c r="W1312" t="inlineStr">
        <is>
          <t>2%</t>
        </is>
      </c>
      <c r="X1312" t="inlineStr">
        <is>
          <t>34 : 66</t>
        </is>
      </c>
      <c r="Y1312" t="inlineStr"/>
      <c r="Z1312" t="n">
        <v>1201</v>
      </c>
      <c r="AA1312" t="n">
        <v>25.5</v>
      </c>
      <c r="AB1312" t="inlineStr">
        <is>
          <t>U1311</t>
        </is>
      </c>
      <c r="AC1312" t="inlineStr">
        <is>
          <t>CH</t>
        </is>
      </c>
      <c r="AD1312" t="n">
        <v>25.5</v>
      </c>
      <c r="AE1312" t="n">
        <v>38.3</v>
      </c>
      <c r="AF1312" t="n">
        <v>15.9</v>
      </c>
      <c r="AG1312" t="inlineStr">
        <is>
          <t>1:15.9</t>
        </is>
      </c>
      <c r="AH1312" t="inlineStr">
        <is>
          <t>2%</t>
        </is>
      </c>
      <c r="AI1312" t="inlineStr"/>
      <c r="AJ1312" t="n">
        <v>18.18</v>
      </c>
    </row>
    <row r="1313">
      <c r="A1313" t="inlineStr">
        <is>
          <t>Southwest State University</t>
        </is>
      </c>
      <c r="B1313" t="inlineStr">
        <is>
          <t>Russian Federation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>
        <is>
          <t>1501+</t>
        </is>
      </c>
      <c r="O1313" t="inlineStr">
        <is>
          <t>9.7–22.7</t>
        </is>
      </c>
      <c r="P1313" t="n">
        <v>20.8</v>
      </c>
      <c r="Q1313" t="n">
        <v>11.2</v>
      </c>
      <c r="R1313" t="n">
        <v>11.4</v>
      </c>
      <c r="S1313" t="n">
        <v>33.7</v>
      </c>
      <c r="T1313" t="n">
        <v>32.1</v>
      </c>
      <c r="U1313" t="inlineStr">
        <is>
          <t>6,592</t>
        </is>
      </c>
      <c r="V1313" t="n">
        <v>13.4</v>
      </c>
      <c r="W1313" t="inlineStr">
        <is>
          <t>11%</t>
        </is>
      </c>
      <c r="X1313" t="inlineStr">
        <is>
          <t>39 : 61</t>
        </is>
      </c>
      <c r="Y1313" t="inlineStr"/>
      <c r="Z1313" t="n">
        <v>1501</v>
      </c>
      <c r="AA1313" t="n">
        <v>16.2</v>
      </c>
      <c r="AB1313" t="inlineStr">
        <is>
          <t>U1312</t>
        </is>
      </c>
      <c r="AC1313" t="inlineStr">
        <is>
          <t>RU</t>
        </is>
      </c>
      <c r="AD1313" t="n">
        <v>16.2</v>
      </c>
      <c r="AE1313" t="n">
        <v>11.4</v>
      </c>
      <c r="AF1313" t="n">
        <v>13.4</v>
      </c>
      <c r="AG1313" t="inlineStr">
        <is>
          <t>1:13.4</t>
        </is>
      </c>
      <c r="AH1313" t="inlineStr">
        <is>
          <t>11%</t>
        </is>
      </c>
      <c r="AI1313" t="inlineStr"/>
      <c r="AJ1313" t="n">
        <v>10.48</v>
      </c>
    </row>
    <row r="1314">
      <c r="A1314" t="inlineStr">
        <is>
          <t>Southwest University</t>
        </is>
      </c>
      <c r="B1314" t="inlineStr">
        <is>
          <t>China</t>
        </is>
      </c>
      <c r="C1314" t="inlineStr">
        <is>
          <t>1001-1200</t>
        </is>
      </c>
      <c r="D1314" t="inlineStr"/>
      <c r="E1314" t="n">
        <v>3</v>
      </c>
      <c r="F1314" t="n">
        <v>1.9</v>
      </c>
      <c r="G1314" t="n">
        <v>13.3</v>
      </c>
      <c r="H1314" t="n">
        <v>23.9</v>
      </c>
      <c r="I1314" t="n">
        <v>1.3</v>
      </c>
      <c r="J1314" t="n">
        <v>1.7</v>
      </c>
      <c r="K1314" t="n">
        <v>44.1</v>
      </c>
      <c r="L1314" t="n">
        <v>10.6</v>
      </c>
      <c r="M1314" t="n">
        <v>2.3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n">
        <v>1001</v>
      </c>
      <c r="Z1314" t="inlineStr"/>
      <c r="AA1314" t="inlineStr"/>
      <c r="AB1314" t="inlineStr">
        <is>
          <t>U1313</t>
        </is>
      </c>
      <c r="AC1314" t="inlineStr">
        <is>
          <t>CH</t>
        </is>
      </c>
      <c r="AD1314" t="inlineStr"/>
      <c r="AE1314" t="n">
        <v>23.9</v>
      </c>
      <c r="AF1314" t="inlineStr"/>
      <c r="AG1314" t="inlineStr"/>
      <c r="AH1314" t="inlineStr"/>
      <c r="AI1314" t="n">
        <v>3</v>
      </c>
      <c r="AJ1314" t="n">
        <v>20.63</v>
      </c>
    </row>
    <row r="1315">
      <c r="A1315" t="inlineStr">
        <is>
          <t>Sri Venkateswara University</t>
        </is>
      </c>
      <c r="B1315" t="inlineStr">
        <is>
          <t>India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>
        <is>
          <t>1201–1500</t>
        </is>
      </c>
      <c r="O1315" t="inlineStr">
        <is>
          <t>22.8–28.2</t>
        </is>
      </c>
      <c r="P1315" t="n">
        <v>36.8</v>
      </c>
      <c r="Q1315" t="n">
        <v>11.3</v>
      </c>
      <c r="R1315" t="n">
        <v>23.6</v>
      </c>
      <c r="S1315" t="n">
        <v>20.9</v>
      </c>
      <c r="T1315" t="n">
        <v>31.5</v>
      </c>
      <c r="U1315" t="inlineStr">
        <is>
          <t>7,276</t>
        </is>
      </c>
      <c r="V1315" t="n">
        <v>15</v>
      </c>
      <c r="W1315" t="inlineStr">
        <is>
          <t>0%</t>
        </is>
      </c>
      <c r="X1315" t="inlineStr">
        <is>
          <t>48 : 52</t>
        </is>
      </c>
      <c r="Y1315" t="inlineStr"/>
      <c r="Z1315" t="n">
        <v>1201</v>
      </c>
      <c r="AA1315" t="n">
        <v>25.5</v>
      </c>
      <c r="AB1315" t="inlineStr">
        <is>
          <t>U1314</t>
        </is>
      </c>
      <c r="AC1315" t="inlineStr">
        <is>
          <t>IN</t>
        </is>
      </c>
      <c r="AD1315" t="n">
        <v>25.5</v>
      </c>
      <c r="AE1315" t="n">
        <v>23.6</v>
      </c>
      <c r="AF1315" t="n">
        <v>15</v>
      </c>
      <c r="AG1315" t="inlineStr">
        <is>
          <t>1:15.0</t>
        </is>
      </c>
      <c r="AH1315" t="inlineStr">
        <is>
          <t>0%</t>
        </is>
      </c>
      <c r="AI1315" t="inlineStr"/>
      <c r="AJ1315" t="n">
        <v>14.08</v>
      </c>
    </row>
    <row r="1316">
      <c r="A1316" t="inlineStr">
        <is>
          <t>Srinakharinwirot University</t>
        </is>
      </c>
      <c r="B1316" t="inlineStr">
        <is>
          <t>Thailand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>
        <is>
          <t>1501+</t>
        </is>
      </c>
      <c r="O1316" t="inlineStr">
        <is>
          <t>9.7–22.7</t>
        </is>
      </c>
      <c r="P1316" t="n">
        <v>19.4</v>
      </c>
      <c r="Q1316" t="n">
        <v>9.699999999999999</v>
      </c>
      <c r="R1316" t="n">
        <v>15.8</v>
      </c>
      <c r="S1316" t="n">
        <v>18.8</v>
      </c>
      <c r="T1316" t="n">
        <v>22.3</v>
      </c>
      <c r="U1316" t="inlineStr">
        <is>
          <t>28,132</t>
        </is>
      </c>
      <c r="V1316" t="n">
        <v>18.9</v>
      </c>
      <c r="W1316" t="inlineStr">
        <is>
          <t>1%</t>
        </is>
      </c>
      <c r="X1316" t="inlineStr">
        <is>
          <t>67 : 33</t>
        </is>
      </c>
      <c r="Y1316" t="inlineStr"/>
      <c r="Z1316" t="n">
        <v>1501</v>
      </c>
      <c r="AA1316" t="n">
        <v>16.2</v>
      </c>
      <c r="AB1316" t="inlineStr">
        <is>
          <t>U1315</t>
        </is>
      </c>
      <c r="AC1316" t="inlineStr">
        <is>
          <t>TH</t>
        </is>
      </c>
      <c r="AD1316" t="n">
        <v>16.2</v>
      </c>
      <c r="AE1316" t="n">
        <v>15.8</v>
      </c>
      <c r="AF1316" t="n">
        <v>18.9</v>
      </c>
      <c r="AG1316" t="inlineStr">
        <is>
          <t>1:18.9</t>
        </is>
      </c>
      <c r="AH1316" t="inlineStr">
        <is>
          <t>1%</t>
        </is>
      </c>
      <c r="AI1316" t="inlineStr"/>
      <c r="AJ1316" t="n">
        <v>8.66</v>
      </c>
    </row>
    <row r="1317">
      <c r="A1317" t="inlineStr">
        <is>
          <t>SRM INSTITUTE OF SCIENCE AND TECHNOLOGY</t>
        </is>
      </c>
      <c r="B1317" t="inlineStr">
        <is>
          <t>India</t>
        </is>
      </c>
      <c r="C1317" t="inlineStr">
        <is>
          <t>1001-1200</t>
        </is>
      </c>
      <c r="D1317" t="inlineStr"/>
      <c r="E1317" t="n">
        <v>8.6</v>
      </c>
      <c r="F1317" t="n">
        <v>16</v>
      </c>
      <c r="G1317" t="n">
        <v>13.4</v>
      </c>
      <c r="H1317" t="n">
        <v>4</v>
      </c>
      <c r="I1317" t="n">
        <v>1.5</v>
      </c>
      <c r="J1317" t="n">
        <v>1.6</v>
      </c>
      <c r="K1317" t="n">
        <v>56.2</v>
      </c>
      <c r="L1317" t="n">
        <v>1.8</v>
      </c>
      <c r="M1317" t="n">
        <v>12.7</v>
      </c>
      <c r="N1317" t="inlineStr">
        <is>
          <t>1201–1500</t>
        </is>
      </c>
      <c r="O1317" t="inlineStr">
        <is>
          <t>22.8–28.2</t>
        </is>
      </c>
      <c r="P1317" t="n">
        <v>21.6</v>
      </c>
      <c r="Q1317" t="n">
        <v>11.5</v>
      </c>
      <c r="R1317" t="n">
        <v>51.6</v>
      </c>
      <c r="S1317" t="n">
        <v>21.9</v>
      </c>
      <c r="T1317" t="n">
        <v>26.8</v>
      </c>
      <c r="U1317" t="inlineStr">
        <is>
          <t>49,683</t>
        </is>
      </c>
      <c r="V1317" t="n">
        <v>15.5</v>
      </c>
      <c r="W1317" t="inlineStr">
        <is>
          <t>2%</t>
        </is>
      </c>
      <c r="X1317" t="inlineStr">
        <is>
          <t>30 : 70</t>
        </is>
      </c>
      <c r="Y1317" t="n">
        <v>1001</v>
      </c>
      <c r="Z1317" t="n">
        <v>1201</v>
      </c>
      <c r="AA1317" t="n">
        <v>25.5</v>
      </c>
      <c r="AB1317" t="inlineStr">
        <is>
          <t>U1316</t>
        </is>
      </c>
      <c r="AC1317" t="inlineStr">
        <is>
          <t>IN</t>
        </is>
      </c>
      <c r="AD1317" t="n">
        <v>25.5</v>
      </c>
      <c r="AE1317" t="n">
        <v>4</v>
      </c>
      <c r="AF1317" t="n">
        <v>15.5</v>
      </c>
      <c r="AG1317" t="inlineStr">
        <is>
          <t>1:15.5</t>
        </is>
      </c>
      <c r="AH1317" t="inlineStr">
        <is>
          <t>2%</t>
        </is>
      </c>
      <c r="AI1317" t="n">
        <v>8.6</v>
      </c>
      <c r="AJ1317" t="n">
        <v>7.11</v>
      </c>
    </row>
    <row r="1318">
      <c r="A1318" t="inlineStr">
        <is>
          <t>SRUC (Scotland’s Rural College)</t>
        </is>
      </c>
      <c r="B1318" t="inlineStr">
        <is>
          <t>United Kingdom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>
        <is>
          <t>601–800</t>
        </is>
      </c>
      <c r="O1318" t="inlineStr">
        <is>
          <t>37.0–41.8</t>
        </is>
      </c>
      <c r="P1318" t="n">
        <v>25.3</v>
      </c>
      <c r="Q1318" t="n">
        <v>12.8</v>
      </c>
      <c r="R1318" t="n">
        <v>79.3</v>
      </c>
      <c r="S1318" t="n">
        <v>26.9</v>
      </c>
      <c r="T1318" t="n">
        <v>64.8</v>
      </c>
      <c r="U1318" t="inlineStr">
        <is>
          <t>1,465</t>
        </is>
      </c>
      <c r="V1318" t="n">
        <v>5.5</v>
      </c>
      <c r="W1318" t="inlineStr">
        <is>
          <t>8%</t>
        </is>
      </c>
      <c r="X1318" t="inlineStr">
        <is>
          <t>64 : 36</t>
        </is>
      </c>
      <c r="Y1318" t="inlineStr"/>
      <c r="Z1318" t="n">
        <v>601</v>
      </c>
      <c r="AA1318" t="n">
        <v>39.4</v>
      </c>
      <c r="AB1318" t="inlineStr">
        <is>
          <t>U1317</t>
        </is>
      </c>
      <c r="AC1318" t="inlineStr">
        <is>
          <t>UN</t>
        </is>
      </c>
      <c r="AD1318" t="n">
        <v>39.4</v>
      </c>
      <c r="AE1318" t="n">
        <v>79.3</v>
      </c>
      <c r="AF1318" t="n">
        <v>5.5</v>
      </c>
      <c r="AG1318" t="inlineStr">
        <is>
          <t>1:5.5</t>
        </is>
      </c>
      <c r="AH1318" t="inlineStr">
        <is>
          <t>8%</t>
        </is>
      </c>
      <c r="AI1318" t="inlineStr"/>
      <c r="AJ1318" t="n">
        <v>39.8</v>
      </c>
    </row>
    <row r="1319">
      <c r="A1319" t="inlineStr">
        <is>
          <t>St George’s, University of London</t>
        </is>
      </c>
      <c r="B1319" t="inlineStr">
        <is>
          <t>United Kingdom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>
        <is>
          <t>301–350</t>
        </is>
      </c>
      <c r="O1319" t="inlineStr">
        <is>
          <t>51.1–53.0</t>
        </is>
      </c>
      <c r="P1319" t="n">
        <v>23.5</v>
      </c>
      <c r="Q1319" t="n">
        <v>25.8</v>
      </c>
      <c r="R1319" t="n">
        <v>93.5</v>
      </c>
      <c r="S1319" t="n">
        <v>66.8</v>
      </c>
      <c r="T1319" t="n">
        <v>79.5</v>
      </c>
      <c r="U1319" t="inlineStr">
        <is>
          <t>3,725</t>
        </is>
      </c>
      <c r="V1319" t="n">
        <v>13.1</v>
      </c>
      <c r="W1319" t="inlineStr">
        <is>
          <t>18%</t>
        </is>
      </c>
      <c r="X1319" t="inlineStr">
        <is>
          <t>66 : 34</t>
        </is>
      </c>
      <c r="Y1319" t="inlineStr"/>
      <c r="Z1319" t="n">
        <v>301</v>
      </c>
      <c r="AA1319" t="n">
        <v>52.05</v>
      </c>
      <c r="AB1319" t="inlineStr">
        <is>
          <t>U1318</t>
        </is>
      </c>
      <c r="AC1319" t="inlineStr">
        <is>
          <t>UN</t>
        </is>
      </c>
      <c r="AD1319" t="n">
        <v>52.05</v>
      </c>
      <c r="AE1319" t="n">
        <v>93.5</v>
      </c>
      <c r="AF1319" t="n">
        <v>13.1</v>
      </c>
      <c r="AG1319" t="inlineStr">
        <is>
          <t>1:13.1</t>
        </is>
      </c>
      <c r="AH1319" t="inlineStr">
        <is>
          <t>18%</t>
        </is>
      </c>
      <c r="AI1319" t="inlineStr"/>
      <c r="AJ1319" t="n">
        <v>54.47</v>
      </c>
    </row>
    <row r="1320">
      <c r="A1320" t="inlineStr">
        <is>
          <t>St. Louis University</t>
        </is>
      </c>
      <c r="B1320" t="inlineStr">
        <is>
          <t>United States</t>
        </is>
      </c>
      <c r="C1320" t="inlineStr">
        <is>
          <t>951-1000</t>
        </is>
      </c>
      <c r="D1320" t="inlineStr"/>
      <c r="E1320" t="n">
        <v>4.4</v>
      </c>
      <c r="F1320" t="n">
        <v>2.6</v>
      </c>
      <c r="G1320" t="n">
        <v>53.2</v>
      </c>
      <c r="H1320" t="n">
        <v>13.5</v>
      </c>
      <c r="I1320" t="n">
        <v>12.7</v>
      </c>
      <c r="J1320" t="n">
        <v>11</v>
      </c>
      <c r="K1320" t="n">
        <v>28.7</v>
      </c>
      <c r="L1320" t="n">
        <v>9</v>
      </c>
      <c r="M1320" t="n">
        <v>1.7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n">
        <v>951</v>
      </c>
      <c r="Z1320" t="inlineStr"/>
      <c r="AA1320" t="inlineStr"/>
      <c r="AB1320" t="inlineStr">
        <is>
          <t>U1319</t>
        </is>
      </c>
      <c r="AC1320" t="inlineStr">
        <is>
          <t>UN</t>
        </is>
      </c>
      <c r="AD1320" t="inlineStr"/>
      <c r="AE1320" t="n">
        <v>13.5</v>
      </c>
      <c r="AF1320" t="inlineStr"/>
      <c r="AG1320" t="inlineStr"/>
      <c r="AH1320" t="inlineStr"/>
      <c r="AI1320" t="n">
        <v>4.4</v>
      </c>
      <c r="AJ1320" t="n">
        <v>17.48</v>
      </c>
    </row>
    <row r="1321">
      <c r="A1321" t="inlineStr">
        <is>
          <t>St Marianna University School of Medicine</t>
        </is>
      </c>
      <c r="B1321" t="inlineStr">
        <is>
          <t>Japan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>
        <is>
          <t>1201–1500</t>
        </is>
      </c>
      <c r="O1321" t="inlineStr">
        <is>
          <t>22.8–28.2</t>
        </is>
      </c>
      <c r="P1321" t="n">
        <v>27.6</v>
      </c>
      <c r="Q1321" t="n">
        <v>9.9</v>
      </c>
      <c r="R1321" t="n">
        <v>44.4</v>
      </c>
      <c r="S1321" t="n">
        <v>37.3</v>
      </c>
      <c r="T1321" t="n">
        <v>20.1</v>
      </c>
      <c r="U1321" t="inlineStr">
        <is>
          <t>821</t>
        </is>
      </c>
      <c r="V1321" t="n">
        <v>0.8</v>
      </c>
      <c r="W1321" t="inlineStr">
        <is>
          <t>1%</t>
        </is>
      </c>
      <c r="X1321" t="inlineStr">
        <is>
          <t>44 : 56</t>
        </is>
      </c>
      <c r="Y1321" t="inlineStr"/>
      <c r="Z1321" t="n">
        <v>1201</v>
      </c>
      <c r="AA1321" t="n">
        <v>25.5</v>
      </c>
      <c r="AB1321" t="inlineStr">
        <is>
          <t>U1320</t>
        </is>
      </c>
      <c r="AC1321" t="inlineStr">
        <is>
          <t>JA</t>
        </is>
      </c>
      <c r="AD1321" t="n">
        <v>25.5</v>
      </c>
      <c r="AE1321" t="n">
        <v>44.4</v>
      </c>
      <c r="AF1321" t="n">
        <v>0.8</v>
      </c>
      <c r="AG1321" t="inlineStr">
        <is>
          <t>1:0.8</t>
        </is>
      </c>
      <c r="AH1321" t="inlineStr">
        <is>
          <t>1%</t>
        </is>
      </c>
      <c r="AI1321" t="inlineStr"/>
      <c r="AJ1321" t="n">
        <v>16.9</v>
      </c>
    </row>
    <row r="1322">
      <c r="A1322" t="inlineStr">
        <is>
          <t>St Petersburg Electrotechnical University (LETI)</t>
        </is>
      </c>
      <c r="B1322" t="inlineStr">
        <is>
          <t>Russian Federation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>
        <is>
          <t>1201–1500</t>
        </is>
      </c>
      <c r="O1322" t="inlineStr">
        <is>
          <t>22.8–28.2</t>
        </is>
      </c>
      <c r="P1322" t="n">
        <v>22.6</v>
      </c>
      <c r="Q1322" t="n">
        <v>16.4</v>
      </c>
      <c r="R1322" t="n">
        <v>22.8</v>
      </c>
      <c r="S1322" t="n">
        <v>37.6</v>
      </c>
      <c r="T1322" t="n">
        <v>41.7</v>
      </c>
      <c r="U1322" t="inlineStr">
        <is>
          <t>8,712</t>
        </is>
      </c>
      <c r="V1322" t="n">
        <v>13.6</v>
      </c>
      <c r="W1322" t="inlineStr">
        <is>
          <t>20%</t>
        </is>
      </c>
      <c r="X1322" t="inlineStr">
        <is>
          <t>31 : 69</t>
        </is>
      </c>
      <c r="Y1322" t="inlineStr"/>
      <c r="Z1322" t="n">
        <v>1201</v>
      </c>
      <c r="AA1322" t="n">
        <v>25.5</v>
      </c>
      <c r="AB1322" t="inlineStr">
        <is>
          <t>U1321</t>
        </is>
      </c>
      <c r="AC1322" t="inlineStr">
        <is>
          <t>RU</t>
        </is>
      </c>
      <c r="AD1322" t="n">
        <v>25.5</v>
      </c>
      <c r="AE1322" t="n">
        <v>22.8</v>
      </c>
      <c r="AF1322" t="n">
        <v>13.6</v>
      </c>
      <c r="AG1322" t="inlineStr">
        <is>
          <t>1:13.6</t>
        </is>
      </c>
      <c r="AH1322" t="inlineStr">
        <is>
          <t>20%</t>
        </is>
      </c>
      <c r="AI1322" t="inlineStr"/>
      <c r="AJ1322" t="n">
        <v>18.98</v>
      </c>
    </row>
    <row r="1323">
      <c r="A1323" t="inlineStr">
        <is>
          <t>Staffordshire University</t>
        </is>
      </c>
      <c r="B1323" t="inlineStr">
        <is>
          <t>United Kingdom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>
        <is>
          <t>1001–1200</t>
        </is>
      </c>
      <c r="O1323" t="inlineStr">
        <is>
          <t>28.3–32.6</t>
        </is>
      </c>
      <c r="P1323" t="n">
        <v>17.9</v>
      </c>
      <c r="Q1323" t="n">
        <v>11.5</v>
      </c>
      <c r="R1323" t="n">
        <v>48</v>
      </c>
      <c r="S1323" t="n">
        <v>21.5</v>
      </c>
      <c r="T1323" t="n">
        <v>64.8</v>
      </c>
      <c r="U1323" t="inlineStr">
        <is>
          <t>11,085</t>
        </is>
      </c>
      <c r="V1323" t="n">
        <v>17.6</v>
      </c>
      <c r="W1323" t="inlineStr">
        <is>
          <t>12%</t>
        </is>
      </c>
      <c r="X1323" t="inlineStr">
        <is>
          <t>48 : 52</t>
        </is>
      </c>
      <c r="Y1323" t="inlineStr"/>
      <c r="Z1323" t="n">
        <v>1001</v>
      </c>
      <c r="AA1323" t="n">
        <v>30.45</v>
      </c>
      <c r="AB1323" t="inlineStr">
        <is>
          <t>U1322</t>
        </is>
      </c>
      <c r="AC1323" t="inlineStr">
        <is>
          <t>UN</t>
        </is>
      </c>
      <c r="AD1323" t="n">
        <v>30.45</v>
      </c>
      <c r="AE1323" t="n">
        <v>48</v>
      </c>
      <c r="AF1323" t="n">
        <v>17.6</v>
      </c>
      <c r="AG1323" t="inlineStr">
        <is>
          <t>1:17.6</t>
        </is>
      </c>
      <c r="AH1323" t="inlineStr">
        <is>
          <t>12%</t>
        </is>
      </c>
      <c r="AI1323" t="inlineStr"/>
      <c r="AJ1323" t="n">
        <v>29.64</v>
      </c>
    </row>
    <row r="1324">
      <c r="A1324" t="inlineStr">
        <is>
          <t>Stamford University Bangladesh</t>
        </is>
      </c>
      <c r="B1324" t="inlineStr">
        <is>
          <t>Bangladesh</t>
        </is>
      </c>
      <c r="C1324" t="inlineStr">
        <is>
          <t>1401+</t>
        </is>
      </c>
      <c r="D1324" t="inlineStr"/>
      <c r="E1324" t="n">
        <v>9.699999999999999</v>
      </c>
      <c r="F1324" t="n">
        <v>4.6</v>
      </c>
      <c r="G1324" t="n">
        <v>1.2</v>
      </c>
      <c r="H1324" t="n">
        <v>1.4</v>
      </c>
      <c r="I1324" t="inlineStr"/>
      <c r="J1324" t="inlineStr"/>
      <c r="K1324" t="n">
        <v>2.2</v>
      </c>
      <c r="L1324" t="n">
        <v>3.6</v>
      </c>
      <c r="M1324" t="n">
        <v>1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n">
        <v>1401</v>
      </c>
      <c r="Z1324" t="inlineStr"/>
      <c r="AA1324" t="inlineStr"/>
      <c r="AB1324" t="inlineStr">
        <is>
          <t>U1323</t>
        </is>
      </c>
      <c r="AC1324" t="inlineStr">
        <is>
          <t>BA</t>
        </is>
      </c>
      <c r="AD1324" t="inlineStr"/>
      <c r="AE1324" t="n">
        <v>1.4</v>
      </c>
      <c r="AF1324" t="inlineStr"/>
      <c r="AG1324" t="inlineStr"/>
      <c r="AH1324" t="inlineStr"/>
      <c r="AI1324" t="n">
        <v>9.699999999999999</v>
      </c>
      <c r="AJ1324" t="n">
        <v>13.81</v>
      </c>
    </row>
    <row r="1325">
      <c r="A1325" t="inlineStr">
        <is>
          <t>Stanford University</t>
        </is>
      </c>
      <c r="B1325" t="inlineStr">
        <is>
          <t>United States</t>
        </is>
      </c>
      <c r="C1325" t="inlineStr">
        <is>
          <t>6</t>
        </is>
      </c>
      <c r="D1325" t="n">
        <v>96.09999999999999</v>
      </c>
      <c r="E1325" t="n">
        <v>100</v>
      </c>
      <c r="F1325" t="n">
        <v>100</v>
      </c>
      <c r="G1325" t="n">
        <v>100</v>
      </c>
      <c r="H1325" t="n">
        <v>99</v>
      </c>
      <c r="I1325" t="n">
        <v>70.3</v>
      </c>
      <c r="J1325" t="n">
        <v>60.8</v>
      </c>
      <c r="K1325" t="n">
        <v>96.8</v>
      </c>
      <c r="L1325" t="n">
        <v>100</v>
      </c>
      <c r="M1325" t="n">
        <v>81.2</v>
      </c>
      <c r="N1325" t="inlineStr">
        <is>
          <t>2</t>
        </is>
      </c>
      <c r="O1325" t="inlineStr">
        <is>
          <t>98.0</t>
        </is>
      </c>
      <c r="P1325" t="n">
        <v>99</v>
      </c>
      <c r="Q1325" t="n">
        <v>97.8</v>
      </c>
      <c r="R1325" t="n">
        <v>99.59999999999999</v>
      </c>
      <c r="S1325" t="n">
        <v>100</v>
      </c>
      <c r="T1325" t="n">
        <v>87</v>
      </c>
      <c r="U1325" t="inlineStr">
        <is>
          <t>14,517</t>
        </is>
      </c>
      <c r="V1325" t="n">
        <v>6.4</v>
      </c>
      <c r="W1325" t="inlineStr">
        <is>
          <t>23%</t>
        </is>
      </c>
      <c r="X1325" t="inlineStr">
        <is>
          <t>47 : 53</t>
        </is>
      </c>
      <c r="Y1325" t="n">
        <v>6</v>
      </c>
      <c r="Z1325" t="n">
        <v>2</v>
      </c>
      <c r="AA1325" t="n">
        <v>98</v>
      </c>
      <c r="AB1325" t="inlineStr">
        <is>
          <t>U1324</t>
        </is>
      </c>
      <c r="AC1325" t="inlineStr">
        <is>
          <t>UN</t>
        </is>
      </c>
      <c r="AD1325" t="n">
        <v>96.09999999999999</v>
      </c>
      <c r="AE1325" t="n">
        <v>99</v>
      </c>
      <c r="AF1325" t="n">
        <v>6.4</v>
      </c>
      <c r="AG1325" t="inlineStr">
        <is>
          <t>1:6.4</t>
        </is>
      </c>
      <c r="AH1325" t="inlineStr">
        <is>
          <t>23%</t>
        </is>
      </c>
      <c r="AI1325" t="n">
        <v>100</v>
      </c>
      <c r="AJ1325" t="n">
        <v>95.69</v>
      </c>
    </row>
    <row r="1326">
      <c r="A1326" t="inlineStr">
        <is>
          <t>State University of Bahia</t>
        </is>
      </c>
      <c r="B1326" t="inlineStr">
        <is>
          <t>Brazil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>
        <is>
          <t>1501+</t>
        </is>
      </c>
      <c r="O1326" t="inlineStr">
        <is>
          <t>9.7–22.7</t>
        </is>
      </c>
      <c r="P1326" t="n">
        <v>19.3</v>
      </c>
      <c r="Q1326" t="n">
        <v>8.6</v>
      </c>
      <c r="R1326" t="n">
        <v>4.1</v>
      </c>
      <c r="S1326" t="n">
        <v>16.2</v>
      </c>
      <c r="T1326" t="n">
        <v>20</v>
      </c>
      <c r="U1326" t="inlineStr">
        <is>
          <t>25,067</t>
        </is>
      </c>
      <c r="V1326" t="n">
        <v>11.9</v>
      </c>
      <c r="W1326" t="inlineStr">
        <is>
          <t>0%</t>
        </is>
      </c>
      <c r="X1326" t="inlineStr">
        <is>
          <t>66 : 34</t>
        </is>
      </c>
      <c r="Y1326" t="inlineStr"/>
      <c r="Z1326" t="n">
        <v>1501</v>
      </c>
      <c r="AA1326" t="n">
        <v>16.2</v>
      </c>
      <c r="AB1326" t="inlineStr">
        <is>
          <t>U1325</t>
        </is>
      </c>
      <c r="AC1326" t="inlineStr">
        <is>
          <t>BR</t>
        </is>
      </c>
      <c r="AD1326" t="n">
        <v>16.2</v>
      </c>
      <c r="AE1326" t="n">
        <v>4.1</v>
      </c>
      <c r="AF1326" t="n">
        <v>11.9</v>
      </c>
      <c r="AG1326" t="inlineStr">
        <is>
          <t>1:11.9</t>
        </is>
      </c>
      <c r="AH1326" t="inlineStr">
        <is>
          <t>0%</t>
        </is>
      </c>
      <c r="AI1326" t="inlineStr"/>
      <c r="AJ1326" t="n">
        <v>3.98</v>
      </c>
    </row>
    <row r="1327">
      <c r="A1327" t="inlineStr">
        <is>
          <t>State University of Malang</t>
        </is>
      </c>
      <c r="B1327" t="inlineStr">
        <is>
          <t>Indonesia</t>
        </is>
      </c>
      <c r="C1327" t="inlineStr">
        <is>
          <t>1401+</t>
        </is>
      </c>
      <c r="D1327" t="inlineStr"/>
      <c r="E1327" t="n">
        <v>6.3</v>
      </c>
      <c r="F1327" t="n">
        <v>2.5</v>
      </c>
      <c r="G1327" t="n">
        <v>8.699999999999999</v>
      </c>
      <c r="H1327" t="n">
        <v>1.7</v>
      </c>
      <c r="I1327" t="n">
        <v>13.7</v>
      </c>
      <c r="J1327" t="n">
        <v>1.3</v>
      </c>
      <c r="K1327" t="n">
        <v>11.5</v>
      </c>
      <c r="L1327" t="n">
        <v>5.4</v>
      </c>
      <c r="M1327" t="n">
        <v>1.1</v>
      </c>
      <c r="N1327" t="inlineStr">
        <is>
          <t>1501+</t>
        </is>
      </c>
      <c r="O1327" t="inlineStr">
        <is>
          <t>9.7–22.7</t>
        </is>
      </c>
      <c r="P1327" t="n">
        <v>18.5</v>
      </c>
      <c r="Q1327" t="n">
        <v>11.1</v>
      </c>
      <c r="R1327" t="n">
        <v>30</v>
      </c>
      <c r="S1327" t="n">
        <v>15.8</v>
      </c>
      <c r="T1327" t="n">
        <v>31.4</v>
      </c>
      <c r="U1327" t="inlineStr">
        <is>
          <t>33,358</t>
        </is>
      </c>
      <c r="V1327" t="n">
        <v>30.5</v>
      </c>
      <c r="W1327" t="inlineStr">
        <is>
          <t>4%</t>
        </is>
      </c>
      <c r="X1327" t="inlineStr">
        <is>
          <t>55 : 45</t>
        </is>
      </c>
      <c r="Y1327" t="n">
        <v>1401</v>
      </c>
      <c r="Z1327" t="n">
        <v>1501</v>
      </c>
      <c r="AA1327" t="n">
        <v>16.2</v>
      </c>
      <c r="AB1327" t="inlineStr">
        <is>
          <t>U1326</t>
        </is>
      </c>
      <c r="AC1327" t="inlineStr">
        <is>
          <t>IN</t>
        </is>
      </c>
      <c r="AD1327" t="n">
        <v>16.2</v>
      </c>
      <c r="AE1327" t="n">
        <v>1.7</v>
      </c>
      <c r="AF1327" t="n">
        <v>30.5</v>
      </c>
      <c r="AG1327" t="inlineStr">
        <is>
          <t>1:30.5</t>
        </is>
      </c>
      <c r="AH1327" t="inlineStr">
        <is>
          <t>4%</t>
        </is>
      </c>
      <c r="AI1327" t="n">
        <v>6.3</v>
      </c>
      <c r="AJ1327" t="n">
        <v>7.32</v>
      </c>
    </row>
    <row r="1328">
      <c r="A1328" t="inlineStr">
        <is>
          <t>State University of Ponta Grossa</t>
        </is>
      </c>
      <c r="B1328" t="inlineStr">
        <is>
          <t>Brazil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>
        <is>
          <t>1501+</t>
        </is>
      </c>
      <c r="O1328" t="inlineStr">
        <is>
          <t>9.7–22.7</t>
        </is>
      </c>
      <c r="P1328" t="n">
        <v>24.9</v>
      </c>
      <c r="Q1328" t="n">
        <v>11.3</v>
      </c>
      <c r="R1328" t="n">
        <v>18.1</v>
      </c>
      <c r="S1328" t="n">
        <v>18.1</v>
      </c>
      <c r="T1328" t="n">
        <v>25.9</v>
      </c>
      <c r="U1328" t="inlineStr">
        <is>
          <t>8,568</t>
        </is>
      </c>
      <c r="V1328" t="n">
        <v>8.9</v>
      </c>
      <c r="W1328" t="inlineStr">
        <is>
          <t>0%</t>
        </is>
      </c>
      <c r="X1328" t="inlineStr">
        <is>
          <t>55 : 45</t>
        </is>
      </c>
      <c r="Y1328" t="inlineStr"/>
      <c r="Z1328" t="n">
        <v>1501</v>
      </c>
      <c r="AA1328" t="n">
        <v>16.2</v>
      </c>
      <c r="AB1328" t="inlineStr">
        <is>
          <t>U1327</t>
        </is>
      </c>
      <c r="AC1328" t="inlineStr">
        <is>
          <t>BR</t>
        </is>
      </c>
      <c r="AD1328" t="n">
        <v>16.2</v>
      </c>
      <c r="AE1328" t="n">
        <v>18.1</v>
      </c>
      <c r="AF1328" t="n">
        <v>8.9</v>
      </c>
      <c r="AG1328" t="inlineStr">
        <is>
          <t>1:8.9</t>
        </is>
      </c>
      <c r="AH1328" t="inlineStr">
        <is>
          <t>0%</t>
        </is>
      </c>
      <c r="AI1328" t="inlineStr"/>
      <c r="AJ1328" t="n">
        <v>11.06</v>
      </c>
    </row>
    <row r="1329">
      <c r="A1329" t="inlineStr">
        <is>
          <t>State University of Santa Cruz</t>
        </is>
      </c>
      <c r="B1329" t="inlineStr">
        <is>
          <t>Brazil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>
        <is>
          <t>1501+</t>
        </is>
      </c>
      <c r="O1329" t="inlineStr">
        <is>
          <t>9.7–22.7</t>
        </is>
      </c>
      <c r="P1329" t="n">
        <v>22.9</v>
      </c>
      <c r="Q1329" t="n">
        <v>9.300000000000001</v>
      </c>
      <c r="R1329" t="n">
        <v>14.1</v>
      </c>
      <c r="S1329" t="n">
        <v>17.4</v>
      </c>
      <c r="T1329" t="n">
        <v>34.9</v>
      </c>
      <c r="U1329" t="inlineStr">
        <is>
          <t>7,854</t>
        </is>
      </c>
      <c r="V1329" t="n">
        <v>9.800000000000001</v>
      </c>
      <c r="W1329" t="inlineStr">
        <is>
          <t>2%</t>
        </is>
      </c>
      <c r="X1329" t="inlineStr">
        <is>
          <t>46 : 54</t>
        </is>
      </c>
      <c r="Y1329" t="inlineStr"/>
      <c r="Z1329" t="n">
        <v>1501</v>
      </c>
      <c r="AA1329" t="n">
        <v>16.2</v>
      </c>
      <c r="AB1329" t="inlineStr">
        <is>
          <t>U1328</t>
        </is>
      </c>
      <c r="AC1329" t="inlineStr">
        <is>
          <t>BR</t>
        </is>
      </c>
      <c r="AD1329" t="n">
        <v>16.2</v>
      </c>
      <c r="AE1329" t="n">
        <v>14.1</v>
      </c>
      <c r="AF1329" t="n">
        <v>9.800000000000001</v>
      </c>
      <c r="AG1329" t="inlineStr">
        <is>
          <t>1:9.8</t>
        </is>
      </c>
      <c r="AH1329" t="inlineStr">
        <is>
          <t>2%</t>
        </is>
      </c>
      <c r="AI1329" t="inlineStr"/>
      <c r="AJ1329" t="n">
        <v>10.98</v>
      </c>
    </row>
    <row r="1330">
      <c r="A1330" t="inlineStr">
        <is>
          <t>Stefan cel Mare University of Suceava</t>
        </is>
      </c>
      <c r="B1330" t="inlineStr">
        <is>
          <t>Romania</t>
        </is>
      </c>
      <c r="C1330" t="inlineStr">
        <is>
          <t>1401+</t>
        </is>
      </c>
      <c r="D1330" t="inlineStr"/>
      <c r="E1330" t="n">
        <v>3.8</v>
      </c>
      <c r="F1330" t="n">
        <v>2.4</v>
      </c>
      <c r="G1330" t="n">
        <v>4.5</v>
      </c>
      <c r="H1330" t="n">
        <v>4.2</v>
      </c>
      <c r="I1330" t="n">
        <v>2.3</v>
      </c>
      <c r="J1330" t="n">
        <v>25.5</v>
      </c>
      <c r="K1330" t="n">
        <v>19.3</v>
      </c>
      <c r="L1330" t="n">
        <v>4.1</v>
      </c>
      <c r="M1330" t="n">
        <v>1.9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n">
        <v>1401</v>
      </c>
      <c r="Z1330" t="inlineStr"/>
      <c r="AA1330" t="inlineStr"/>
      <c r="AB1330" t="inlineStr">
        <is>
          <t>U1329</t>
        </is>
      </c>
      <c r="AC1330" t="inlineStr">
        <is>
          <t>RO</t>
        </is>
      </c>
      <c r="AD1330" t="inlineStr"/>
      <c r="AE1330" t="n">
        <v>4.2</v>
      </c>
      <c r="AF1330" t="inlineStr"/>
      <c r="AG1330" t="inlineStr"/>
      <c r="AH1330" t="inlineStr"/>
      <c r="AI1330" t="n">
        <v>3.8</v>
      </c>
      <c r="AJ1330" t="n">
        <v>14.66</v>
      </c>
    </row>
    <row r="1331">
      <c r="A1331" t="inlineStr">
        <is>
          <t>Stellenbosch University</t>
        </is>
      </c>
      <c r="B1331" t="inlineStr">
        <is>
          <t>South Africa</t>
        </is>
      </c>
      <c r="C1331" t="inlineStr">
        <is>
          <t>296</t>
        </is>
      </c>
      <c r="D1331" t="n">
        <v>36.7</v>
      </c>
      <c r="E1331" t="n">
        <v>26.1</v>
      </c>
      <c r="F1331" t="n">
        <v>35.8</v>
      </c>
      <c r="G1331" t="n">
        <v>3.5</v>
      </c>
      <c r="H1331" t="n">
        <v>61.9</v>
      </c>
      <c r="I1331" t="n">
        <v>19.7</v>
      </c>
      <c r="J1331" t="n">
        <v>8</v>
      </c>
      <c r="K1331" t="n">
        <v>94.8</v>
      </c>
      <c r="L1331" t="n">
        <v>85.2</v>
      </c>
      <c r="M1331" t="n">
        <v>22</v>
      </c>
      <c r="N1331" t="inlineStr">
        <is>
          <t>301–350</t>
        </is>
      </c>
      <c r="O1331" t="inlineStr">
        <is>
          <t>51.1–53.0</t>
        </is>
      </c>
      <c r="P1331" t="n">
        <v>33.8</v>
      </c>
      <c r="Q1331" t="n">
        <v>39.5</v>
      </c>
      <c r="R1331" t="n">
        <v>76.90000000000001</v>
      </c>
      <c r="S1331" t="n">
        <v>89.8</v>
      </c>
      <c r="T1331" t="n">
        <v>59.9</v>
      </c>
      <c r="U1331" t="inlineStr">
        <is>
          <t>25,140</t>
        </is>
      </c>
      <c r="V1331" t="n">
        <v>25.7</v>
      </c>
      <c r="W1331" t="inlineStr">
        <is>
          <t>7%</t>
        </is>
      </c>
      <c r="X1331" t="inlineStr">
        <is>
          <t>56 : 44</t>
        </is>
      </c>
      <c r="Y1331" t="n">
        <v>296</v>
      </c>
      <c r="Z1331" t="n">
        <v>301</v>
      </c>
      <c r="AA1331" t="n">
        <v>52.05</v>
      </c>
      <c r="AB1331" t="inlineStr">
        <is>
          <t>U1330</t>
        </is>
      </c>
      <c r="AC1331" t="inlineStr">
        <is>
          <t>SO</t>
        </is>
      </c>
      <c r="AD1331" t="n">
        <v>36.7</v>
      </c>
      <c r="AE1331" t="n">
        <v>61.9</v>
      </c>
      <c r="AF1331" t="n">
        <v>25.7</v>
      </c>
      <c r="AG1331" t="inlineStr">
        <is>
          <t>1:25.7</t>
        </is>
      </c>
      <c r="AH1331" t="inlineStr">
        <is>
          <t>7%</t>
        </is>
      </c>
      <c r="AI1331" t="n">
        <v>26.1</v>
      </c>
      <c r="AJ1331" t="n">
        <v>47.34</v>
      </c>
    </row>
    <row r="1332">
      <c r="A1332" t="inlineStr">
        <is>
          <t>Stevens Institute of Technology</t>
        </is>
      </c>
      <c r="B1332" t="inlineStr">
        <is>
          <t>United States</t>
        </is>
      </c>
      <c r="C1332" t="inlineStr">
        <is>
          <t>701-710</t>
        </is>
      </c>
      <c r="D1332" t="inlineStr"/>
      <c r="E1332" t="n">
        <v>2.6</v>
      </c>
      <c r="F1332" t="n">
        <v>4</v>
      </c>
      <c r="G1332" t="n">
        <v>5.2</v>
      </c>
      <c r="H1332" t="n">
        <v>41.7</v>
      </c>
      <c r="I1332" t="n">
        <v>53.2</v>
      </c>
      <c r="J1332" t="n">
        <v>96.40000000000001</v>
      </c>
      <c r="K1332" t="n">
        <v>18</v>
      </c>
      <c r="L1332" t="n">
        <v>7.8</v>
      </c>
      <c r="M1332" t="n">
        <v>1.3</v>
      </c>
      <c r="N1332" t="inlineStr">
        <is>
          <t>401–500</t>
        </is>
      </c>
      <c r="O1332" t="inlineStr">
        <is>
          <t>45.4–49.0</t>
        </is>
      </c>
      <c r="P1332" t="n">
        <v>26.9</v>
      </c>
      <c r="Q1332" t="n">
        <v>25.3</v>
      </c>
      <c r="R1332" t="n">
        <v>74.59999999999999</v>
      </c>
      <c r="S1332" t="n">
        <v>62.4</v>
      </c>
      <c r="T1332" t="n">
        <v>80.8</v>
      </c>
      <c r="U1332" t="inlineStr">
        <is>
          <t>6,393</t>
        </is>
      </c>
      <c r="V1332" t="n">
        <v>18.6</v>
      </c>
      <c r="W1332" t="inlineStr">
        <is>
          <t>30%</t>
        </is>
      </c>
      <c r="X1332" t="inlineStr">
        <is>
          <t>29 : 71</t>
        </is>
      </c>
      <c r="Y1332" t="n">
        <v>701</v>
      </c>
      <c r="Z1332" t="n">
        <v>401</v>
      </c>
      <c r="AA1332" t="n">
        <v>47.2</v>
      </c>
      <c r="AB1332" t="inlineStr">
        <is>
          <t>U1331</t>
        </is>
      </c>
      <c r="AC1332" t="inlineStr">
        <is>
          <t>UN</t>
        </is>
      </c>
      <c r="AD1332" t="n">
        <v>47.2</v>
      </c>
      <c r="AE1332" t="n">
        <v>41.7</v>
      </c>
      <c r="AF1332" t="n">
        <v>18.6</v>
      </c>
      <c r="AG1332" t="inlineStr">
        <is>
          <t>1:18.6</t>
        </is>
      </c>
      <c r="AH1332" t="inlineStr">
        <is>
          <t>30%</t>
        </is>
      </c>
      <c r="AI1332" t="n">
        <v>2.6</v>
      </c>
      <c r="AJ1332" t="n">
        <v>38.83</v>
      </c>
    </row>
    <row r="1333">
      <c r="A1333" t="inlineStr">
        <is>
          <t>Stockholm University</t>
        </is>
      </c>
      <c r="B1333" t="inlineStr">
        <is>
          <t>Sweden</t>
        </is>
      </c>
      <c r="C1333" t="inlineStr">
        <is>
          <t>128</t>
        </is>
      </c>
      <c r="D1333" t="n">
        <v>54.8</v>
      </c>
      <c r="E1333" t="n">
        <v>52.5</v>
      </c>
      <c r="F1333" t="n">
        <v>21</v>
      </c>
      <c r="G1333" t="n">
        <v>26.7</v>
      </c>
      <c r="H1333" t="n">
        <v>64.5</v>
      </c>
      <c r="I1333" t="n">
        <v>80.7</v>
      </c>
      <c r="J1333" t="n">
        <v>89.8</v>
      </c>
      <c r="K1333" t="n">
        <v>95.7</v>
      </c>
      <c r="L1333" t="n">
        <v>86.59999999999999</v>
      </c>
      <c r="M1333" t="n">
        <v>58.7</v>
      </c>
      <c r="N1333">
        <f>185</f>
        <v/>
      </c>
      <c r="O1333" t="inlineStr">
        <is>
          <t>59.6</t>
        </is>
      </c>
      <c r="P1333" t="n">
        <v>32.1</v>
      </c>
      <c r="Q1333" t="n">
        <v>49.6</v>
      </c>
      <c r="R1333" t="n">
        <v>91</v>
      </c>
      <c r="S1333" t="n">
        <v>59.2</v>
      </c>
      <c r="T1333" t="n">
        <v>81.2</v>
      </c>
      <c r="U1333" t="inlineStr">
        <is>
          <t>29,774</t>
        </is>
      </c>
      <c r="V1333" t="n">
        <v>20.3</v>
      </c>
      <c r="W1333" t="inlineStr">
        <is>
          <t>13%</t>
        </is>
      </c>
      <c r="X1333" t="inlineStr"/>
      <c r="Y1333" t="n">
        <v>128</v>
      </c>
      <c r="Z1333" t="n">
        <v>185</v>
      </c>
      <c r="AA1333" t="n">
        <v>59.6</v>
      </c>
      <c r="AB1333" t="inlineStr">
        <is>
          <t>U1332</t>
        </is>
      </c>
      <c r="AC1333" t="inlineStr">
        <is>
          <t>SW</t>
        </is>
      </c>
      <c r="AD1333" t="n">
        <v>54.8</v>
      </c>
      <c r="AE1333" t="n">
        <v>64.5</v>
      </c>
      <c r="AF1333" t="n">
        <v>20.3</v>
      </c>
      <c r="AG1333" t="inlineStr">
        <is>
          <t>1:20.3</t>
        </is>
      </c>
      <c r="AH1333" t="inlineStr">
        <is>
          <t>13%</t>
        </is>
      </c>
      <c r="AI1333" t="n">
        <v>52.5</v>
      </c>
      <c r="AJ1333" t="n">
        <v>58.57</v>
      </c>
    </row>
    <row r="1334">
      <c r="A1334" t="inlineStr">
        <is>
          <t>Stony Brook University</t>
        </is>
      </c>
      <c r="B1334" t="inlineStr">
        <is>
          <t>United States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>
        <is>
          <t>251–300</t>
        </is>
      </c>
      <c r="O1334" t="inlineStr">
        <is>
          <t>53.1–55.8</t>
        </is>
      </c>
      <c r="P1334" t="n">
        <v>43.6</v>
      </c>
      <c r="Q1334" t="n">
        <v>29.7</v>
      </c>
      <c r="R1334" t="n">
        <v>81.40000000000001</v>
      </c>
      <c r="S1334" t="n">
        <v>66.5</v>
      </c>
      <c r="T1334" t="n">
        <v>78.8</v>
      </c>
      <c r="U1334" t="inlineStr">
        <is>
          <t>25,825</t>
        </is>
      </c>
      <c r="V1334" t="n">
        <v>10.5</v>
      </c>
      <c r="W1334" t="inlineStr">
        <is>
          <t>19%</t>
        </is>
      </c>
      <c r="X1334" t="inlineStr">
        <is>
          <t>54 : 46</t>
        </is>
      </c>
      <c r="Y1334" t="inlineStr"/>
      <c r="Z1334" t="n">
        <v>251</v>
      </c>
      <c r="AA1334" t="n">
        <v>54.45</v>
      </c>
      <c r="AB1334" t="inlineStr">
        <is>
          <t>U1333</t>
        </is>
      </c>
      <c r="AC1334" t="inlineStr">
        <is>
          <t>UN</t>
        </is>
      </c>
      <c r="AD1334" t="n">
        <v>54.45</v>
      </c>
      <c r="AE1334" t="n">
        <v>81.40000000000001</v>
      </c>
      <c r="AF1334" t="n">
        <v>10.5</v>
      </c>
      <c r="AG1334" t="inlineStr">
        <is>
          <t>1:10.5</t>
        </is>
      </c>
      <c r="AH1334" t="inlineStr">
        <is>
          <t>19%</t>
        </is>
      </c>
      <c r="AI1334" t="inlineStr"/>
      <c r="AJ1334" t="n">
        <v>52.68</v>
      </c>
    </row>
    <row r="1335">
      <c r="A1335" t="inlineStr">
        <is>
          <t>Stony Brook University, State University of New York</t>
        </is>
      </c>
      <c r="B1335" t="inlineStr">
        <is>
          <t>United States</t>
        </is>
      </c>
      <c r="C1335" t="inlineStr">
        <is>
          <t>460</t>
        </is>
      </c>
      <c r="D1335" t="n">
        <v>26.2</v>
      </c>
      <c r="E1335" t="n">
        <v>18</v>
      </c>
      <c r="F1335" t="n">
        <v>7.3</v>
      </c>
      <c r="G1335" t="n">
        <v>32.2</v>
      </c>
      <c r="H1335" t="n">
        <v>23.6</v>
      </c>
      <c r="I1335" t="n">
        <v>34.7</v>
      </c>
      <c r="J1335" t="n">
        <v>43.5</v>
      </c>
      <c r="K1335" t="n">
        <v>76</v>
      </c>
      <c r="L1335" t="n">
        <v>21.2</v>
      </c>
      <c r="M1335" t="n">
        <v>79.09999999999999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n">
        <v>460</v>
      </c>
      <c r="Z1335" t="inlineStr"/>
      <c r="AA1335" t="inlineStr"/>
      <c r="AB1335" t="inlineStr">
        <is>
          <t>U1334</t>
        </is>
      </c>
      <c r="AC1335" t="inlineStr">
        <is>
          <t>UN</t>
        </is>
      </c>
      <c r="AD1335" t="n">
        <v>26.2</v>
      </c>
      <c r="AE1335" t="n">
        <v>23.6</v>
      </c>
      <c r="AF1335" t="inlineStr"/>
      <c r="AG1335" t="inlineStr"/>
      <c r="AH1335" t="inlineStr"/>
      <c r="AI1335" t="n">
        <v>18</v>
      </c>
      <c r="AJ1335" t="n">
        <v>20.54</v>
      </c>
    </row>
    <row r="1336">
      <c r="A1336" t="inlineStr">
        <is>
          <t>Suez Canal University</t>
        </is>
      </c>
      <c r="B1336" t="inlineStr">
        <is>
          <t>Egypt</t>
        </is>
      </c>
      <c r="C1336" t="inlineStr">
        <is>
          <t>1201-1400</t>
        </is>
      </c>
      <c r="D1336" t="inlineStr"/>
      <c r="E1336" t="n">
        <v>4.1</v>
      </c>
      <c r="F1336" t="n">
        <v>2.6</v>
      </c>
      <c r="G1336" t="n">
        <v>13.1</v>
      </c>
      <c r="H1336" t="n">
        <v>2.3</v>
      </c>
      <c r="I1336" t="n">
        <v>2.1</v>
      </c>
      <c r="J1336" t="n">
        <v>1.8</v>
      </c>
      <c r="K1336" t="n">
        <v>48.9</v>
      </c>
      <c r="L1336" t="n">
        <v>2.4</v>
      </c>
      <c r="M1336" t="n">
        <v>8.300000000000001</v>
      </c>
      <c r="N1336" t="inlineStr">
        <is>
          <t>1001–1200</t>
        </is>
      </c>
      <c r="O1336" t="inlineStr">
        <is>
          <t>28.3–32.6</t>
        </is>
      </c>
      <c r="P1336" t="n">
        <v>19.7</v>
      </c>
      <c r="Q1336" t="n">
        <v>8.800000000000001</v>
      </c>
      <c r="R1336" t="n">
        <v>57.6</v>
      </c>
      <c r="S1336" t="n">
        <v>28.3</v>
      </c>
      <c r="T1336" t="n">
        <v>50.6</v>
      </c>
      <c r="U1336" t="inlineStr">
        <is>
          <t>45,981</t>
        </is>
      </c>
      <c r="V1336" t="n">
        <v>13.1</v>
      </c>
      <c r="W1336" t="inlineStr">
        <is>
          <t>1%</t>
        </is>
      </c>
      <c r="X1336" t="inlineStr">
        <is>
          <t>52 : 48</t>
        </is>
      </c>
      <c r="Y1336" t="n">
        <v>1201</v>
      </c>
      <c r="Z1336" t="n">
        <v>1001</v>
      </c>
      <c r="AA1336" t="n">
        <v>30.45</v>
      </c>
      <c r="AB1336" t="inlineStr">
        <is>
          <t>U1335</t>
        </is>
      </c>
      <c r="AC1336" t="inlineStr">
        <is>
          <t>EG</t>
        </is>
      </c>
      <c r="AD1336" t="n">
        <v>30.45</v>
      </c>
      <c r="AE1336" t="n">
        <v>2.3</v>
      </c>
      <c r="AF1336" t="n">
        <v>13.1</v>
      </c>
      <c r="AG1336" t="inlineStr">
        <is>
          <t>1:13.1</t>
        </is>
      </c>
      <c r="AH1336" t="inlineStr">
        <is>
          <t>1%</t>
        </is>
      </c>
      <c r="AI1336" t="n">
        <v>4.1</v>
      </c>
      <c r="AJ1336" t="n">
        <v>10.94</v>
      </c>
    </row>
    <row r="1337">
      <c r="A1337" t="inlineStr">
        <is>
          <t>Suez University</t>
        </is>
      </c>
      <c r="B1337" t="inlineStr">
        <is>
          <t>Egypt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>
        <is>
          <t>1001–1200</t>
        </is>
      </c>
      <c r="O1337" t="inlineStr">
        <is>
          <t>28.3–32.6</t>
        </is>
      </c>
      <c r="P1337" t="n">
        <v>13</v>
      </c>
      <c r="Q1337" t="n">
        <v>8.300000000000001</v>
      </c>
      <c r="R1337" t="n">
        <v>70.90000000000001</v>
      </c>
      <c r="S1337" t="n">
        <v>24.4</v>
      </c>
      <c r="T1337" t="n">
        <v>48.9</v>
      </c>
      <c r="U1337" t="inlineStr">
        <is>
          <t>17,744</t>
        </is>
      </c>
      <c r="V1337" t="n">
        <v>20.3</v>
      </c>
      <c r="W1337" t="inlineStr">
        <is>
          <t>2%</t>
        </is>
      </c>
      <c r="X1337" t="inlineStr">
        <is>
          <t>54 : 46</t>
        </is>
      </c>
      <c r="Y1337" t="inlineStr"/>
      <c r="Z1337" t="n">
        <v>1001</v>
      </c>
      <c r="AA1337" t="n">
        <v>30.45</v>
      </c>
      <c r="AB1337" t="inlineStr">
        <is>
          <t>U1336</t>
        </is>
      </c>
      <c r="AC1337" t="inlineStr">
        <is>
          <t>EG</t>
        </is>
      </c>
      <c r="AD1337" t="n">
        <v>30.45</v>
      </c>
      <c r="AE1337" t="n">
        <v>70.90000000000001</v>
      </c>
      <c r="AF1337" t="n">
        <v>20.3</v>
      </c>
      <c r="AG1337" t="inlineStr">
        <is>
          <t>1:20.3</t>
        </is>
      </c>
      <c r="AH1337" t="inlineStr">
        <is>
          <t>2%</t>
        </is>
      </c>
      <c r="AI1337" t="inlineStr"/>
      <c r="AJ1337" t="n">
        <v>31.05</v>
      </c>
    </row>
    <row r="1338">
      <c r="A1338" t="inlineStr">
        <is>
          <t>Suleyman Demirel University</t>
        </is>
      </c>
      <c r="B1338" t="inlineStr">
        <is>
          <t>Turkey</t>
        </is>
      </c>
      <c r="C1338" t="inlineStr">
        <is>
          <t>1201-1400</t>
        </is>
      </c>
      <c r="D1338" t="inlineStr"/>
      <c r="E1338" t="n">
        <v>7.1</v>
      </c>
      <c r="F1338" t="n">
        <v>5.3</v>
      </c>
      <c r="G1338" t="n">
        <v>3.9</v>
      </c>
      <c r="H1338" t="n">
        <v>2.4</v>
      </c>
      <c r="I1338" t="n">
        <v>1.7</v>
      </c>
      <c r="J1338" t="n">
        <v>4.6</v>
      </c>
      <c r="K1338" t="n">
        <v>27.3</v>
      </c>
      <c r="L1338" t="n">
        <v>2</v>
      </c>
      <c r="M1338" t="n">
        <v>1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n">
        <v>1201</v>
      </c>
      <c r="Z1338" t="inlineStr"/>
      <c r="AA1338" t="inlineStr"/>
      <c r="AB1338" t="inlineStr">
        <is>
          <t>U1337</t>
        </is>
      </c>
      <c r="AC1338" t="inlineStr">
        <is>
          <t>TU</t>
        </is>
      </c>
      <c r="AD1338" t="inlineStr"/>
      <c r="AE1338" t="n">
        <v>2.4</v>
      </c>
      <c r="AF1338" t="inlineStr"/>
      <c r="AG1338" t="inlineStr"/>
      <c r="AH1338" t="inlineStr"/>
      <c r="AI1338" t="n">
        <v>7.1</v>
      </c>
      <c r="AJ1338" t="n">
        <v>14.12</v>
      </c>
    </row>
    <row r="1339">
      <c r="A1339" t="inlineStr">
        <is>
          <t>Suleyman Demirel University, Kazakhstan</t>
        </is>
      </c>
      <c r="B1339" t="inlineStr">
        <is>
          <t>Kazakhstan</t>
        </is>
      </c>
      <c r="C1339" t="inlineStr">
        <is>
          <t>1201-1400</t>
        </is>
      </c>
      <c r="D1339" t="inlineStr"/>
      <c r="E1339" t="n">
        <v>9</v>
      </c>
      <c r="F1339" t="n">
        <v>11</v>
      </c>
      <c r="G1339" t="n">
        <v>4.1</v>
      </c>
      <c r="H1339" t="n">
        <v>1.3</v>
      </c>
      <c r="I1339" t="n">
        <v>6.2</v>
      </c>
      <c r="J1339" t="n">
        <v>2</v>
      </c>
      <c r="K1339" t="n">
        <v>5.7</v>
      </c>
      <c r="L1339" t="n">
        <v>3.3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n">
        <v>1201</v>
      </c>
      <c r="Z1339" t="inlineStr"/>
      <c r="AA1339" t="inlineStr"/>
      <c r="AB1339" t="inlineStr">
        <is>
          <t>U1338</t>
        </is>
      </c>
      <c r="AC1339" t="inlineStr">
        <is>
          <t>KA</t>
        </is>
      </c>
      <c r="AD1339" t="inlineStr"/>
      <c r="AE1339" t="n">
        <v>1.3</v>
      </c>
      <c r="AF1339" t="inlineStr"/>
      <c r="AG1339" t="inlineStr"/>
      <c r="AH1339" t="inlineStr"/>
      <c r="AI1339" t="n">
        <v>9</v>
      </c>
      <c r="AJ1339" t="n">
        <v>13.78</v>
      </c>
    </row>
    <row r="1340">
      <c r="A1340" t="inlineStr">
        <is>
          <t>Sultan Qaboos University</t>
        </is>
      </c>
      <c r="B1340" t="inlineStr">
        <is>
          <t>Oman</t>
        </is>
      </c>
      <c r="C1340" t="inlineStr">
        <is>
          <t>362</t>
        </is>
      </c>
      <c r="D1340" t="n">
        <v>31.7</v>
      </c>
      <c r="E1340" t="n">
        <v>18.6</v>
      </c>
      <c r="F1340" t="n">
        <v>17.1</v>
      </c>
      <c r="G1340" t="n">
        <v>55.6</v>
      </c>
      <c r="H1340" t="n">
        <v>21.9</v>
      </c>
      <c r="I1340" t="n">
        <v>100</v>
      </c>
      <c r="J1340" t="n">
        <v>3.2</v>
      </c>
      <c r="K1340" t="n">
        <v>78.8</v>
      </c>
      <c r="L1340" t="n">
        <v>51.5</v>
      </c>
      <c r="M1340" t="n">
        <v>55.4</v>
      </c>
      <c r="N1340" t="inlineStr">
        <is>
          <t>601–800</t>
        </is>
      </c>
      <c r="O1340" t="inlineStr">
        <is>
          <t>37.0–41.8</t>
        </is>
      </c>
      <c r="P1340" t="n">
        <v>28.1</v>
      </c>
      <c r="Q1340" t="n">
        <v>22.2</v>
      </c>
      <c r="R1340" t="n">
        <v>62.3</v>
      </c>
      <c r="S1340" t="n">
        <v>35.7</v>
      </c>
      <c r="T1340" t="n">
        <v>74</v>
      </c>
      <c r="U1340" t="inlineStr">
        <is>
          <t>7,512</t>
        </is>
      </c>
      <c r="V1340" t="n">
        <v>9.199999999999999</v>
      </c>
      <c r="W1340" t="inlineStr">
        <is>
          <t>4%</t>
        </is>
      </c>
      <c r="X1340" t="inlineStr">
        <is>
          <t>50 : 50</t>
        </is>
      </c>
      <c r="Y1340" t="n">
        <v>362</v>
      </c>
      <c r="Z1340" t="n">
        <v>601</v>
      </c>
      <c r="AA1340" t="n">
        <v>39.4</v>
      </c>
      <c r="AB1340" t="inlineStr">
        <is>
          <t>U1339</t>
        </is>
      </c>
      <c r="AC1340" t="inlineStr">
        <is>
          <t>OM</t>
        </is>
      </c>
      <c r="AD1340" t="n">
        <v>31.7</v>
      </c>
      <c r="AE1340" t="n">
        <v>21.9</v>
      </c>
      <c r="AF1340" t="n">
        <v>9.199999999999999</v>
      </c>
      <c r="AG1340" t="inlineStr">
        <is>
          <t>1:9.2</t>
        </is>
      </c>
      <c r="AH1340" t="inlineStr">
        <is>
          <t>4%</t>
        </is>
      </c>
      <c r="AI1340" t="n">
        <v>18.6</v>
      </c>
      <c r="AJ1340" t="n">
        <v>29.56</v>
      </c>
    </row>
    <row r="1341">
      <c r="A1341" t="inlineStr">
        <is>
          <t>Sumy State University</t>
        </is>
      </c>
      <c r="B1341" t="inlineStr">
        <is>
          <t>Ukraine</t>
        </is>
      </c>
      <c r="C1341" t="inlineStr">
        <is>
          <t>1001-1200</t>
        </is>
      </c>
      <c r="D1341" t="inlineStr"/>
      <c r="E1341" t="n">
        <v>5.8</v>
      </c>
      <c r="F1341" t="n">
        <v>5.3</v>
      </c>
      <c r="G1341" t="n">
        <v>35.1</v>
      </c>
      <c r="H1341" t="n">
        <v>2.5</v>
      </c>
      <c r="I1341" t="n">
        <v>3.1</v>
      </c>
      <c r="J1341" t="n">
        <v>40.5</v>
      </c>
      <c r="K1341" t="n">
        <v>28.9</v>
      </c>
      <c r="L1341" t="n">
        <v>3.8</v>
      </c>
      <c r="M1341" t="n">
        <v>7.5</v>
      </c>
      <c r="N1341" t="inlineStr">
        <is>
          <t>401–500</t>
        </is>
      </c>
      <c r="O1341" t="inlineStr">
        <is>
          <t>45.4–49.0</t>
        </is>
      </c>
      <c r="P1341" t="n">
        <v>24.3</v>
      </c>
      <c r="Q1341" t="n">
        <v>13.5</v>
      </c>
      <c r="R1341" t="n">
        <v>68.90000000000001</v>
      </c>
      <c r="S1341" t="n">
        <v>20</v>
      </c>
      <c r="T1341" t="n">
        <v>63.2</v>
      </c>
      <c r="U1341" t="inlineStr">
        <is>
          <t>8,449</t>
        </is>
      </c>
      <c r="V1341" t="n">
        <v>12</v>
      </c>
      <c r="W1341" t="inlineStr">
        <is>
          <t>24%</t>
        </is>
      </c>
      <c r="X1341" t="inlineStr">
        <is>
          <t>45 : 55</t>
        </is>
      </c>
      <c r="Y1341" t="n">
        <v>1001</v>
      </c>
      <c r="Z1341" t="n">
        <v>401</v>
      </c>
      <c r="AA1341" t="n">
        <v>47.2</v>
      </c>
      <c r="AB1341" t="inlineStr">
        <is>
          <t>U1340</t>
        </is>
      </c>
      <c r="AC1341" t="inlineStr">
        <is>
          <t>UK</t>
        </is>
      </c>
      <c r="AD1341" t="n">
        <v>47.2</v>
      </c>
      <c r="AE1341" t="n">
        <v>2.5</v>
      </c>
      <c r="AF1341" t="n">
        <v>12</v>
      </c>
      <c r="AG1341" t="inlineStr">
        <is>
          <t>1:12.0</t>
        </is>
      </c>
      <c r="AH1341" t="inlineStr">
        <is>
          <t>24%</t>
        </is>
      </c>
      <c r="AI1341" t="n">
        <v>5.8</v>
      </c>
      <c r="AJ1341" t="n">
        <v>16.51</v>
      </c>
    </row>
    <row r="1342">
      <c r="A1342" t="inlineStr">
        <is>
          <t>Sun Yat-sen University</t>
        </is>
      </c>
      <c r="B1342" t="inlineStr">
        <is>
          <t>China</t>
        </is>
      </c>
      <c r="C1342" t="inlineStr">
        <is>
          <t>331</t>
        </is>
      </c>
      <c r="D1342" t="n">
        <v>33.7</v>
      </c>
      <c r="E1342" t="n">
        <v>31.8</v>
      </c>
      <c r="F1342" t="n">
        <v>28.8</v>
      </c>
      <c r="G1342" t="n">
        <v>46.4</v>
      </c>
      <c r="H1342" t="n">
        <v>49.5</v>
      </c>
      <c r="I1342" t="n">
        <v>2.2</v>
      </c>
      <c r="J1342" t="n">
        <v>3.6</v>
      </c>
      <c r="K1342" t="n">
        <v>77.40000000000001</v>
      </c>
      <c r="L1342" t="n">
        <v>21.4</v>
      </c>
      <c r="M1342" t="n">
        <v>15.9</v>
      </c>
      <c r="N1342" t="inlineStr">
        <is>
          <t>201–250</t>
        </is>
      </c>
      <c r="O1342" t="inlineStr">
        <is>
          <t>55.9–58.6</t>
        </is>
      </c>
      <c r="P1342" t="n">
        <v>46.6</v>
      </c>
      <c r="Q1342" t="n">
        <v>39.5</v>
      </c>
      <c r="R1342" t="n">
        <v>83.2</v>
      </c>
      <c r="S1342" t="n">
        <v>86.2</v>
      </c>
      <c r="T1342" t="n">
        <v>39.1</v>
      </c>
      <c r="U1342" t="inlineStr">
        <is>
          <t>61,453</t>
        </is>
      </c>
      <c r="V1342" t="n">
        <v>15.2</v>
      </c>
      <c r="W1342" t="inlineStr">
        <is>
          <t>5%</t>
        </is>
      </c>
      <c r="X1342" t="inlineStr">
        <is>
          <t>48 : 52</t>
        </is>
      </c>
      <c r="Y1342" t="n">
        <v>331</v>
      </c>
      <c r="Z1342" t="n">
        <v>201</v>
      </c>
      <c r="AA1342" t="n">
        <v>57.25</v>
      </c>
      <c r="AB1342" t="inlineStr">
        <is>
          <t>U1341</t>
        </is>
      </c>
      <c r="AC1342" t="inlineStr">
        <is>
          <t>CH</t>
        </is>
      </c>
      <c r="AD1342" t="n">
        <v>33.7</v>
      </c>
      <c r="AE1342" t="n">
        <v>49.5</v>
      </c>
      <c r="AF1342" t="n">
        <v>15.2</v>
      </c>
      <c r="AG1342" t="inlineStr">
        <is>
          <t>1:15.2</t>
        </is>
      </c>
      <c r="AH1342" t="inlineStr">
        <is>
          <t>5%</t>
        </is>
      </c>
      <c r="AI1342" t="n">
        <v>31.8</v>
      </c>
      <c r="AJ1342" t="n">
        <v>38.55</v>
      </c>
    </row>
    <row r="1343">
      <c r="A1343" t="inlineStr">
        <is>
          <t>Sungkyunkwan University(SKKU)</t>
        </is>
      </c>
      <c r="B1343" t="inlineStr">
        <is>
          <t>South Korea</t>
        </is>
      </c>
      <c r="C1343" t="inlineStr">
        <is>
          <t>123</t>
        </is>
      </c>
      <c r="D1343" t="n">
        <v>55.5</v>
      </c>
      <c r="E1343" t="n">
        <v>57.9</v>
      </c>
      <c r="F1343" t="n">
        <v>70.7</v>
      </c>
      <c r="G1343" t="n">
        <v>80.5</v>
      </c>
      <c r="H1343" t="n">
        <v>41.3</v>
      </c>
      <c r="I1343" t="n">
        <v>17.5</v>
      </c>
      <c r="J1343" t="n">
        <v>41.7</v>
      </c>
      <c r="K1343" t="n">
        <v>54.2</v>
      </c>
      <c r="L1343" t="n">
        <v>36.5</v>
      </c>
      <c r="M1343" t="n">
        <v>79.09999999999999</v>
      </c>
      <c r="N1343">
        <f>145</f>
        <v/>
      </c>
      <c r="O1343" t="inlineStr">
        <is>
          <t>62.5</t>
        </is>
      </c>
      <c r="P1343" t="n">
        <v>55.5</v>
      </c>
      <c r="Q1343" t="n">
        <v>54.2</v>
      </c>
      <c r="R1343" t="n">
        <v>72.90000000000001</v>
      </c>
      <c r="S1343" t="n">
        <v>98.8</v>
      </c>
      <c r="T1343" t="n">
        <v>61.3</v>
      </c>
      <c r="U1343" t="inlineStr">
        <is>
          <t>23,402</t>
        </is>
      </c>
      <c r="V1343" t="n">
        <v>19.4</v>
      </c>
      <c r="W1343" t="inlineStr">
        <is>
          <t>19%</t>
        </is>
      </c>
      <c r="X1343" t="inlineStr"/>
      <c r="Y1343" t="n">
        <v>123</v>
      </c>
      <c r="Z1343" t="n">
        <v>145</v>
      </c>
      <c r="AA1343" t="n">
        <v>62.5</v>
      </c>
      <c r="AB1343" t="inlineStr">
        <is>
          <t>U1342</t>
        </is>
      </c>
      <c r="AC1343" t="inlineStr">
        <is>
          <t>SO</t>
        </is>
      </c>
      <c r="AD1343" t="n">
        <v>55.5</v>
      </c>
      <c r="AE1343" t="n">
        <v>41.3</v>
      </c>
      <c r="AF1343" t="n">
        <v>19.4</v>
      </c>
      <c r="AG1343" t="inlineStr">
        <is>
          <t>1:19.4</t>
        </is>
      </c>
      <c r="AH1343" t="inlineStr">
        <is>
          <t>19%</t>
        </is>
      </c>
      <c r="AI1343" t="n">
        <v>57.9</v>
      </c>
      <c r="AJ1343" t="n">
        <v>49.14</v>
      </c>
    </row>
    <row r="1344">
      <c r="A1344" t="inlineStr">
        <is>
          <t>Sungshin Women's University</t>
        </is>
      </c>
      <c r="B1344" t="inlineStr">
        <is>
          <t>South Korea</t>
        </is>
      </c>
      <c r="C1344" t="inlineStr">
        <is>
          <t>1001-1200</t>
        </is>
      </c>
      <c r="D1344" t="inlineStr"/>
      <c r="E1344" t="n">
        <v>5.6</v>
      </c>
      <c r="F1344" t="n">
        <v>8.300000000000001</v>
      </c>
      <c r="G1344" t="n">
        <v>81.90000000000001</v>
      </c>
      <c r="H1344" t="n">
        <v>1.2</v>
      </c>
      <c r="I1344" t="n">
        <v>2.7</v>
      </c>
      <c r="J1344" t="n">
        <v>4.3</v>
      </c>
      <c r="K1344" t="n">
        <v>4.2</v>
      </c>
      <c r="L1344" t="n">
        <v>1.7</v>
      </c>
      <c r="M1344" t="n">
        <v>1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n">
        <v>1001</v>
      </c>
      <c r="Z1344" t="inlineStr"/>
      <c r="AA1344" t="inlineStr"/>
      <c r="AB1344" t="inlineStr">
        <is>
          <t>U1343</t>
        </is>
      </c>
      <c r="AC1344" t="inlineStr">
        <is>
          <t>SO</t>
        </is>
      </c>
      <c r="AD1344" t="inlineStr"/>
      <c r="AE1344" t="n">
        <v>1.2</v>
      </c>
      <c r="AF1344" t="inlineStr"/>
      <c r="AG1344" t="inlineStr"/>
      <c r="AH1344" t="inlineStr"/>
      <c r="AI1344" t="n">
        <v>5.6</v>
      </c>
      <c r="AJ1344" t="n">
        <v>13.75</v>
      </c>
    </row>
    <row r="1345">
      <c r="A1345" t="inlineStr">
        <is>
          <t>Sunway University</t>
        </is>
      </c>
      <c r="B1345" t="inlineStr">
        <is>
          <t>Malaysia</t>
        </is>
      </c>
      <c r="C1345" t="inlineStr">
        <is>
          <t>539</t>
        </is>
      </c>
      <c r="D1345" t="n">
        <v>22.8</v>
      </c>
      <c r="E1345" t="n">
        <v>13</v>
      </c>
      <c r="F1345" t="n">
        <v>39.2</v>
      </c>
      <c r="G1345" t="n">
        <v>44</v>
      </c>
      <c r="H1345" t="n">
        <v>10.3</v>
      </c>
      <c r="I1345" t="n">
        <v>35.9</v>
      </c>
      <c r="J1345" t="n">
        <v>33.2</v>
      </c>
      <c r="K1345" t="n">
        <v>51.1</v>
      </c>
      <c r="L1345" t="n">
        <v>3.9</v>
      </c>
      <c r="M1345" t="n">
        <v>27.3</v>
      </c>
      <c r="N1345" t="inlineStr">
        <is>
          <t>601–800</t>
        </is>
      </c>
      <c r="O1345" t="inlineStr">
        <is>
          <t>37.0–41.8</t>
        </is>
      </c>
      <c r="P1345" t="n">
        <v>24.7</v>
      </c>
      <c r="Q1345" t="n">
        <v>14.6</v>
      </c>
      <c r="R1345" t="n">
        <v>71.7</v>
      </c>
      <c r="S1345" t="n">
        <v>17.2</v>
      </c>
      <c r="T1345" t="n">
        <v>78.3</v>
      </c>
      <c r="U1345" t="inlineStr">
        <is>
          <t>4,350</t>
        </is>
      </c>
      <c r="V1345" t="n">
        <v>8.1</v>
      </c>
      <c r="W1345" t="inlineStr">
        <is>
          <t>14%</t>
        </is>
      </c>
      <c r="X1345" t="inlineStr">
        <is>
          <t>52 : 48</t>
        </is>
      </c>
      <c r="Y1345" t="n">
        <v>539</v>
      </c>
      <c r="Z1345" t="n">
        <v>601</v>
      </c>
      <c r="AA1345" t="n">
        <v>39.4</v>
      </c>
      <c r="AB1345" t="inlineStr">
        <is>
          <t>U1344</t>
        </is>
      </c>
      <c r="AC1345" t="inlineStr">
        <is>
          <t>MA</t>
        </is>
      </c>
      <c r="AD1345" t="n">
        <v>22.8</v>
      </c>
      <c r="AE1345" t="n">
        <v>10.3</v>
      </c>
      <c r="AF1345" t="n">
        <v>8.1</v>
      </c>
      <c r="AG1345" t="inlineStr">
        <is>
          <t>1:8.1</t>
        </is>
      </c>
      <c r="AH1345" t="inlineStr">
        <is>
          <t>14%</t>
        </is>
      </c>
      <c r="AI1345" t="n">
        <v>13</v>
      </c>
      <c r="AJ1345" t="n">
        <v>23.1</v>
      </c>
    </row>
    <row r="1346">
      <c r="A1346" t="inlineStr">
        <is>
          <t>SUNY Binghamton University</t>
        </is>
      </c>
      <c r="B1346" t="inlineStr">
        <is>
          <t>United States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>
        <is>
          <t>601–800</t>
        </is>
      </c>
      <c r="O1346" t="inlineStr">
        <is>
          <t>37.0–41.8</t>
        </is>
      </c>
      <c r="P1346" t="n">
        <v>30.7</v>
      </c>
      <c r="Q1346" t="n">
        <v>22</v>
      </c>
      <c r="R1346" t="n">
        <v>61.1</v>
      </c>
      <c r="S1346" t="n">
        <v>62.8</v>
      </c>
      <c r="T1346" t="n">
        <v>42.7</v>
      </c>
      <c r="U1346" t="inlineStr">
        <is>
          <t>18,976</t>
        </is>
      </c>
      <c r="V1346" t="n">
        <v>22.1</v>
      </c>
      <c r="W1346" t="inlineStr">
        <is>
          <t>8%</t>
        </is>
      </c>
      <c r="X1346" t="inlineStr">
        <is>
          <t>52 : 48</t>
        </is>
      </c>
      <c r="Y1346" t="inlineStr"/>
      <c r="Z1346" t="n">
        <v>601</v>
      </c>
      <c r="AA1346" t="n">
        <v>39.4</v>
      </c>
      <c r="AB1346" t="inlineStr">
        <is>
          <t>U1345</t>
        </is>
      </c>
      <c r="AC1346" t="inlineStr">
        <is>
          <t>UN</t>
        </is>
      </c>
      <c r="AD1346" t="n">
        <v>39.4</v>
      </c>
      <c r="AE1346" t="n">
        <v>61.1</v>
      </c>
      <c r="AF1346" t="n">
        <v>22.1</v>
      </c>
      <c r="AG1346" t="inlineStr">
        <is>
          <t>1:22.1</t>
        </is>
      </c>
      <c r="AH1346" t="inlineStr">
        <is>
          <t>8%</t>
        </is>
      </c>
      <c r="AI1346" t="inlineStr"/>
      <c r="AJ1346" t="n">
        <v>33.76</v>
      </c>
    </row>
    <row r="1347">
      <c r="A1347" t="inlineStr">
        <is>
          <t xml:space="preserve">Suranaree University of Technology </t>
        </is>
      </c>
      <c r="B1347" t="inlineStr">
        <is>
          <t>Thailand</t>
        </is>
      </c>
      <c r="C1347" t="inlineStr">
        <is>
          <t>1201-1400</t>
        </is>
      </c>
      <c r="D1347" t="inlineStr"/>
      <c r="E1347" t="n">
        <v>6.4</v>
      </c>
      <c r="F1347" t="n">
        <v>2.8</v>
      </c>
      <c r="G1347" t="n">
        <v>3.7</v>
      </c>
      <c r="H1347" t="n">
        <v>9.6</v>
      </c>
      <c r="I1347" t="n">
        <v>5.8</v>
      </c>
      <c r="J1347" t="n">
        <v>1.6</v>
      </c>
      <c r="K1347" t="n">
        <v>30</v>
      </c>
      <c r="L1347" t="n">
        <v>2.7</v>
      </c>
      <c r="M1347" t="n">
        <v>1.3</v>
      </c>
      <c r="N1347" t="inlineStr">
        <is>
          <t>1201–1500</t>
        </is>
      </c>
      <c r="O1347" t="inlineStr">
        <is>
          <t>22.8–28.2</t>
        </is>
      </c>
      <c r="P1347" t="n">
        <v>21.9</v>
      </c>
      <c r="Q1347" t="n">
        <v>20.9</v>
      </c>
      <c r="R1347" t="n">
        <v>27.7</v>
      </c>
      <c r="S1347" t="n">
        <v>54.9</v>
      </c>
      <c r="T1347" t="n">
        <v>37.9</v>
      </c>
      <c r="U1347" t="inlineStr">
        <is>
          <t>14,265</t>
        </is>
      </c>
      <c r="V1347" t="n">
        <v>26.2</v>
      </c>
      <c r="W1347" t="inlineStr">
        <is>
          <t>1%</t>
        </is>
      </c>
      <c r="X1347" t="inlineStr">
        <is>
          <t>54 : 46</t>
        </is>
      </c>
      <c r="Y1347" t="n">
        <v>1201</v>
      </c>
      <c r="Z1347" t="n">
        <v>1201</v>
      </c>
      <c r="AA1347" t="n">
        <v>25.5</v>
      </c>
      <c r="AB1347" t="inlineStr">
        <is>
          <t>U1346</t>
        </is>
      </c>
      <c r="AC1347" t="inlineStr">
        <is>
          <t>TH</t>
        </is>
      </c>
      <c r="AD1347" t="n">
        <v>25.5</v>
      </c>
      <c r="AE1347" t="n">
        <v>9.6</v>
      </c>
      <c r="AF1347" t="n">
        <v>26.2</v>
      </c>
      <c r="AG1347" t="inlineStr">
        <is>
          <t>1:26.2</t>
        </is>
      </c>
      <c r="AH1347" t="inlineStr">
        <is>
          <t>1%</t>
        </is>
      </c>
      <c r="AI1347" t="n">
        <v>6.4</v>
      </c>
      <c r="AJ1347" t="n">
        <v>16.42</v>
      </c>
    </row>
    <row r="1348">
      <c r="A1348" t="inlineStr">
        <is>
          <t>Swansea University</t>
        </is>
      </c>
      <c r="B1348" t="inlineStr">
        <is>
          <t>United Kingdom</t>
        </is>
      </c>
      <c r="C1348" t="inlineStr">
        <is>
          <t>298</t>
        </is>
      </c>
      <c r="D1348" t="n">
        <v>36.5</v>
      </c>
      <c r="E1348" t="n">
        <v>23.1</v>
      </c>
      <c r="F1348" t="n">
        <v>43.1</v>
      </c>
      <c r="G1348" t="n">
        <v>25.1</v>
      </c>
      <c r="H1348" t="n">
        <v>27.9</v>
      </c>
      <c r="I1348" t="n">
        <v>71</v>
      </c>
      <c r="J1348" t="n">
        <v>59.6</v>
      </c>
      <c r="K1348" t="n">
        <v>82.3</v>
      </c>
      <c r="L1348" t="n">
        <v>8.300000000000001</v>
      </c>
      <c r="M1348" t="n">
        <v>91.8</v>
      </c>
      <c r="N1348" t="inlineStr">
        <is>
          <t>251–300</t>
        </is>
      </c>
      <c r="O1348" t="inlineStr">
        <is>
          <t>53.1–55.8</t>
        </is>
      </c>
      <c r="P1348" t="n">
        <v>27.6</v>
      </c>
      <c r="Q1348" t="n">
        <v>30.2</v>
      </c>
      <c r="R1348" t="n">
        <v>89.7</v>
      </c>
      <c r="S1348" t="n">
        <v>62.8</v>
      </c>
      <c r="T1348" t="n">
        <v>89.5</v>
      </c>
      <c r="U1348" t="inlineStr">
        <is>
          <t>18,505</t>
        </is>
      </c>
      <c r="V1348" t="n">
        <v>16.8</v>
      </c>
      <c r="W1348" t="inlineStr">
        <is>
          <t>21%</t>
        </is>
      </c>
      <c r="X1348" t="inlineStr">
        <is>
          <t>47 : 53</t>
        </is>
      </c>
      <c r="Y1348" t="n">
        <v>298</v>
      </c>
      <c r="Z1348" t="n">
        <v>251</v>
      </c>
      <c r="AA1348" t="n">
        <v>54.45</v>
      </c>
      <c r="AB1348" t="inlineStr">
        <is>
          <t>U1347</t>
        </is>
      </c>
      <c r="AC1348" t="inlineStr">
        <is>
          <t>UN</t>
        </is>
      </c>
      <c r="AD1348" t="n">
        <v>36.5</v>
      </c>
      <c r="AE1348" t="n">
        <v>27.9</v>
      </c>
      <c r="AF1348" t="n">
        <v>16.8</v>
      </c>
      <c r="AG1348" t="inlineStr">
        <is>
          <t>1:16.8</t>
        </is>
      </c>
      <c r="AH1348" t="inlineStr">
        <is>
          <t>21%</t>
        </is>
      </c>
      <c r="AI1348" t="n">
        <v>23.1</v>
      </c>
      <c r="AJ1348" t="n">
        <v>39.32</v>
      </c>
    </row>
    <row r="1349">
      <c r="A1349" t="inlineStr">
        <is>
          <t>Swarthmore College</t>
        </is>
      </c>
      <c r="B1349" t="inlineStr">
        <is>
          <t>United States</t>
        </is>
      </c>
      <c r="C1349" t="inlineStr">
        <is>
          <t>851-900</t>
        </is>
      </c>
      <c r="D1349" t="inlineStr"/>
      <c r="E1349" t="n">
        <v>3.4</v>
      </c>
      <c r="F1349" t="n">
        <v>2.4</v>
      </c>
      <c r="G1349" t="n">
        <v>88.8</v>
      </c>
      <c r="H1349" t="n">
        <v>11.7</v>
      </c>
      <c r="I1349" t="n">
        <v>8.699999999999999</v>
      </c>
      <c r="J1349" t="n">
        <v>21.6</v>
      </c>
      <c r="K1349" t="n">
        <v>12.3</v>
      </c>
      <c r="L1349" t="n">
        <v>15.2</v>
      </c>
      <c r="M1349" t="n">
        <v>1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n">
        <v>851</v>
      </c>
      <c r="Z1349" t="inlineStr"/>
      <c r="AA1349" t="inlineStr"/>
      <c r="AB1349" t="inlineStr">
        <is>
          <t>U1348</t>
        </is>
      </c>
      <c r="AC1349" t="inlineStr">
        <is>
          <t>UN</t>
        </is>
      </c>
      <c r="AD1349" t="inlineStr"/>
      <c r="AE1349" t="n">
        <v>11.7</v>
      </c>
      <c r="AF1349" t="inlineStr"/>
      <c r="AG1349" t="inlineStr"/>
      <c r="AH1349" t="inlineStr"/>
      <c r="AI1349" t="n">
        <v>3.4</v>
      </c>
      <c r="AJ1349" t="n">
        <v>16.93</v>
      </c>
    </row>
    <row r="1350">
      <c r="A1350" t="inlineStr">
        <is>
          <t>Swedish University of Agricultural Sciences</t>
        </is>
      </c>
      <c r="B1350" t="inlineStr">
        <is>
          <t>Sweden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>
        <is>
          <t>301–350</t>
        </is>
      </c>
      <c r="O1350" t="inlineStr">
        <is>
          <t>51.1–53.0</t>
        </is>
      </c>
      <c r="P1350" t="n">
        <v>34.7</v>
      </c>
      <c r="Q1350" t="n">
        <v>34.9</v>
      </c>
      <c r="R1350" t="n">
        <v>78.8</v>
      </c>
      <c r="S1350" t="n">
        <v>85.40000000000001</v>
      </c>
      <c r="T1350" t="n">
        <v>54.4</v>
      </c>
      <c r="U1350" t="inlineStr">
        <is>
          <t>4,437</t>
        </is>
      </c>
      <c r="V1350" t="n">
        <v>4.7</v>
      </c>
      <c r="W1350" t="inlineStr">
        <is>
          <t>8%</t>
        </is>
      </c>
      <c r="X1350" t="inlineStr">
        <is>
          <t>71 : 29</t>
        </is>
      </c>
      <c r="Y1350" t="inlineStr"/>
      <c r="Z1350" t="n">
        <v>301</v>
      </c>
      <c r="AA1350" t="n">
        <v>52.05</v>
      </c>
      <c r="AB1350" t="inlineStr">
        <is>
          <t>U1349</t>
        </is>
      </c>
      <c r="AC1350" t="inlineStr">
        <is>
          <t>SW</t>
        </is>
      </c>
      <c r="AD1350" t="n">
        <v>52.05</v>
      </c>
      <c r="AE1350" t="n">
        <v>78.8</v>
      </c>
      <c r="AF1350" t="n">
        <v>4.7</v>
      </c>
      <c r="AG1350" t="inlineStr">
        <is>
          <t>1:4.7</t>
        </is>
      </c>
      <c r="AH1350" t="inlineStr">
        <is>
          <t>8%</t>
        </is>
      </c>
      <c r="AI1350" t="inlineStr"/>
      <c r="AJ1350" t="n">
        <v>48.72</v>
      </c>
    </row>
    <row r="1351">
      <c r="A1351" t="inlineStr">
        <is>
          <t>Swinburne University of Technology</t>
        </is>
      </c>
      <c r="B1351" t="inlineStr">
        <is>
          <t>Australia</t>
        </is>
      </c>
      <c r="C1351" t="inlineStr">
        <is>
          <t>291</t>
        </is>
      </c>
      <c r="D1351" t="n">
        <v>37.1</v>
      </c>
      <c r="E1351" t="n">
        <v>13.9</v>
      </c>
      <c r="F1351" t="n">
        <v>11.4</v>
      </c>
      <c r="G1351" t="n">
        <v>12.4</v>
      </c>
      <c r="H1351" t="n">
        <v>86.5</v>
      </c>
      <c r="I1351" t="n">
        <v>94.90000000000001</v>
      </c>
      <c r="J1351" t="n">
        <v>77.3</v>
      </c>
      <c r="K1351" t="n">
        <v>66.09999999999999</v>
      </c>
      <c r="L1351" t="n">
        <v>13.9</v>
      </c>
      <c r="M1351" t="n">
        <v>15.4</v>
      </c>
      <c r="N1351" t="inlineStr">
        <is>
          <t>201–250</t>
        </is>
      </c>
      <c r="O1351" t="inlineStr">
        <is>
          <t>55.9–58.6</t>
        </is>
      </c>
      <c r="P1351" t="n">
        <v>31.7</v>
      </c>
      <c r="Q1351" t="n">
        <v>34</v>
      </c>
      <c r="R1351" t="n">
        <v>91.3</v>
      </c>
      <c r="S1351" t="n">
        <v>75.40000000000001</v>
      </c>
      <c r="T1351" t="n">
        <v>85.59999999999999</v>
      </c>
      <c r="U1351" t="inlineStr">
        <is>
          <t>14,324</t>
        </is>
      </c>
      <c r="V1351" t="n">
        <v>28.5</v>
      </c>
      <c r="W1351" t="inlineStr">
        <is>
          <t>24%</t>
        </is>
      </c>
      <c r="X1351" t="inlineStr">
        <is>
          <t>42 : 58</t>
        </is>
      </c>
      <c r="Y1351" t="n">
        <v>291</v>
      </c>
      <c r="Z1351" t="n">
        <v>201</v>
      </c>
      <c r="AA1351" t="n">
        <v>57.25</v>
      </c>
      <c r="AB1351" t="inlineStr">
        <is>
          <t>U1350</t>
        </is>
      </c>
      <c r="AC1351" t="inlineStr">
        <is>
          <t>AU</t>
        </is>
      </c>
      <c r="AD1351" t="n">
        <v>37.1</v>
      </c>
      <c r="AE1351" t="n">
        <v>86.5</v>
      </c>
      <c r="AF1351" t="n">
        <v>28.5</v>
      </c>
      <c r="AG1351" t="inlineStr">
        <is>
          <t>1:28.5</t>
        </is>
      </c>
      <c r="AH1351" t="inlineStr">
        <is>
          <t>24%</t>
        </is>
      </c>
      <c r="AI1351" t="n">
        <v>13.9</v>
      </c>
      <c r="AJ1351" t="n">
        <v>58.13</v>
      </c>
    </row>
    <row r="1352">
      <c r="A1352" t="inlineStr">
        <is>
          <t>SWPS University of Social Sciences and Humanities</t>
        </is>
      </c>
      <c r="B1352" t="inlineStr">
        <is>
          <t>Poland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>
        <is>
          <t>1001–1200</t>
        </is>
      </c>
      <c r="O1352" t="inlineStr">
        <is>
          <t>28.3–32.6</t>
        </is>
      </c>
      <c r="P1352" t="n">
        <v>12.8</v>
      </c>
      <c r="Q1352" t="n">
        <v>16.4</v>
      </c>
      <c r="R1352" t="n">
        <v>53</v>
      </c>
      <c r="S1352" t="n">
        <v>16.2</v>
      </c>
      <c r="T1352" t="n">
        <v>52.7</v>
      </c>
      <c r="U1352" t="inlineStr">
        <is>
          <t>15,863</t>
        </is>
      </c>
      <c r="V1352" t="n">
        <v>39</v>
      </c>
      <c r="W1352" t="inlineStr">
        <is>
          <t>7%</t>
        </is>
      </c>
      <c r="X1352" t="inlineStr">
        <is>
          <t>77 : 23</t>
        </is>
      </c>
      <c r="Y1352" t="inlineStr"/>
      <c r="Z1352" t="n">
        <v>1001</v>
      </c>
      <c r="AA1352" t="n">
        <v>30.45</v>
      </c>
      <c r="AB1352" t="inlineStr">
        <is>
          <t>U1351</t>
        </is>
      </c>
      <c r="AC1352" t="inlineStr">
        <is>
          <t>PO</t>
        </is>
      </c>
      <c r="AD1352" t="n">
        <v>30.45</v>
      </c>
      <c r="AE1352" t="n">
        <v>53</v>
      </c>
      <c r="AF1352" t="n">
        <v>39</v>
      </c>
      <c r="AG1352" t="inlineStr">
        <is>
          <t>1:39.0</t>
        </is>
      </c>
      <c r="AH1352" t="inlineStr">
        <is>
          <t>7%</t>
        </is>
      </c>
      <c r="AI1352" t="inlineStr"/>
      <c r="AJ1352" t="n">
        <v>30.79</v>
      </c>
    </row>
    <row r="1353">
      <c r="A1353" t="inlineStr">
        <is>
          <t>Symbiosis International (Deemed University)</t>
        </is>
      </c>
      <c r="B1353" t="inlineStr">
        <is>
          <t>India</t>
        </is>
      </c>
      <c r="C1353" t="inlineStr">
        <is>
          <t>641-650</t>
        </is>
      </c>
      <c r="D1353" t="inlineStr"/>
      <c r="E1353" t="n">
        <v>5.4</v>
      </c>
      <c r="F1353" t="n">
        <v>95.59999999999999</v>
      </c>
      <c r="G1353" t="n">
        <v>19.7</v>
      </c>
      <c r="H1353" t="n">
        <v>1.8</v>
      </c>
      <c r="I1353" t="n">
        <v>16.1</v>
      </c>
      <c r="J1353" t="n">
        <v>3.6</v>
      </c>
      <c r="K1353" t="n">
        <v>16.7</v>
      </c>
      <c r="L1353" t="n">
        <v>5.2</v>
      </c>
      <c r="M1353" t="n">
        <v>2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n">
        <v>641</v>
      </c>
      <c r="Z1353" t="inlineStr"/>
      <c r="AA1353" t="inlineStr"/>
      <c r="AB1353" t="inlineStr">
        <is>
          <t>U1352</t>
        </is>
      </c>
      <c r="AC1353" t="inlineStr">
        <is>
          <t>IN</t>
        </is>
      </c>
      <c r="AD1353" t="inlineStr"/>
      <c r="AE1353" t="n">
        <v>1.8</v>
      </c>
      <c r="AF1353" t="inlineStr"/>
      <c r="AG1353" t="inlineStr"/>
      <c r="AH1353" t="inlineStr"/>
      <c r="AI1353" t="n">
        <v>5.4</v>
      </c>
      <c r="AJ1353" t="n">
        <v>13.93</v>
      </c>
    </row>
    <row r="1354">
      <c r="A1354" t="inlineStr">
        <is>
          <t>Symbiosis International University</t>
        </is>
      </c>
      <c r="B1354" t="inlineStr">
        <is>
          <t>India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>
        <is>
          <t>1001–1200</t>
        </is>
      </c>
      <c r="O1354" t="inlineStr">
        <is>
          <t>28.3–32.6</t>
        </is>
      </c>
      <c r="P1354" t="n">
        <v>22.1</v>
      </c>
      <c r="Q1354" t="n">
        <v>12.1</v>
      </c>
      <c r="R1354" t="n">
        <v>62.7</v>
      </c>
      <c r="S1354" t="n">
        <v>18</v>
      </c>
      <c r="T1354" t="n">
        <v>40.8</v>
      </c>
      <c r="U1354" t="inlineStr">
        <is>
          <t>16,408</t>
        </is>
      </c>
      <c r="V1354" t="n">
        <v>13</v>
      </c>
      <c r="W1354" t="inlineStr">
        <is>
          <t>6%</t>
        </is>
      </c>
      <c r="X1354" t="inlineStr">
        <is>
          <t>48 : 52</t>
        </is>
      </c>
      <c r="Y1354" t="inlineStr"/>
      <c r="Z1354" t="n">
        <v>1001</v>
      </c>
      <c r="AA1354" t="n">
        <v>30.45</v>
      </c>
      <c r="AB1354" t="inlineStr">
        <is>
          <t>U1353</t>
        </is>
      </c>
      <c r="AC1354" t="inlineStr">
        <is>
          <t>IN</t>
        </is>
      </c>
      <c r="AD1354" t="n">
        <v>30.45</v>
      </c>
      <c r="AE1354" t="n">
        <v>62.7</v>
      </c>
      <c r="AF1354" t="n">
        <v>13</v>
      </c>
      <c r="AG1354" t="inlineStr">
        <is>
          <t>1:13.0</t>
        </is>
      </c>
      <c r="AH1354" t="inlineStr">
        <is>
          <t>6%</t>
        </is>
      </c>
      <c r="AI1354" t="inlineStr"/>
      <c r="AJ1354" t="n">
        <v>28.6</v>
      </c>
    </row>
    <row r="1355">
      <c r="A1355" t="inlineStr">
        <is>
          <t>Syracuse University</t>
        </is>
      </c>
      <c r="B1355" t="inlineStr">
        <is>
          <t>United States</t>
        </is>
      </c>
      <c r="C1355" t="inlineStr">
        <is>
          <t>801-850</t>
        </is>
      </c>
      <c r="D1355" t="inlineStr"/>
      <c r="E1355" t="n">
        <v>12.9</v>
      </c>
      <c r="F1355" t="n">
        <v>8.699999999999999</v>
      </c>
      <c r="G1355" t="n">
        <v>11.6</v>
      </c>
      <c r="H1355" t="n">
        <v>10.6</v>
      </c>
      <c r="I1355" t="n">
        <v>5.8</v>
      </c>
      <c r="J1355" t="n">
        <v>39.3</v>
      </c>
      <c r="K1355" t="n">
        <v>55.5</v>
      </c>
      <c r="L1355" t="n">
        <v>42.7</v>
      </c>
      <c r="M1355" t="n">
        <v>11.6</v>
      </c>
      <c r="N1355" t="inlineStr">
        <is>
          <t>401–500</t>
        </is>
      </c>
      <c r="O1355" t="inlineStr">
        <is>
          <t>45.4–49.0</t>
        </is>
      </c>
      <c r="P1355" t="n">
        <v>33.8</v>
      </c>
      <c r="Q1355" t="n">
        <v>28.2</v>
      </c>
      <c r="R1355" t="n">
        <v>73.3</v>
      </c>
      <c r="S1355" t="n">
        <v>72.7</v>
      </c>
      <c r="T1355" t="n">
        <v>56.5</v>
      </c>
      <c r="U1355" t="inlineStr">
        <is>
          <t>19,214</t>
        </is>
      </c>
      <c r="V1355" t="n">
        <v>14.1</v>
      </c>
      <c r="W1355" t="inlineStr">
        <is>
          <t>21%</t>
        </is>
      </c>
      <c r="X1355" t="inlineStr">
        <is>
          <t>53 : 47</t>
        </is>
      </c>
      <c r="Y1355" t="n">
        <v>801</v>
      </c>
      <c r="Z1355" t="n">
        <v>401</v>
      </c>
      <c r="AA1355" t="n">
        <v>47.2</v>
      </c>
      <c r="AB1355" t="inlineStr">
        <is>
          <t>U1354</t>
        </is>
      </c>
      <c r="AC1355" t="inlineStr">
        <is>
          <t>UN</t>
        </is>
      </c>
      <c r="AD1355" t="n">
        <v>47.2</v>
      </c>
      <c r="AE1355" t="n">
        <v>10.6</v>
      </c>
      <c r="AF1355" t="n">
        <v>14.1</v>
      </c>
      <c r="AG1355" t="inlineStr">
        <is>
          <t>1:14.1</t>
        </is>
      </c>
      <c r="AH1355" t="inlineStr">
        <is>
          <t>21%</t>
        </is>
      </c>
      <c r="AI1355" t="n">
        <v>12.9</v>
      </c>
      <c r="AJ1355" t="n">
        <v>25.05</v>
      </c>
    </row>
    <row r="1356">
      <c r="A1356" t="inlineStr">
        <is>
          <t>Széchenyi István University</t>
        </is>
      </c>
      <c r="B1356" t="inlineStr">
        <is>
          <t>Hungary</t>
        </is>
      </c>
      <c r="C1356" t="inlineStr">
        <is>
          <t>1001-1200</t>
        </is>
      </c>
      <c r="D1356" t="inlineStr"/>
      <c r="E1356" t="n">
        <v>9.199999999999999</v>
      </c>
      <c r="F1356" t="n">
        <v>31.2</v>
      </c>
      <c r="G1356" t="n">
        <v>25</v>
      </c>
      <c r="H1356" t="n">
        <v>1.6</v>
      </c>
      <c r="I1356" t="n">
        <v>3.4</v>
      </c>
      <c r="J1356" t="n">
        <v>6.7</v>
      </c>
      <c r="K1356" t="n">
        <v>7.4</v>
      </c>
      <c r="L1356" t="n">
        <v>3.9</v>
      </c>
      <c r="M1356" t="n">
        <v>3.5</v>
      </c>
      <c r="N1356" t="inlineStr">
        <is>
          <t>1501+</t>
        </is>
      </c>
      <c r="O1356" t="inlineStr">
        <is>
          <t>9.7–22.7</t>
        </is>
      </c>
      <c r="P1356" t="n">
        <v>19.1</v>
      </c>
      <c r="Q1356" t="n">
        <v>11.7</v>
      </c>
      <c r="R1356" t="n">
        <v>23.2</v>
      </c>
      <c r="S1356" t="n">
        <v>17.4</v>
      </c>
      <c r="T1356" t="n">
        <v>29.6</v>
      </c>
      <c r="U1356" t="inlineStr">
        <is>
          <t>9,573</t>
        </is>
      </c>
      <c r="V1356" t="n">
        <v>14.8</v>
      </c>
      <c r="W1356" t="inlineStr">
        <is>
          <t>5%</t>
        </is>
      </c>
      <c r="X1356" t="inlineStr">
        <is>
          <t>45 : 55</t>
        </is>
      </c>
      <c r="Y1356" t="n">
        <v>1001</v>
      </c>
      <c r="Z1356" t="n">
        <v>1501</v>
      </c>
      <c r="AA1356" t="n">
        <v>16.2</v>
      </c>
      <c r="AB1356" t="inlineStr">
        <is>
          <t>U1355</t>
        </is>
      </c>
      <c r="AC1356" t="inlineStr">
        <is>
          <t>HU</t>
        </is>
      </c>
      <c r="AD1356" t="n">
        <v>16.2</v>
      </c>
      <c r="AE1356" t="n">
        <v>1.6</v>
      </c>
      <c r="AF1356" t="n">
        <v>14.8</v>
      </c>
      <c r="AG1356" t="inlineStr">
        <is>
          <t>1:14.8</t>
        </is>
      </c>
      <c r="AH1356" t="inlineStr">
        <is>
          <t>5%</t>
        </is>
      </c>
      <c r="AI1356" t="n">
        <v>9.199999999999999</v>
      </c>
      <c r="AJ1356" t="n">
        <v>7.17</v>
      </c>
    </row>
    <row r="1357">
      <c r="A1357" t="inlineStr">
        <is>
          <t>Tabriz University of Medical Sciences</t>
        </is>
      </c>
      <c r="B1357" t="inlineStr">
        <is>
          <t>Iran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>
        <is>
          <t>501–600</t>
        </is>
      </c>
      <c r="O1357" t="inlineStr">
        <is>
          <t>41.9–45.3</t>
        </is>
      </c>
      <c r="P1357" t="n">
        <v>43</v>
      </c>
      <c r="Q1357" t="n">
        <v>15.1</v>
      </c>
      <c r="R1357" t="n">
        <v>73.09999999999999</v>
      </c>
      <c r="S1357" t="n">
        <v>29.9</v>
      </c>
      <c r="T1357" t="n">
        <v>30.2</v>
      </c>
      <c r="U1357" t="inlineStr">
        <is>
          <t>8,065</t>
        </is>
      </c>
      <c r="V1357" t="n">
        <v>9.300000000000001</v>
      </c>
      <c r="W1357" t="inlineStr">
        <is>
          <t>2%</t>
        </is>
      </c>
      <c r="X1357" t="inlineStr">
        <is>
          <t>54 : 46</t>
        </is>
      </c>
      <c r="Y1357" t="inlineStr"/>
      <c r="Z1357" t="n">
        <v>501</v>
      </c>
      <c r="AA1357" t="n">
        <v>43.59999999999999</v>
      </c>
      <c r="AB1357" t="inlineStr">
        <is>
          <t>U1356</t>
        </is>
      </c>
      <c r="AC1357" t="inlineStr">
        <is>
          <t>IR</t>
        </is>
      </c>
      <c r="AD1357" t="n">
        <v>43.59999999999999</v>
      </c>
      <c r="AE1357" t="n">
        <v>73.09999999999999</v>
      </c>
      <c r="AF1357" t="n">
        <v>9.300000000000001</v>
      </c>
      <c r="AG1357" t="inlineStr">
        <is>
          <t>1:9.3</t>
        </is>
      </c>
      <c r="AH1357" t="inlineStr">
        <is>
          <t>2%</t>
        </is>
      </c>
      <c r="AI1357" t="inlineStr"/>
      <c r="AJ1357" t="n">
        <v>30.76</v>
      </c>
    </row>
    <row r="1358">
      <c r="A1358" t="inlineStr">
        <is>
          <t>Taibah University</t>
        </is>
      </c>
      <c r="B1358" t="inlineStr">
        <is>
          <t>Saudi Arabia</t>
        </is>
      </c>
      <c r="C1358" t="inlineStr">
        <is>
          <t>1001-1200</t>
        </is>
      </c>
      <c r="D1358" t="inlineStr"/>
      <c r="E1358" t="n">
        <v>6.1</v>
      </c>
      <c r="F1358" t="n">
        <v>2.1</v>
      </c>
      <c r="G1358" t="n">
        <v>4.5</v>
      </c>
      <c r="H1358" t="n">
        <v>3.6</v>
      </c>
      <c r="I1358" t="n">
        <v>94.40000000000001</v>
      </c>
      <c r="J1358" t="n">
        <v>2</v>
      </c>
      <c r="K1358" t="n">
        <v>38.6</v>
      </c>
      <c r="L1358" t="n">
        <v>2</v>
      </c>
      <c r="M1358" t="n">
        <v>1.1</v>
      </c>
      <c r="N1358" t="inlineStr">
        <is>
          <t>1001–1200</t>
        </is>
      </c>
      <c r="O1358" t="inlineStr">
        <is>
          <t>28.3–32.6</t>
        </is>
      </c>
      <c r="P1358" t="n">
        <v>14.4</v>
      </c>
      <c r="Q1358" t="n">
        <v>10.2</v>
      </c>
      <c r="R1358" t="n">
        <v>54.2</v>
      </c>
      <c r="S1358" t="n">
        <v>18.5</v>
      </c>
      <c r="T1358" t="n">
        <v>76</v>
      </c>
      <c r="U1358" t="inlineStr">
        <is>
          <t>61,471</t>
        </is>
      </c>
      <c r="V1358" t="n">
        <v>24.4</v>
      </c>
      <c r="W1358" t="inlineStr">
        <is>
          <t>2%</t>
        </is>
      </c>
      <c r="X1358" t="inlineStr">
        <is>
          <t>61 : 39</t>
        </is>
      </c>
      <c r="Y1358" t="n">
        <v>1001</v>
      </c>
      <c r="Z1358" t="n">
        <v>1001</v>
      </c>
      <c r="AA1358" t="n">
        <v>30.45</v>
      </c>
      <c r="AB1358" t="inlineStr">
        <is>
          <t>U1357</t>
        </is>
      </c>
      <c r="AC1358" t="inlineStr">
        <is>
          <t>SA</t>
        </is>
      </c>
      <c r="AD1358" t="n">
        <v>30.45</v>
      </c>
      <c r="AE1358" t="n">
        <v>3.6</v>
      </c>
      <c r="AF1358" t="n">
        <v>24.4</v>
      </c>
      <c r="AG1358" t="inlineStr">
        <is>
          <t>1:24.4</t>
        </is>
      </c>
      <c r="AH1358" t="inlineStr">
        <is>
          <t>2%</t>
        </is>
      </c>
      <c r="AI1358" t="n">
        <v>6.1</v>
      </c>
      <c r="AJ1358" t="n">
        <v>18.21</v>
      </c>
    </row>
    <row r="1359">
      <c r="A1359" t="inlineStr">
        <is>
          <t>Taif University</t>
        </is>
      </c>
      <c r="B1359" t="inlineStr">
        <is>
          <t>Saudi Arabia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>
        <is>
          <t>501–600</t>
        </is>
      </c>
      <c r="O1359" t="inlineStr">
        <is>
          <t>41.9–45.3</t>
        </is>
      </c>
      <c r="P1359" t="n">
        <v>18.3</v>
      </c>
      <c r="Q1359" t="n">
        <v>17.8</v>
      </c>
      <c r="R1359" t="n">
        <v>84.09999999999999</v>
      </c>
      <c r="S1359" t="n">
        <v>20.9</v>
      </c>
      <c r="T1359" t="n">
        <v>75.59999999999999</v>
      </c>
      <c r="U1359" t="inlineStr">
        <is>
          <t>36,059</t>
        </is>
      </c>
      <c r="V1359" t="n">
        <v>19.4</v>
      </c>
      <c r="W1359" t="inlineStr">
        <is>
          <t>3%</t>
        </is>
      </c>
      <c r="X1359" t="inlineStr">
        <is>
          <t>55 : 45</t>
        </is>
      </c>
      <c r="Y1359" t="inlineStr"/>
      <c r="Z1359" t="n">
        <v>501</v>
      </c>
      <c r="AA1359" t="n">
        <v>43.59999999999999</v>
      </c>
      <c r="AB1359" t="inlineStr">
        <is>
          <t>U1358</t>
        </is>
      </c>
      <c r="AC1359" t="inlineStr">
        <is>
          <t>SA</t>
        </is>
      </c>
      <c r="AD1359" t="n">
        <v>43.59999999999999</v>
      </c>
      <c r="AE1359" t="n">
        <v>84.09999999999999</v>
      </c>
      <c r="AF1359" t="n">
        <v>19.4</v>
      </c>
      <c r="AG1359" t="inlineStr">
        <is>
          <t>1:19.4</t>
        </is>
      </c>
      <c r="AH1359" t="inlineStr">
        <is>
          <t>3%</t>
        </is>
      </c>
      <c r="AI1359" t="inlineStr"/>
      <c r="AJ1359" t="n">
        <v>46.49</v>
      </c>
    </row>
    <row r="1360">
      <c r="A1360" t="inlineStr">
        <is>
          <t>Taipei Medical University (TMU)</t>
        </is>
      </c>
      <c r="B1360" t="inlineStr">
        <is>
          <t>Taiwan</t>
        </is>
      </c>
      <c r="C1360" t="inlineStr">
        <is>
          <t>611-620</t>
        </is>
      </c>
      <c r="D1360" t="inlineStr"/>
      <c r="E1360" t="n">
        <v>10.6</v>
      </c>
      <c r="F1360" t="n">
        <v>12.5</v>
      </c>
      <c r="G1360" t="n">
        <v>90.40000000000001</v>
      </c>
      <c r="H1360" t="n">
        <v>18.9</v>
      </c>
      <c r="I1360" t="n">
        <v>16</v>
      </c>
      <c r="J1360" t="n">
        <v>13.7</v>
      </c>
      <c r="K1360" t="n">
        <v>22.9</v>
      </c>
      <c r="L1360" t="n">
        <v>8.1</v>
      </c>
      <c r="M1360" t="n">
        <v>8.300000000000001</v>
      </c>
      <c r="N1360" t="inlineStr">
        <is>
          <t>401–500</t>
        </is>
      </c>
      <c r="O1360" t="inlineStr">
        <is>
          <t>45.4–49.0</t>
        </is>
      </c>
      <c r="P1360" t="n">
        <v>47.4</v>
      </c>
      <c r="Q1360" t="n">
        <v>32.6</v>
      </c>
      <c r="R1360" t="n">
        <v>60.9</v>
      </c>
      <c r="S1360" t="n">
        <v>85.09999999999999</v>
      </c>
      <c r="T1360" t="n">
        <v>48.5</v>
      </c>
      <c r="U1360" t="inlineStr">
        <is>
          <t>5,993</t>
        </is>
      </c>
      <c r="V1360" t="n">
        <v>8.9</v>
      </c>
      <c r="W1360" t="inlineStr">
        <is>
          <t>10%</t>
        </is>
      </c>
      <c r="X1360" t="inlineStr">
        <is>
          <t>59 : 41</t>
        </is>
      </c>
      <c r="Y1360" t="n">
        <v>611</v>
      </c>
      <c r="Z1360" t="n">
        <v>401</v>
      </c>
      <c r="AA1360" t="n">
        <v>47.2</v>
      </c>
      <c r="AB1360" t="inlineStr">
        <is>
          <t>U1359</t>
        </is>
      </c>
      <c r="AC1360" t="inlineStr">
        <is>
          <t>TA</t>
        </is>
      </c>
      <c r="AD1360" t="n">
        <v>47.2</v>
      </c>
      <c r="AE1360" t="n">
        <v>18.9</v>
      </c>
      <c r="AF1360" t="n">
        <v>8.9</v>
      </c>
      <c r="AG1360" t="inlineStr">
        <is>
          <t>1:8.9</t>
        </is>
      </c>
      <c r="AH1360" t="inlineStr">
        <is>
          <t>10%</t>
        </is>
      </c>
      <c r="AI1360" t="n">
        <v>10.6</v>
      </c>
      <c r="AJ1360" t="n">
        <v>27.93</v>
      </c>
    </row>
    <row r="1361">
      <c r="A1361" t="inlineStr">
        <is>
          <t xml:space="preserve">Tallinn University </t>
        </is>
      </c>
      <c r="B1361" t="inlineStr">
        <is>
          <t>Estonia</t>
        </is>
      </c>
      <c r="C1361" t="inlineStr">
        <is>
          <t>1001-1200</t>
        </is>
      </c>
      <c r="D1361" t="inlineStr"/>
      <c r="E1361" t="n">
        <v>9</v>
      </c>
      <c r="F1361" t="n">
        <v>4.3</v>
      </c>
      <c r="G1361" t="n">
        <v>7.9</v>
      </c>
      <c r="H1361" t="n">
        <v>5.5</v>
      </c>
      <c r="I1361" t="n">
        <v>43.8</v>
      </c>
      <c r="J1361" t="n">
        <v>19.4</v>
      </c>
      <c r="K1361" t="n">
        <v>49.4</v>
      </c>
      <c r="L1361" t="n">
        <v>31</v>
      </c>
      <c r="M1361" t="n">
        <v>1</v>
      </c>
      <c r="N1361" t="inlineStr">
        <is>
          <t>1001–1200</t>
        </is>
      </c>
      <c r="O1361" t="inlineStr">
        <is>
          <t>28.3–32.6</t>
        </is>
      </c>
      <c r="P1361" t="n">
        <v>24.8</v>
      </c>
      <c r="Q1361" t="n">
        <v>23</v>
      </c>
      <c r="R1361" t="n">
        <v>42.6</v>
      </c>
      <c r="S1361" t="n">
        <v>22.1</v>
      </c>
      <c r="T1361" t="n">
        <v>59.3</v>
      </c>
      <c r="U1361" t="inlineStr">
        <is>
          <t>4,509</t>
        </is>
      </c>
      <c r="V1361" t="n">
        <v>9.9</v>
      </c>
      <c r="W1361" t="inlineStr">
        <is>
          <t>14%</t>
        </is>
      </c>
      <c r="X1361" t="inlineStr">
        <is>
          <t>71 : 29</t>
        </is>
      </c>
      <c r="Y1361" t="n">
        <v>1001</v>
      </c>
      <c r="Z1361" t="n">
        <v>1001</v>
      </c>
      <c r="AA1361" t="n">
        <v>30.45</v>
      </c>
      <c r="AB1361" t="inlineStr">
        <is>
          <t>U1360</t>
        </is>
      </c>
      <c r="AC1361" t="inlineStr">
        <is>
          <t>ES</t>
        </is>
      </c>
      <c r="AD1361" t="n">
        <v>30.45</v>
      </c>
      <c r="AE1361" t="n">
        <v>5.5</v>
      </c>
      <c r="AF1361" t="n">
        <v>9.9</v>
      </c>
      <c r="AG1361" t="inlineStr">
        <is>
          <t>1:9.9</t>
        </is>
      </c>
      <c r="AH1361" t="inlineStr">
        <is>
          <t>14%</t>
        </is>
      </c>
      <c r="AI1361" t="n">
        <v>9</v>
      </c>
      <c r="AJ1361" t="n">
        <v>21.45</v>
      </c>
    </row>
    <row r="1362">
      <c r="A1362" t="inlineStr">
        <is>
          <t>Tallinn University of Technology (TalTech)</t>
        </is>
      </c>
      <c r="B1362" t="inlineStr">
        <is>
          <t>Estonia</t>
        </is>
      </c>
      <c r="C1362" t="inlineStr">
        <is>
          <t>621-630</t>
        </is>
      </c>
      <c r="D1362" t="inlineStr"/>
      <c r="E1362" t="n">
        <v>12.8</v>
      </c>
      <c r="F1362" t="n">
        <v>10.2</v>
      </c>
      <c r="G1362" t="n">
        <v>31.5</v>
      </c>
      <c r="H1362" t="n">
        <v>10.8</v>
      </c>
      <c r="I1362" t="n">
        <v>60</v>
      </c>
      <c r="J1362" t="n">
        <v>18.3</v>
      </c>
      <c r="K1362" t="n">
        <v>83.3</v>
      </c>
      <c r="L1362" t="n">
        <v>45.6</v>
      </c>
      <c r="M1362" t="n">
        <v>1.3</v>
      </c>
      <c r="N1362" t="inlineStr">
        <is>
          <t>601–800</t>
        </is>
      </c>
      <c r="O1362" t="inlineStr">
        <is>
          <t>37.0–41.8</t>
        </is>
      </c>
      <c r="P1362" t="n">
        <v>25.7</v>
      </c>
      <c r="Q1362" t="n">
        <v>20.6</v>
      </c>
      <c r="R1362" t="n">
        <v>65.7</v>
      </c>
      <c r="S1362" t="n">
        <v>48.1</v>
      </c>
      <c r="T1362" t="n">
        <v>69.09999999999999</v>
      </c>
      <c r="U1362" t="inlineStr">
        <is>
          <t>8,521</t>
        </is>
      </c>
      <c r="V1362" t="n">
        <v>11.4</v>
      </c>
      <c r="W1362" t="inlineStr">
        <is>
          <t>14%</t>
        </is>
      </c>
      <c r="X1362" t="inlineStr">
        <is>
          <t>40 : 60</t>
        </is>
      </c>
      <c r="Y1362" t="n">
        <v>621</v>
      </c>
      <c r="Z1362" t="n">
        <v>601</v>
      </c>
      <c r="AA1362" t="n">
        <v>39.4</v>
      </c>
      <c r="AB1362" t="inlineStr">
        <is>
          <t>U1361</t>
        </is>
      </c>
      <c r="AC1362" t="inlineStr">
        <is>
          <t>ES</t>
        </is>
      </c>
      <c r="AD1362" t="n">
        <v>39.4</v>
      </c>
      <c r="AE1362" t="n">
        <v>10.8</v>
      </c>
      <c r="AF1362" t="n">
        <v>11.4</v>
      </c>
      <c r="AG1362" t="inlineStr">
        <is>
          <t>1:11.4</t>
        </is>
      </c>
      <c r="AH1362" t="inlineStr">
        <is>
          <t>14%</t>
        </is>
      </c>
      <c r="AI1362" t="n">
        <v>12.8</v>
      </c>
      <c r="AJ1362" t="n">
        <v>24.17</v>
      </c>
    </row>
    <row r="1363">
      <c r="A1363" t="inlineStr">
        <is>
          <t>Tamil Nadu Agricultural University</t>
        </is>
      </c>
      <c r="B1363" t="inlineStr">
        <is>
          <t>India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>
        <is>
          <t>1501+</t>
        </is>
      </c>
      <c r="O1363" t="inlineStr">
        <is>
          <t>9.7–22.7</t>
        </is>
      </c>
      <c r="P1363" t="n">
        <v>29.5</v>
      </c>
      <c r="Q1363" t="n">
        <v>11</v>
      </c>
      <c r="R1363" t="n">
        <v>14</v>
      </c>
      <c r="S1363" t="n">
        <v>26.7</v>
      </c>
      <c r="T1363" t="n">
        <v>17</v>
      </c>
      <c r="U1363" t="inlineStr">
        <is>
          <t>7,000</t>
        </is>
      </c>
      <c r="V1363" t="n">
        <v>9.300000000000001</v>
      </c>
      <c r="W1363" t="inlineStr">
        <is>
          <t>0%</t>
        </is>
      </c>
      <c r="X1363" t="inlineStr">
        <is>
          <t>61 : 39</t>
        </is>
      </c>
      <c r="Y1363" t="inlineStr"/>
      <c r="Z1363" t="n">
        <v>1501</v>
      </c>
      <c r="AA1363" t="n">
        <v>16.2</v>
      </c>
      <c r="AB1363" t="inlineStr">
        <is>
          <t>U1362</t>
        </is>
      </c>
      <c r="AC1363" t="inlineStr">
        <is>
          <t>IN</t>
        </is>
      </c>
      <c r="AD1363" t="n">
        <v>16.2</v>
      </c>
      <c r="AE1363" t="n">
        <v>14</v>
      </c>
      <c r="AF1363" t="n">
        <v>9.300000000000001</v>
      </c>
      <c r="AG1363" t="inlineStr">
        <is>
          <t>1:9.3</t>
        </is>
      </c>
      <c r="AH1363" t="inlineStr">
        <is>
          <t>0%</t>
        </is>
      </c>
      <c r="AI1363" t="inlineStr"/>
      <c r="AJ1363" t="n">
        <v>7.51</v>
      </c>
    </row>
    <row r="1364">
      <c r="A1364" t="inlineStr">
        <is>
          <t>Tamkang University</t>
        </is>
      </c>
      <c r="B1364" t="inlineStr">
        <is>
          <t>Taiwan</t>
        </is>
      </c>
      <c r="C1364" t="inlineStr">
        <is>
          <t>1201-1400</t>
        </is>
      </c>
      <c r="D1364" t="inlineStr"/>
      <c r="E1364" t="n">
        <v>5.7</v>
      </c>
      <c r="F1364" t="n">
        <v>4.9</v>
      </c>
      <c r="G1364" t="n">
        <v>4</v>
      </c>
      <c r="H1364" t="n">
        <v>5</v>
      </c>
      <c r="I1364" t="n">
        <v>6</v>
      </c>
      <c r="J1364" t="n">
        <v>7.4</v>
      </c>
      <c r="K1364" t="n">
        <v>14.2</v>
      </c>
      <c r="L1364" t="n">
        <v>29.2</v>
      </c>
      <c r="M1364" t="n">
        <v>10.1</v>
      </c>
      <c r="N1364" t="inlineStr">
        <is>
          <t>1201–1500</t>
        </is>
      </c>
      <c r="O1364" t="inlineStr">
        <is>
          <t>22.8–28.2</t>
        </is>
      </c>
      <c r="P1364" t="n">
        <v>15.3</v>
      </c>
      <c r="Q1364" t="n">
        <v>12.7</v>
      </c>
      <c r="R1364" t="n">
        <v>34.1</v>
      </c>
      <c r="S1364" t="n">
        <v>43.6</v>
      </c>
      <c r="T1364" t="n">
        <v>42.9</v>
      </c>
      <c r="U1364" t="inlineStr">
        <is>
          <t>23,600</t>
        </is>
      </c>
      <c r="V1364" t="n">
        <v>22.5</v>
      </c>
      <c r="W1364" t="inlineStr">
        <is>
          <t>7%</t>
        </is>
      </c>
      <c r="X1364" t="inlineStr">
        <is>
          <t>47 : 53</t>
        </is>
      </c>
      <c r="Y1364" t="n">
        <v>1201</v>
      </c>
      <c r="Z1364" t="n">
        <v>1201</v>
      </c>
      <c r="AA1364" t="n">
        <v>25.5</v>
      </c>
      <c r="AB1364" t="inlineStr">
        <is>
          <t>U1363</t>
        </is>
      </c>
      <c r="AC1364" t="inlineStr">
        <is>
          <t>TA</t>
        </is>
      </c>
      <c r="AD1364" t="n">
        <v>25.5</v>
      </c>
      <c r="AE1364" t="n">
        <v>5</v>
      </c>
      <c r="AF1364" t="n">
        <v>22.5</v>
      </c>
      <c r="AG1364" t="inlineStr">
        <is>
          <t>1:22.5</t>
        </is>
      </c>
      <c r="AH1364" t="inlineStr">
        <is>
          <t>7%</t>
        </is>
      </c>
      <c r="AI1364" t="n">
        <v>5.7</v>
      </c>
      <c r="AJ1364" t="n">
        <v>11.94</v>
      </c>
    </row>
    <row r="1365">
      <c r="A1365" t="inlineStr">
        <is>
          <t>Tampere University</t>
        </is>
      </c>
      <c r="B1365" t="inlineStr">
        <is>
          <t>Finland</t>
        </is>
      </c>
      <c r="C1365" t="inlineStr">
        <is>
          <t>462</t>
        </is>
      </c>
      <c r="D1365" t="n">
        <v>26</v>
      </c>
      <c r="E1365" t="n">
        <v>21.7</v>
      </c>
      <c r="F1365" t="n">
        <v>15.4</v>
      </c>
      <c r="G1365" t="n">
        <v>20.4</v>
      </c>
      <c r="H1365" t="n">
        <v>33.1</v>
      </c>
      <c r="I1365" t="n">
        <v>44.5</v>
      </c>
      <c r="J1365" t="n">
        <v>5.9</v>
      </c>
      <c r="K1365" t="n">
        <v>84.8</v>
      </c>
      <c r="L1365" t="n">
        <v>30.8</v>
      </c>
      <c r="M1365" t="n">
        <v>23</v>
      </c>
      <c r="N1365" t="inlineStr">
        <is>
          <t>301–350</t>
        </is>
      </c>
      <c r="O1365" t="inlineStr">
        <is>
          <t>51.1–53.0</t>
        </is>
      </c>
      <c r="P1365" t="n">
        <v>30.6</v>
      </c>
      <c r="Q1365" t="n">
        <v>38.4</v>
      </c>
      <c r="R1365" t="n">
        <v>80.90000000000001</v>
      </c>
      <c r="S1365" t="n">
        <v>93.09999999999999</v>
      </c>
      <c r="T1365" t="n">
        <v>49.8</v>
      </c>
      <c r="U1365" t="inlineStr">
        <is>
          <t>16,236</t>
        </is>
      </c>
      <c r="V1365" t="n">
        <v>20.7</v>
      </c>
      <c r="W1365" t="inlineStr">
        <is>
          <t>7%</t>
        </is>
      </c>
      <c r="X1365" t="inlineStr">
        <is>
          <t>55 : 45</t>
        </is>
      </c>
      <c r="Y1365" t="n">
        <v>462</v>
      </c>
      <c r="Z1365" t="n">
        <v>301</v>
      </c>
      <c r="AA1365" t="n">
        <v>52.05</v>
      </c>
      <c r="AB1365" t="inlineStr">
        <is>
          <t>U1364</t>
        </is>
      </c>
      <c r="AC1365" t="inlineStr">
        <is>
          <t>FI</t>
        </is>
      </c>
      <c r="AD1365" t="n">
        <v>26</v>
      </c>
      <c r="AE1365" t="n">
        <v>33.1</v>
      </c>
      <c r="AF1365" t="n">
        <v>20.7</v>
      </c>
      <c r="AG1365" t="inlineStr">
        <is>
          <t>1:20.7</t>
        </is>
      </c>
      <c r="AH1365" t="inlineStr">
        <is>
          <t>7%</t>
        </is>
      </c>
      <c r="AI1365" t="n">
        <v>21.7</v>
      </c>
      <c r="AJ1365" t="n">
        <v>35.59</v>
      </c>
    </row>
    <row r="1366">
      <c r="A1366" t="inlineStr">
        <is>
          <t xml:space="preserve">Tanta University </t>
        </is>
      </c>
      <c r="B1366" t="inlineStr">
        <is>
          <t>Egypt</t>
        </is>
      </c>
      <c r="C1366" t="inlineStr">
        <is>
          <t>1201-1400</t>
        </is>
      </c>
      <c r="D1366" t="inlineStr"/>
      <c r="E1366" t="n">
        <v>6.9</v>
      </c>
      <c r="F1366" t="n">
        <v>5.5</v>
      </c>
      <c r="G1366" t="n">
        <v>4.5</v>
      </c>
      <c r="H1366" t="n">
        <v>2.2</v>
      </c>
      <c r="I1366" t="n">
        <v>1.5</v>
      </c>
      <c r="J1366" t="n">
        <v>1.5</v>
      </c>
      <c r="K1366" t="n">
        <v>65.2</v>
      </c>
      <c r="L1366" t="n">
        <v>4.3</v>
      </c>
      <c r="M1366" t="n">
        <v>3.1</v>
      </c>
      <c r="N1366" t="inlineStr">
        <is>
          <t>1001–1200</t>
        </is>
      </c>
      <c r="O1366" t="inlineStr">
        <is>
          <t>28.3–32.6</t>
        </is>
      </c>
      <c r="P1366" t="n">
        <v>20.4</v>
      </c>
      <c r="Q1366" t="n">
        <v>9.1</v>
      </c>
      <c r="R1366" t="n">
        <v>62.6</v>
      </c>
      <c r="S1366" t="n">
        <v>20</v>
      </c>
      <c r="T1366" t="n">
        <v>47.8</v>
      </c>
      <c r="U1366" t="inlineStr">
        <is>
          <t>123,577</t>
        </is>
      </c>
      <c r="V1366" t="n">
        <v>17.3</v>
      </c>
      <c r="W1366" t="inlineStr">
        <is>
          <t>1%</t>
        </is>
      </c>
      <c r="X1366" t="inlineStr">
        <is>
          <t>57 : 43</t>
        </is>
      </c>
      <c r="Y1366" t="n">
        <v>1201</v>
      </c>
      <c r="Z1366" t="n">
        <v>1001</v>
      </c>
      <c r="AA1366" t="n">
        <v>30.45</v>
      </c>
      <c r="AB1366" t="inlineStr">
        <is>
          <t>U1365</t>
        </is>
      </c>
      <c r="AC1366" t="inlineStr">
        <is>
          <t>EG</t>
        </is>
      </c>
      <c r="AD1366" t="n">
        <v>30.45</v>
      </c>
      <c r="AE1366" t="n">
        <v>2.2</v>
      </c>
      <c r="AF1366" t="n">
        <v>17.3</v>
      </c>
      <c r="AG1366" t="inlineStr">
        <is>
          <t>1:17.3</t>
        </is>
      </c>
      <c r="AH1366" t="inlineStr">
        <is>
          <t>1%</t>
        </is>
      </c>
      <c r="AI1366" t="n">
        <v>6.9</v>
      </c>
      <c r="AJ1366" t="n">
        <v>10.39</v>
      </c>
    </row>
    <row r="1367">
      <c r="A1367" t="inlineStr">
        <is>
          <t>Taras Shevchenko National University of Kyiv</t>
        </is>
      </c>
      <c r="B1367" t="inlineStr">
        <is>
          <t>Ukraine</t>
        </is>
      </c>
      <c r="C1367" t="inlineStr">
        <is>
          <t>701-710</t>
        </is>
      </c>
      <c r="D1367" t="inlineStr"/>
      <c r="E1367" t="n">
        <v>18.9</v>
      </c>
      <c r="F1367" t="n">
        <v>36.6</v>
      </c>
      <c r="G1367" t="n">
        <v>27</v>
      </c>
      <c r="H1367" t="n">
        <v>2.2</v>
      </c>
      <c r="I1367" t="n">
        <v>1.5</v>
      </c>
      <c r="J1367" t="n">
        <v>3.9</v>
      </c>
      <c r="K1367" t="n">
        <v>40.3</v>
      </c>
      <c r="L1367" t="n">
        <v>45.5</v>
      </c>
      <c r="M1367" t="n">
        <v>1.6</v>
      </c>
      <c r="N1367" t="inlineStr">
        <is>
          <t>1201–1500</t>
        </is>
      </c>
      <c r="O1367" t="inlineStr">
        <is>
          <t>22.8–28.2</t>
        </is>
      </c>
      <c r="P1367" t="n">
        <v>30</v>
      </c>
      <c r="Q1367" t="n">
        <v>13.1</v>
      </c>
      <c r="R1367" t="n">
        <v>20.2</v>
      </c>
      <c r="S1367" t="n">
        <v>31.4</v>
      </c>
      <c r="T1367" t="n">
        <v>31.8</v>
      </c>
      <c r="U1367" t="inlineStr">
        <is>
          <t>25,937</t>
        </is>
      </c>
      <c r="V1367" t="n">
        <v>10.6</v>
      </c>
      <c r="W1367" t="inlineStr">
        <is>
          <t>5%</t>
        </is>
      </c>
      <c r="X1367" t="inlineStr">
        <is>
          <t>56 : 44</t>
        </is>
      </c>
      <c r="Y1367" t="n">
        <v>701</v>
      </c>
      <c r="Z1367" t="n">
        <v>1201</v>
      </c>
      <c r="AA1367" t="n">
        <v>25.5</v>
      </c>
      <c r="AB1367" t="inlineStr">
        <is>
          <t>U1366</t>
        </is>
      </c>
      <c r="AC1367" t="inlineStr">
        <is>
          <t>UK</t>
        </is>
      </c>
      <c r="AD1367" t="n">
        <v>25.5</v>
      </c>
      <c r="AE1367" t="n">
        <v>2.2</v>
      </c>
      <c r="AF1367" t="n">
        <v>10.6</v>
      </c>
      <c r="AG1367" t="inlineStr">
        <is>
          <t>1:10.6</t>
        </is>
      </c>
      <c r="AH1367" t="inlineStr">
        <is>
          <t>5%</t>
        </is>
      </c>
      <c r="AI1367" t="n">
        <v>18.9</v>
      </c>
      <c r="AJ1367" t="n">
        <v>8.619999999999999</v>
      </c>
    </row>
    <row r="1368">
      <c r="A1368" t="inlineStr">
        <is>
          <t>Tashkent Institute of Irrigation and Agricultural Mechanization Engineers - National Research University (TIIAME-NRU)</t>
        </is>
      </c>
      <c r="B1368" t="inlineStr">
        <is>
          <t>Uzbekistan</t>
        </is>
      </c>
      <c r="C1368" t="inlineStr">
        <is>
          <t>547</t>
        </is>
      </c>
      <c r="D1368" t="n">
        <v>22.6</v>
      </c>
      <c r="E1368" t="n">
        <v>30.6</v>
      </c>
      <c r="F1368" t="n">
        <v>19.9</v>
      </c>
      <c r="G1368" t="n">
        <v>79</v>
      </c>
      <c r="H1368" t="n">
        <v>2.2</v>
      </c>
      <c r="I1368" t="n">
        <v>26.3</v>
      </c>
      <c r="J1368" t="n">
        <v>4.1</v>
      </c>
      <c r="K1368" t="n">
        <v>8.6</v>
      </c>
      <c r="L1368" t="n">
        <v>15.1</v>
      </c>
      <c r="M1368" t="n">
        <v>9.5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n">
        <v>547</v>
      </c>
      <c r="Z1368" t="inlineStr"/>
      <c r="AA1368" t="inlineStr"/>
      <c r="AB1368" t="inlineStr">
        <is>
          <t>U1367</t>
        </is>
      </c>
      <c r="AC1368" t="inlineStr">
        <is>
          <t>UZ</t>
        </is>
      </c>
      <c r="AD1368" t="n">
        <v>22.6</v>
      </c>
      <c r="AE1368" t="n">
        <v>2.2</v>
      </c>
      <c r="AF1368" t="inlineStr"/>
      <c r="AG1368" t="inlineStr"/>
      <c r="AH1368" t="inlineStr"/>
      <c r="AI1368" t="n">
        <v>30.6</v>
      </c>
      <c r="AJ1368" t="n">
        <v>14.06</v>
      </c>
    </row>
    <row r="1369">
      <c r="A1369" t="inlineStr">
        <is>
          <t>Taylor's University</t>
        </is>
      </c>
      <c r="B1369" t="inlineStr">
        <is>
          <t>Malaysia</t>
        </is>
      </c>
      <c r="C1369" t="inlineStr">
        <is>
          <t>251</t>
        </is>
      </c>
      <c r="D1369" t="n">
        <v>40.5</v>
      </c>
      <c r="E1369" t="n">
        <v>27</v>
      </c>
      <c r="F1369" t="n">
        <v>81</v>
      </c>
      <c r="G1369" t="n">
        <v>71.5</v>
      </c>
      <c r="H1369" t="n">
        <v>10.1</v>
      </c>
      <c r="I1369" t="n">
        <v>64.8</v>
      </c>
      <c r="J1369" t="n">
        <v>99.59999999999999</v>
      </c>
      <c r="K1369" t="n">
        <v>41.4</v>
      </c>
      <c r="L1369" t="n">
        <v>4.2</v>
      </c>
      <c r="M1369" t="n">
        <v>22.2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n">
        <v>251</v>
      </c>
      <c r="Z1369" t="inlineStr"/>
      <c r="AA1369" t="inlineStr"/>
      <c r="AB1369" t="inlineStr">
        <is>
          <t>U1368</t>
        </is>
      </c>
      <c r="AC1369" t="inlineStr">
        <is>
          <t>MA</t>
        </is>
      </c>
      <c r="AD1369" t="n">
        <v>40.5</v>
      </c>
      <c r="AE1369" t="n">
        <v>10.1</v>
      </c>
      <c r="AF1369" t="inlineStr"/>
      <c r="AG1369" t="inlineStr"/>
      <c r="AH1369" t="inlineStr"/>
      <c r="AI1369" t="n">
        <v>27</v>
      </c>
      <c r="AJ1369" t="n">
        <v>16.45</v>
      </c>
    </row>
    <row r="1370">
      <c r="A1370" t="inlineStr">
        <is>
          <t>Technical University of Berlin</t>
        </is>
      </c>
      <c r="B1370" t="inlineStr">
        <is>
          <t>Germany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>
        <f>136</f>
        <v/>
      </c>
      <c r="O1370" t="inlineStr">
        <is>
          <t>63.0</t>
        </is>
      </c>
      <c r="P1370" t="n">
        <v>47.8</v>
      </c>
      <c r="Q1370" t="n">
        <v>55.6</v>
      </c>
      <c r="R1370" t="n">
        <v>78.09999999999999</v>
      </c>
      <c r="S1370" t="n">
        <v>99.90000000000001</v>
      </c>
      <c r="T1370" t="n">
        <v>71.3</v>
      </c>
      <c r="U1370" t="inlineStr">
        <is>
          <t>20,425</t>
        </is>
      </c>
      <c r="V1370" t="n">
        <v>49.6</v>
      </c>
      <c r="W1370" t="inlineStr">
        <is>
          <t>29%</t>
        </is>
      </c>
      <c r="X1370" t="inlineStr">
        <is>
          <t>35 : 65</t>
        </is>
      </c>
      <c r="Y1370" t="inlineStr"/>
      <c r="Z1370" t="n">
        <v>136</v>
      </c>
      <c r="AA1370" t="n">
        <v>63</v>
      </c>
      <c r="AB1370" t="inlineStr">
        <is>
          <t>U1369</t>
        </is>
      </c>
      <c r="AC1370" t="inlineStr">
        <is>
          <t>GE</t>
        </is>
      </c>
      <c r="AD1370" t="n">
        <v>63</v>
      </c>
      <c r="AE1370" t="n">
        <v>78.09999999999999</v>
      </c>
      <c r="AF1370" t="n">
        <v>49.6</v>
      </c>
      <c r="AG1370" t="inlineStr">
        <is>
          <t>1:49.6</t>
        </is>
      </c>
      <c r="AH1370" t="inlineStr">
        <is>
          <t>29%</t>
        </is>
      </c>
      <c r="AI1370" t="inlineStr"/>
      <c r="AJ1370" t="n">
        <v>63.44</v>
      </c>
    </row>
    <row r="1371">
      <c r="A1371" t="inlineStr">
        <is>
          <t>Technical University of Cartagena</t>
        </is>
      </c>
      <c r="B1371" t="inlineStr">
        <is>
          <t>Spain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>
        <is>
          <t>1001–1200</t>
        </is>
      </c>
      <c r="O1371" t="inlineStr">
        <is>
          <t>28.3–32.6</t>
        </is>
      </c>
      <c r="P1371" t="n">
        <v>25.1</v>
      </c>
      <c r="Q1371" t="n">
        <v>12.7</v>
      </c>
      <c r="R1371" t="n">
        <v>42.9</v>
      </c>
      <c r="S1371" t="n">
        <v>36.3</v>
      </c>
      <c r="T1371" t="n">
        <v>40.7</v>
      </c>
      <c r="U1371" t="inlineStr">
        <is>
          <t>4,549</t>
        </is>
      </c>
      <c r="V1371" t="n">
        <v>10.1</v>
      </c>
      <c r="W1371" t="inlineStr">
        <is>
          <t>8%</t>
        </is>
      </c>
      <c r="X1371" t="inlineStr">
        <is>
          <t>28 : 72</t>
        </is>
      </c>
      <c r="Y1371" t="inlineStr"/>
      <c r="Z1371" t="n">
        <v>1001</v>
      </c>
      <c r="AA1371" t="n">
        <v>30.45</v>
      </c>
      <c r="AB1371" t="inlineStr">
        <is>
          <t>U1370</t>
        </is>
      </c>
      <c r="AC1371" t="inlineStr">
        <is>
          <t>SP</t>
        </is>
      </c>
      <c r="AD1371" t="n">
        <v>30.45</v>
      </c>
      <c r="AE1371" t="n">
        <v>42.9</v>
      </c>
      <c r="AF1371" t="n">
        <v>10.1</v>
      </c>
      <c r="AG1371" t="inlineStr">
        <is>
          <t>1:10.1</t>
        </is>
      </c>
      <c r="AH1371" t="inlineStr">
        <is>
          <t>8%</t>
        </is>
      </c>
      <c r="AI1371" t="inlineStr"/>
      <c r="AJ1371" t="n">
        <v>22.89</v>
      </c>
    </row>
    <row r="1372">
      <c r="A1372" t="inlineStr">
        <is>
          <t>Technical University of Cluj-Napoca</t>
        </is>
      </c>
      <c r="B1372" t="inlineStr">
        <is>
          <t>Romania</t>
        </is>
      </c>
      <c r="C1372" t="inlineStr">
        <is>
          <t>1201-1400</t>
        </is>
      </c>
      <c r="D1372" t="inlineStr"/>
      <c r="E1372" t="n">
        <v>4.6</v>
      </c>
      <c r="F1372" t="n">
        <v>7.1</v>
      </c>
      <c r="G1372" t="n">
        <v>7.6</v>
      </c>
      <c r="H1372" t="n">
        <v>3.9</v>
      </c>
      <c r="I1372" t="n">
        <v>2.1</v>
      </c>
      <c r="J1372" t="n">
        <v>2.7</v>
      </c>
      <c r="K1372" t="n">
        <v>38.1</v>
      </c>
      <c r="L1372" t="n">
        <v>3.8</v>
      </c>
      <c r="M1372" t="n">
        <v>2.1</v>
      </c>
      <c r="N1372" t="inlineStr">
        <is>
          <t>1201–1500</t>
        </is>
      </c>
      <c r="O1372" t="inlineStr">
        <is>
          <t>22.8–28.2</t>
        </is>
      </c>
      <c r="P1372" t="n">
        <v>17</v>
      </c>
      <c r="Q1372" t="n">
        <v>13.2</v>
      </c>
      <c r="R1372" t="n">
        <v>39.3</v>
      </c>
      <c r="S1372" t="n">
        <v>29.5</v>
      </c>
      <c r="T1372" t="n">
        <v>25</v>
      </c>
      <c r="U1372" t="inlineStr">
        <is>
          <t>19,065</t>
        </is>
      </c>
      <c r="V1372" t="n">
        <v>20.5</v>
      </c>
      <c r="W1372" t="inlineStr">
        <is>
          <t>2%</t>
        </is>
      </c>
      <c r="X1372" t="inlineStr">
        <is>
          <t>37 : 63</t>
        </is>
      </c>
      <c r="Y1372" t="n">
        <v>1201</v>
      </c>
      <c r="Z1372" t="n">
        <v>1201</v>
      </c>
      <c r="AA1372" t="n">
        <v>25.5</v>
      </c>
      <c r="AB1372" t="inlineStr">
        <is>
          <t>U1371</t>
        </is>
      </c>
      <c r="AC1372" t="inlineStr">
        <is>
          <t>RO</t>
        </is>
      </c>
      <c r="AD1372" t="n">
        <v>25.5</v>
      </c>
      <c r="AE1372" t="n">
        <v>3.9</v>
      </c>
      <c r="AF1372" t="n">
        <v>20.5</v>
      </c>
      <c r="AG1372" t="inlineStr">
        <is>
          <t>1:20.5</t>
        </is>
      </c>
      <c r="AH1372" t="inlineStr">
        <is>
          <t>2%</t>
        </is>
      </c>
      <c r="AI1372" t="n">
        <v>4.6</v>
      </c>
      <c r="AJ1372" t="n">
        <v>7.54</v>
      </c>
    </row>
    <row r="1373">
      <c r="A1373" t="inlineStr">
        <is>
          <t>Technical University of Crete</t>
        </is>
      </c>
      <c r="B1373" t="inlineStr">
        <is>
          <t>Greece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>
        <is>
          <t>1201–1500</t>
        </is>
      </c>
      <c r="O1373" t="inlineStr">
        <is>
          <t>22.8–28.2</t>
        </is>
      </c>
      <c r="P1373" t="n">
        <v>13.1</v>
      </c>
      <c r="Q1373" t="n">
        <v>11.1</v>
      </c>
      <c r="R1373" t="n">
        <v>50.4</v>
      </c>
      <c r="S1373" t="n">
        <v>40.6</v>
      </c>
      <c r="T1373" t="n">
        <v>40.7</v>
      </c>
      <c r="U1373" t="inlineStr">
        <is>
          <t>6,935</t>
        </is>
      </c>
      <c r="V1373" t="n">
        <v>33.2</v>
      </c>
      <c r="W1373" t="inlineStr">
        <is>
          <t>4%</t>
        </is>
      </c>
      <c r="X1373" t="inlineStr">
        <is>
          <t>37 : 63</t>
        </is>
      </c>
      <c r="Y1373" t="inlineStr"/>
      <c r="Z1373" t="n">
        <v>1201</v>
      </c>
      <c r="AA1373" t="n">
        <v>25.5</v>
      </c>
      <c r="AB1373" t="inlineStr">
        <is>
          <t>U1372</t>
        </is>
      </c>
      <c r="AC1373" t="inlineStr">
        <is>
          <t>GR</t>
        </is>
      </c>
      <c r="AD1373" t="n">
        <v>25.5</v>
      </c>
      <c r="AE1373" t="n">
        <v>50.4</v>
      </c>
      <c r="AF1373" t="n">
        <v>33.2</v>
      </c>
      <c r="AG1373" t="inlineStr">
        <is>
          <t>1:33.2</t>
        </is>
      </c>
      <c r="AH1373" t="inlineStr">
        <is>
          <t>4%</t>
        </is>
      </c>
      <c r="AI1373" t="inlineStr"/>
      <c r="AJ1373" t="n">
        <v>24.33</v>
      </c>
    </row>
    <row r="1374">
      <c r="A1374" t="inlineStr">
        <is>
          <t>Technical University of Darmstadt</t>
        </is>
      </c>
      <c r="B1374" t="inlineStr">
        <is>
          <t>Germany</t>
        </is>
      </c>
      <c r="C1374" t="inlineStr">
        <is>
          <t>241</t>
        </is>
      </c>
      <c r="D1374" t="n">
        <v>41.7</v>
      </c>
      <c r="E1374" t="n">
        <v>20</v>
      </c>
      <c r="F1374" t="n">
        <v>35.9</v>
      </c>
      <c r="G1374" t="n">
        <v>6.7</v>
      </c>
      <c r="H1374" t="n">
        <v>70</v>
      </c>
      <c r="I1374" t="n">
        <v>60.3</v>
      </c>
      <c r="J1374" t="n">
        <v>81.40000000000001</v>
      </c>
      <c r="K1374" t="n">
        <v>65.90000000000001</v>
      </c>
      <c r="L1374" t="n">
        <v>44.4</v>
      </c>
      <c r="M1374" t="n">
        <v>71.8</v>
      </c>
      <c r="N1374" t="inlineStr">
        <is>
          <t>251–300</t>
        </is>
      </c>
      <c r="O1374" t="inlineStr">
        <is>
          <t>53.1–55.8</t>
        </is>
      </c>
      <c r="P1374" t="n">
        <v>42.4</v>
      </c>
      <c r="Q1374" t="n">
        <v>48.1</v>
      </c>
      <c r="R1374" t="n">
        <v>62.6</v>
      </c>
      <c r="S1374" t="n">
        <v>99.8</v>
      </c>
      <c r="T1374" t="n">
        <v>65.40000000000001</v>
      </c>
      <c r="U1374" t="inlineStr">
        <is>
          <t>15,882</t>
        </is>
      </c>
      <c r="V1374" t="n">
        <v>37</v>
      </c>
      <c r="W1374" t="inlineStr">
        <is>
          <t>19%</t>
        </is>
      </c>
      <c r="X1374" t="inlineStr">
        <is>
          <t>33 : 67</t>
        </is>
      </c>
      <c r="Y1374" t="n">
        <v>241</v>
      </c>
      <c r="Z1374" t="n">
        <v>251</v>
      </c>
      <c r="AA1374" t="n">
        <v>54.45</v>
      </c>
      <c r="AB1374" t="inlineStr">
        <is>
          <t>U1373</t>
        </is>
      </c>
      <c r="AC1374" t="inlineStr">
        <is>
          <t>GE</t>
        </is>
      </c>
      <c r="AD1374" t="n">
        <v>41.7</v>
      </c>
      <c r="AE1374" t="n">
        <v>70</v>
      </c>
      <c r="AF1374" t="n">
        <v>37</v>
      </c>
      <c r="AG1374" t="inlineStr">
        <is>
          <t>1:37.0</t>
        </is>
      </c>
      <c r="AH1374" t="inlineStr">
        <is>
          <t>19%</t>
        </is>
      </c>
      <c r="AI1374" t="n">
        <v>20</v>
      </c>
      <c r="AJ1374" t="n">
        <v>55.63</v>
      </c>
    </row>
    <row r="1375">
      <c r="A1375" t="inlineStr">
        <is>
          <t>Technical University of Denmark</t>
        </is>
      </c>
      <c r="B1375" t="inlineStr">
        <is>
          <t>Denmark</t>
        </is>
      </c>
      <c r="C1375" t="inlineStr">
        <is>
          <t>109</t>
        </is>
      </c>
      <c r="D1375" t="n">
        <v>58.3</v>
      </c>
      <c r="E1375" t="n">
        <v>33.2</v>
      </c>
      <c r="F1375" t="n">
        <v>22.1</v>
      </c>
      <c r="G1375" t="n">
        <v>99.09999999999999</v>
      </c>
      <c r="H1375" t="n">
        <v>84.40000000000001</v>
      </c>
      <c r="I1375" t="n">
        <v>100</v>
      </c>
      <c r="J1375" t="n">
        <v>87.7</v>
      </c>
      <c r="K1375" t="n">
        <v>88.09999999999999</v>
      </c>
      <c r="L1375" t="n">
        <v>43.6</v>
      </c>
      <c r="M1375" t="n">
        <v>47.9</v>
      </c>
      <c r="N1375" t="inlineStr">
        <is>
          <t>126</t>
        </is>
      </c>
      <c r="O1375" t="inlineStr">
        <is>
          <t>64.6</t>
        </is>
      </c>
      <c r="P1375" t="n">
        <v>50.7</v>
      </c>
      <c r="Q1375" t="n">
        <v>47.4</v>
      </c>
      <c r="R1375" t="n">
        <v>83.2</v>
      </c>
      <c r="S1375" t="n">
        <v>99.7</v>
      </c>
      <c r="T1375" t="n">
        <v>92.2</v>
      </c>
      <c r="U1375" t="inlineStr">
        <is>
          <t>10,410</t>
        </is>
      </c>
      <c r="V1375" t="n">
        <v>7.7</v>
      </c>
      <c r="W1375" t="inlineStr">
        <is>
          <t>28%</t>
        </is>
      </c>
      <c r="X1375" t="inlineStr">
        <is>
          <t>32 : 68</t>
        </is>
      </c>
      <c r="Y1375" t="n">
        <v>109</v>
      </c>
      <c r="Z1375" t="n">
        <v>126</v>
      </c>
      <c r="AA1375" t="n">
        <v>64.59999999999999</v>
      </c>
      <c r="AB1375" t="inlineStr">
        <is>
          <t>U1374</t>
        </is>
      </c>
      <c r="AC1375" t="inlineStr">
        <is>
          <t>DE</t>
        </is>
      </c>
      <c r="AD1375" t="n">
        <v>58.3</v>
      </c>
      <c r="AE1375" t="n">
        <v>84.40000000000001</v>
      </c>
      <c r="AF1375" t="n">
        <v>7.7</v>
      </c>
      <c r="AG1375" t="inlineStr">
        <is>
          <t>1:7.7</t>
        </is>
      </c>
      <c r="AH1375" t="inlineStr">
        <is>
          <t>28%</t>
        </is>
      </c>
      <c r="AI1375" t="n">
        <v>33.2</v>
      </c>
      <c r="AJ1375" t="n">
        <v>66.11</v>
      </c>
    </row>
    <row r="1376">
      <c r="A1376" t="inlineStr">
        <is>
          <t>Technical University of Košice</t>
        </is>
      </c>
      <c r="B1376" t="inlineStr">
        <is>
          <t>Slovakia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>
        <is>
          <t>1201–1500</t>
        </is>
      </c>
      <c r="O1376" t="inlineStr">
        <is>
          <t>22.8–28.2</t>
        </is>
      </c>
      <c r="P1376" t="n">
        <v>26.5</v>
      </c>
      <c r="Q1376" t="n">
        <v>17.1</v>
      </c>
      <c r="R1376" t="n">
        <v>30.2</v>
      </c>
      <c r="S1376" t="n">
        <v>30</v>
      </c>
      <c r="T1376" t="n">
        <v>44.8</v>
      </c>
      <c r="U1376" t="inlineStr">
        <is>
          <t>9,573</t>
        </is>
      </c>
      <c r="V1376" t="n">
        <v>13.1</v>
      </c>
      <c r="W1376" t="inlineStr">
        <is>
          <t>23%</t>
        </is>
      </c>
      <c r="X1376" t="inlineStr">
        <is>
          <t>27 : 73</t>
        </is>
      </c>
      <c r="Y1376" t="inlineStr"/>
      <c r="Z1376" t="n">
        <v>1201</v>
      </c>
      <c r="AA1376" t="n">
        <v>25.5</v>
      </c>
      <c r="AB1376" t="inlineStr">
        <is>
          <t>U1375</t>
        </is>
      </c>
      <c r="AC1376" t="inlineStr">
        <is>
          <t>SL</t>
        </is>
      </c>
      <c r="AD1376" t="n">
        <v>25.5</v>
      </c>
      <c r="AE1376" t="n">
        <v>30.2</v>
      </c>
      <c r="AF1376" t="n">
        <v>13.1</v>
      </c>
      <c r="AG1376" t="inlineStr">
        <is>
          <t>1:13.1</t>
        </is>
      </c>
      <c r="AH1376" t="inlineStr">
        <is>
          <t>23%</t>
        </is>
      </c>
      <c r="AI1376" t="inlineStr"/>
      <c r="AJ1376" t="n">
        <v>22.34</v>
      </c>
    </row>
    <row r="1377">
      <c r="A1377" t="inlineStr">
        <is>
          <t>Technical University of Kosice</t>
        </is>
      </c>
      <c r="B1377" t="inlineStr">
        <is>
          <t>Slovakia</t>
        </is>
      </c>
      <c r="C1377" t="inlineStr">
        <is>
          <t>1001-1200</t>
        </is>
      </c>
      <c r="D1377" t="inlineStr"/>
      <c r="E1377" t="n">
        <v>7.5</v>
      </c>
      <c r="F1377" t="n">
        <v>4.4</v>
      </c>
      <c r="G1377" t="n">
        <v>19.8</v>
      </c>
      <c r="H1377" t="n">
        <v>5.5</v>
      </c>
      <c r="I1377" t="n">
        <v>1.5</v>
      </c>
      <c r="J1377" t="n">
        <v>56.2</v>
      </c>
      <c r="K1377" t="n">
        <v>37.2</v>
      </c>
      <c r="L1377" t="n">
        <v>4.5</v>
      </c>
      <c r="M1377" t="n">
        <v>1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n">
        <v>1001</v>
      </c>
      <c r="Z1377" t="inlineStr"/>
      <c r="AA1377" t="inlineStr"/>
      <c r="AB1377" t="inlineStr">
        <is>
          <t>U1376</t>
        </is>
      </c>
      <c r="AC1377" t="inlineStr">
        <is>
          <t>SL</t>
        </is>
      </c>
      <c r="AD1377" t="inlineStr"/>
      <c r="AE1377" t="n">
        <v>5.5</v>
      </c>
      <c r="AF1377" t="inlineStr"/>
      <c r="AG1377" t="inlineStr"/>
      <c r="AH1377" t="inlineStr"/>
      <c r="AI1377" t="n">
        <v>7.5</v>
      </c>
      <c r="AJ1377" t="n">
        <v>15.06</v>
      </c>
    </row>
    <row r="1378">
      <c r="A1378" t="inlineStr">
        <is>
          <t>Technical University of Liberec</t>
        </is>
      </c>
      <c r="B1378" t="inlineStr">
        <is>
          <t>Czech Republic</t>
        </is>
      </c>
      <c r="C1378" t="inlineStr">
        <is>
          <t>1201-1400</t>
        </is>
      </c>
      <c r="D1378" t="inlineStr"/>
      <c r="E1378" t="n">
        <v>3.9</v>
      </c>
      <c r="F1378" t="n">
        <v>2.2</v>
      </c>
      <c r="G1378" t="n">
        <v>37.6</v>
      </c>
      <c r="H1378" t="n">
        <v>4.6</v>
      </c>
      <c r="I1378" t="n">
        <v>11.2</v>
      </c>
      <c r="J1378" t="n">
        <v>8.699999999999999</v>
      </c>
      <c r="K1378" t="n">
        <v>25.5</v>
      </c>
      <c r="L1378" t="n">
        <v>1.7</v>
      </c>
      <c r="M1378" t="n">
        <v>1</v>
      </c>
      <c r="N1378" t="inlineStr">
        <is>
          <t>1501+</t>
        </is>
      </c>
      <c r="O1378" t="inlineStr">
        <is>
          <t>9.7–22.7</t>
        </is>
      </c>
      <c r="P1378" t="n">
        <v>21</v>
      </c>
      <c r="Q1378" t="n">
        <v>18.9</v>
      </c>
      <c r="R1378" t="n">
        <v>18.2</v>
      </c>
      <c r="S1378" t="n">
        <v>34.5</v>
      </c>
      <c r="T1378" t="n">
        <v>44.2</v>
      </c>
      <c r="U1378" t="inlineStr">
        <is>
          <t>5,303</t>
        </is>
      </c>
      <c r="V1378" t="n">
        <v>13.3</v>
      </c>
      <c r="W1378" t="inlineStr">
        <is>
          <t>10%</t>
        </is>
      </c>
      <c r="X1378" t="inlineStr">
        <is>
          <t>54 : 46</t>
        </is>
      </c>
      <c r="Y1378" t="n">
        <v>1201</v>
      </c>
      <c r="Z1378" t="n">
        <v>1501</v>
      </c>
      <c r="AA1378" t="n">
        <v>16.2</v>
      </c>
      <c r="AB1378" t="inlineStr">
        <is>
          <t>U1377</t>
        </is>
      </c>
      <c r="AC1378" t="inlineStr">
        <is>
          <t>CZ</t>
        </is>
      </c>
      <c r="AD1378" t="n">
        <v>16.2</v>
      </c>
      <c r="AE1378" t="n">
        <v>4.6</v>
      </c>
      <c r="AF1378" t="n">
        <v>13.3</v>
      </c>
      <c r="AG1378" t="inlineStr">
        <is>
          <t>1:13.3</t>
        </is>
      </c>
      <c r="AH1378" t="inlineStr">
        <is>
          <t>10%</t>
        </is>
      </c>
      <c r="AI1378" t="n">
        <v>3.9</v>
      </c>
      <c r="AJ1378" t="n">
        <v>15.38</v>
      </c>
    </row>
    <row r="1379">
      <c r="A1379" t="inlineStr">
        <is>
          <t>Technical University of Loja</t>
        </is>
      </c>
      <c r="B1379" t="inlineStr">
        <is>
          <t>Ecuador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>
        <is>
          <t>1501+</t>
        </is>
      </c>
      <c r="O1379" t="inlineStr">
        <is>
          <t>9.7–22.7</t>
        </is>
      </c>
      <c r="P1379" t="n">
        <v>10.6</v>
      </c>
      <c r="Q1379" t="n">
        <v>8.4</v>
      </c>
      <c r="R1379" t="n">
        <v>11.2</v>
      </c>
      <c r="S1379" t="n">
        <v>15.8</v>
      </c>
      <c r="T1379" t="n">
        <v>48.2</v>
      </c>
      <c r="U1379" t="inlineStr">
        <is>
          <t>57,924</t>
        </is>
      </c>
      <c r="V1379" t="n">
        <v>29.3</v>
      </c>
      <c r="W1379" t="inlineStr">
        <is>
          <t>1%</t>
        </is>
      </c>
      <c r="X1379" t="inlineStr">
        <is>
          <t>56 : 44</t>
        </is>
      </c>
      <c r="Y1379" t="inlineStr"/>
      <c r="Z1379" t="n">
        <v>1501</v>
      </c>
      <c r="AA1379" t="n">
        <v>16.2</v>
      </c>
      <c r="AB1379" t="inlineStr">
        <is>
          <t>U1378</t>
        </is>
      </c>
      <c r="AC1379" t="inlineStr">
        <is>
          <t>EC</t>
        </is>
      </c>
      <c r="AD1379" t="n">
        <v>16.2</v>
      </c>
      <c r="AE1379" t="n">
        <v>11.2</v>
      </c>
      <c r="AF1379" t="n">
        <v>29.3</v>
      </c>
      <c r="AG1379" t="inlineStr">
        <is>
          <t>1:29.3</t>
        </is>
      </c>
      <c r="AH1379" t="inlineStr">
        <is>
          <t>1%</t>
        </is>
      </c>
      <c r="AI1379" t="inlineStr"/>
      <c r="AJ1379" t="n">
        <v>12.85</v>
      </c>
    </row>
    <row r="1380">
      <c r="A1380" t="inlineStr">
        <is>
          <t>Technical University of Lublin</t>
        </is>
      </c>
      <c r="B1380" t="inlineStr">
        <is>
          <t>Poland</t>
        </is>
      </c>
      <c r="C1380" t="inlineStr">
        <is>
          <t>1201-1400</t>
        </is>
      </c>
      <c r="D1380" t="inlineStr"/>
      <c r="E1380" t="n">
        <v>5.8</v>
      </c>
      <c r="F1380" t="n">
        <v>2.1</v>
      </c>
      <c r="G1380" t="n">
        <v>18.4</v>
      </c>
      <c r="H1380" t="n">
        <v>3.7</v>
      </c>
      <c r="I1380" t="inlineStr"/>
      <c r="J1380" t="n">
        <v>10.2</v>
      </c>
      <c r="K1380" t="n">
        <v>12.9</v>
      </c>
      <c r="L1380" t="n">
        <v>3.1</v>
      </c>
      <c r="M1380" t="n">
        <v>1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n">
        <v>1201</v>
      </c>
      <c r="Z1380" t="inlineStr"/>
      <c r="AA1380" t="inlineStr"/>
      <c r="AB1380" t="inlineStr">
        <is>
          <t>U1379</t>
        </is>
      </c>
      <c r="AC1380" t="inlineStr">
        <is>
          <t>PO</t>
        </is>
      </c>
      <c r="AD1380" t="inlineStr"/>
      <c r="AE1380" t="n">
        <v>3.7</v>
      </c>
      <c r="AF1380" t="inlineStr"/>
      <c r="AG1380" t="inlineStr"/>
      <c r="AH1380" t="inlineStr"/>
      <c r="AI1380" t="n">
        <v>5.8</v>
      </c>
      <c r="AJ1380" t="n">
        <v>14.51</v>
      </c>
    </row>
    <row r="1381">
      <c r="A1381" t="inlineStr">
        <is>
          <t>Technical University of Madrid</t>
        </is>
      </c>
      <c r="B1381" t="inlineStr">
        <is>
          <t>Spain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>
        <is>
          <t>801–1000</t>
        </is>
      </c>
      <c r="O1381" t="inlineStr">
        <is>
          <t>32.7–36.9</t>
        </is>
      </c>
      <c r="P1381" t="n">
        <v>26.6</v>
      </c>
      <c r="Q1381" t="n">
        <v>15.8</v>
      </c>
      <c r="R1381" t="n">
        <v>49.8</v>
      </c>
      <c r="S1381" t="n">
        <v>57.4</v>
      </c>
      <c r="T1381" t="n">
        <v>53.8</v>
      </c>
      <c r="U1381" t="inlineStr">
        <is>
          <t>39,221</t>
        </is>
      </c>
      <c r="V1381" t="n">
        <v>15.8</v>
      </c>
      <c r="W1381" t="inlineStr">
        <is>
          <t>14%</t>
        </is>
      </c>
      <c r="X1381" t="inlineStr">
        <is>
          <t>33 : 67</t>
        </is>
      </c>
      <c r="Y1381" t="inlineStr"/>
      <c r="Z1381" t="n">
        <v>801</v>
      </c>
      <c r="AA1381" t="n">
        <v>34.8</v>
      </c>
      <c r="AB1381" t="inlineStr">
        <is>
          <t>U1380</t>
        </is>
      </c>
      <c r="AC1381" t="inlineStr">
        <is>
          <t>SP</t>
        </is>
      </c>
      <c r="AD1381" t="n">
        <v>34.8</v>
      </c>
      <c r="AE1381" t="n">
        <v>49.8</v>
      </c>
      <c r="AF1381" t="n">
        <v>15.8</v>
      </c>
      <c r="AG1381" t="inlineStr">
        <is>
          <t>1:15.8</t>
        </is>
      </c>
      <c r="AH1381" t="inlineStr">
        <is>
          <t>14%</t>
        </is>
      </c>
      <c r="AI1381" t="inlineStr"/>
      <c r="AJ1381" t="n">
        <v>29.78</v>
      </c>
    </row>
    <row r="1382">
      <c r="A1382" t="inlineStr">
        <is>
          <t>Technical University of Munich</t>
        </is>
      </c>
      <c r="B1382" t="inlineStr">
        <is>
          <t>Germany</t>
        </is>
      </c>
      <c r="C1382" t="inlineStr">
        <is>
          <t>28</t>
        </is>
      </c>
      <c r="D1382" t="n">
        <v>83.2</v>
      </c>
      <c r="E1382" t="n">
        <v>83</v>
      </c>
      <c r="F1382" t="n">
        <v>98.59999999999999</v>
      </c>
      <c r="G1382" t="n">
        <v>76.8</v>
      </c>
      <c r="H1382" t="n">
        <v>75.90000000000001</v>
      </c>
      <c r="I1382" t="n">
        <v>80.40000000000001</v>
      </c>
      <c r="J1382" t="n">
        <v>98.59999999999999</v>
      </c>
      <c r="K1382" t="n">
        <v>95.59999999999999</v>
      </c>
      <c r="L1382" t="n">
        <v>34.5</v>
      </c>
      <c r="M1382" t="n">
        <v>93.09999999999999</v>
      </c>
      <c r="N1382">
        <f>30</f>
        <v/>
      </c>
      <c r="O1382" t="inlineStr">
        <is>
          <t>82.5</t>
        </is>
      </c>
      <c r="P1382" t="n">
        <v>69.8</v>
      </c>
      <c r="Q1382" t="n">
        <v>85.09999999999999</v>
      </c>
      <c r="R1382" t="n">
        <v>90</v>
      </c>
      <c r="S1382" t="n">
        <v>100</v>
      </c>
      <c r="T1382" t="n">
        <v>83.09999999999999</v>
      </c>
      <c r="U1382" t="inlineStr">
        <is>
          <t>35,506</t>
        </is>
      </c>
      <c r="V1382" t="n">
        <v>44.4</v>
      </c>
      <c r="W1382" t="inlineStr">
        <is>
          <t>39%</t>
        </is>
      </c>
      <c r="X1382" t="inlineStr">
        <is>
          <t>37 : 63</t>
        </is>
      </c>
      <c r="Y1382" t="n">
        <v>28</v>
      </c>
      <c r="Z1382" t="n">
        <v>30</v>
      </c>
      <c r="AA1382" t="n">
        <v>82.5</v>
      </c>
      <c r="AB1382" t="inlineStr">
        <is>
          <t>U1381</t>
        </is>
      </c>
      <c r="AC1382" t="inlineStr">
        <is>
          <t>GE</t>
        </is>
      </c>
      <c r="AD1382" t="n">
        <v>83.2</v>
      </c>
      <c r="AE1382" t="n">
        <v>75.90000000000001</v>
      </c>
      <c r="AF1382" t="n">
        <v>44.4</v>
      </c>
      <c r="AG1382" t="inlineStr">
        <is>
          <t>1:44.4</t>
        </is>
      </c>
      <c r="AH1382" t="inlineStr">
        <is>
          <t>39%</t>
        </is>
      </c>
      <c r="AI1382" t="n">
        <v>83</v>
      </c>
      <c r="AJ1382" t="n">
        <v>81.09</v>
      </c>
    </row>
    <row r="1383">
      <c r="A1383" t="inlineStr">
        <is>
          <t>Technical University of Sofia</t>
        </is>
      </c>
      <c r="B1383" t="inlineStr">
        <is>
          <t>Bulgaria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>
        <is>
          <t>1501+</t>
        </is>
      </c>
      <c r="O1383" t="inlineStr">
        <is>
          <t>9.7–22.7</t>
        </is>
      </c>
      <c r="P1383" t="n">
        <v>23.2</v>
      </c>
      <c r="Q1383" t="n">
        <v>11.1</v>
      </c>
      <c r="R1383" t="n">
        <v>24.2</v>
      </c>
      <c r="S1383" t="n">
        <v>25</v>
      </c>
      <c r="T1383" t="n">
        <v>26.8</v>
      </c>
      <c r="U1383" t="inlineStr">
        <is>
          <t>10,318</t>
        </is>
      </c>
      <c r="V1383" t="n">
        <v>9.699999999999999</v>
      </c>
      <c r="W1383" t="inlineStr">
        <is>
          <t>9%</t>
        </is>
      </c>
      <c r="X1383" t="inlineStr">
        <is>
          <t>21 : 79</t>
        </is>
      </c>
      <c r="Y1383" t="inlineStr"/>
      <c r="Z1383" t="n">
        <v>1501</v>
      </c>
      <c r="AA1383" t="n">
        <v>16.2</v>
      </c>
      <c r="AB1383" t="inlineStr">
        <is>
          <t>U1382</t>
        </is>
      </c>
      <c r="AC1383" t="inlineStr">
        <is>
          <t>BU</t>
        </is>
      </c>
      <c r="AD1383" t="n">
        <v>16.2</v>
      </c>
      <c r="AE1383" t="n">
        <v>24.2</v>
      </c>
      <c r="AF1383" t="n">
        <v>9.699999999999999</v>
      </c>
      <c r="AG1383" t="inlineStr">
        <is>
          <t>1:9.7</t>
        </is>
      </c>
      <c r="AH1383" t="inlineStr">
        <is>
          <t>9%</t>
        </is>
      </c>
      <c r="AI1383" t="inlineStr"/>
      <c r="AJ1383" t="n">
        <v>13.02</v>
      </c>
    </row>
    <row r="1384">
      <c r="A1384" t="inlineStr">
        <is>
          <t>Technion - Israel Institute of Technology</t>
        </is>
      </c>
      <c r="B1384" t="inlineStr">
        <is>
          <t>Israel</t>
        </is>
      </c>
      <c r="C1384" t="inlineStr">
        <is>
          <t>416</t>
        </is>
      </c>
      <c r="D1384" t="n">
        <v>28.6</v>
      </c>
      <c r="E1384" t="n">
        <v>23.9</v>
      </c>
      <c r="F1384" t="n">
        <v>24.8</v>
      </c>
      <c r="G1384" t="n">
        <v>52</v>
      </c>
      <c r="H1384" t="n">
        <v>20.1</v>
      </c>
      <c r="I1384" t="n">
        <v>74.2</v>
      </c>
      <c r="J1384" t="n">
        <v>4.3</v>
      </c>
      <c r="K1384" t="n">
        <v>59.1</v>
      </c>
      <c r="L1384" t="n">
        <v>35.3</v>
      </c>
      <c r="M1384" t="n">
        <v>15</v>
      </c>
      <c r="N1384" t="inlineStr">
        <is>
          <t>351–400</t>
        </is>
      </c>
      <c r="O1384" t="inlineStr">
        <is>
          <t>49.1–51.0</t>
        </is>
      </c>
      <c r="P1384" t="n">
        <v>37.5</v>
      </c>
      <c r="Q1384" t="n">
        <v>34</v>
      </c>
      <c r="R1384" t="n">
        <v>66.90000000000001</v>
      </c>
      <c r="S1384" t="n">
        <v>68.09999999999999</v>
      </c>
      <c r="T1384" t="n">
        <v>71.8</v>
      </c>
      <c r="U1384" t="inlineStr">
        <is>
          <t>15,934</t>
        </is>
      </c>
      <c r="V1384" t="n">
        <v>22.7</v>
      </c>
      <c r="W1384" t="inlineStr">
        <is>
          <t>13%</t>
        </is>
      </c>
      <c r="X1384" t="inlineStr">
        <is>
          <t>40 : 60</t>
        </is>
      </c>
      <c r="Y1384" t="n">
        <v>416</v>
      </c>
      <c r="Z1384" t="n">
        <v>351</v>
      </c>
      <c r="AA1384" t="n">
        <v>50.05</v>
      </c>
      <c r="AB1384" t="inlineStr">
        <is>
          <t>U1383</t>
        </is>
      </c>
      <c r="AC1384" t="inlineStr">
        <is>
          <t>IS</t>
        </is>
      </c>
      <c r="AD1384" t="n">
        <v>28.6</v>
      </c>
      <c r="AE1384" t="n">
        <v>20.1</v>
      </c>
      <c r="AF1384" t="n">
        <v>22.7</v>
      </c>
      <c r="AG1384" t="inlineStr">
        <is>
          <t>1:22.7</t>
        </is>
      </c>
      <c r="AH1384" t="inlineStr">
        <is>
          <t>13%</t>
        </is>
      </c>
      <c r="AI1384" t="n">
        <v>23.9</v>
      </c>
      <c r="AJ1384" t="n">
        <v>34.67</v>
      </c>
    </row>
    <row r="1385">
      <c r="A1385" t="inlineStr">
        <is>
          <t>Technische Universität Bergakademie Freiberg</t>
        </is>
      </c>
      <c r="B1385" t="inlineStr">
        <is>
          <t>Germany</t>
        </is>
      </c>
      <c r="C1385" t="inlineStr">
        <is>
          <t>380</t>
        </is>
      </c>
      <c r="D1385" t="n">
        <v>30.8</v>
      </c>
      <c r="E1385" t="n">
        <v>4.9</v>
      </c>
      <c r="F1385" t="n">
        <v>4.8</v>
      </c>
      <c r="G1385" t="n">
        <v>3.5</v>
      </c>
      <c r="H1385" t="n">
        <v>99.09999999999999</v>
      </c>
      <c r="I1385" t="n">
        <v>41.4</v>
      </c>
      <c r="J1385" t="n">
        <v>100</v>
      </c>
      <c r="K1385" t="n">
        <v>41.6</v>
      </c>
      <c r="L1385" t="n">
        <v>1.9</v>
      </c>
      <c r="M1385" t="n">
        <v>1.1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n">
        <v>380</v>
      </c>
      <c r="Z1385" t="inlineStr"/>
      <c r="AA1385" t="inlineStr"/>
      <c r="AB1385" t="inlineStr">
        <is>
          <t>U1384</t>
        </is>
      </c>
      <c r="AC1385" t="inlineStr">
        <is>
          <t>GE</t>
        </is>
      </c>
      <c r="AD1385" t="n">
        <v>30.8</v>
      </c>
      <c r="AE1385" t="n">
        <v>99.09999999999999</v>
      </c>
      <c r="AF1385" t="inlineStr"/>
      <c r="AG1385" t="inlineStr"/>
      <c r="AH1385" t="inlineStr"/>
      <c r="AI1385" t="n">
        <v>4.9</v>
      </c>
      <c r="AJ1385" t="n">
        <v>43.42</v>
      </c>
    </row>
    <row r="1386">
      <c r="A1386" t="inlineStr">
        <is>
          <t>Technische Universität Berlin (TU Berlin)</t>
        </is>
      </c>
      <c r="B1386" t="inlineStr">
        <is>
          <t>Germany</t>
        </is>
      </c>
      <c r="C1386" t="inlineStr">
        <is>
          <t>147</t>
        </is>
      </c>
      <c r="D1386" t="n">
        <v>52.5</v>
      </c>
      <c r="E1386" t="n">
        <v>55.3</v>
      </c>
      <c r="F1386" t="n">
        <v>74.3</v>
      </c>
      <c r="G1386" t="n">
        <v>58</v>
      </c>
      <c r="H1386" t="n">
        <v>22.1</v>
      </c>
      <c r="I1386" t="n">
        <v>63.2</v>
      </c>
      <c r="J1386" t="n">
        <v>74.8</v>
      </c>
      <c r="K1386" t="n">
        <v>86.09999999999999</v>
      </c>
      <c r="L1386" t="n">
        <v>37.7</v>
      </c>
      <c r="M1386" t="n">
        <v>35.4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n">
        <v>147</v>
      </c>
      <c r="Z1386" t="inlineStr"/>
      <c r="AA1386" t="inlineStr"/>
      <c r="AB1386" t="inlineStr">
        <is>
          <t>U1385</t>
        </is>
      </c>
      <c r="AC1386" t="inlineStr">
        <is>
          <t>GE</t>
        </is>
      </c>
      <c r="AD1386" t="n">
        <v>52.5</v>
      </c>
      <c r="AE1386" t="n">
        <v>22.1</v>
      </c>
      <c r="AF1386" t="inlineStr"/>
      <c r="AG1386" t="inlineStr"/>
      <c r="AH1386" t="inlineStr"/>
      <c r="AI1386" t="n">
        <v>55.3</v>
      </c>
      <c r="AJ1386" t="n">
        <v>20.09</v>
      </c>
    </row>
    <row r="1387">
      <c r="A1387" t="inlineStr">
        <is>
          <t>Technische Universität Braunschweig</t>
        </is>
      </c>
      <c r="B1387" t="inlineStr">
        <is>
          <t>Germany</t>
        </is>
      </c>
      <c r="C1387" t="inlineStr">
        <is>
          <t>751-760</t>
        </is>
      </c>
      <c r="D1387" t="inlineStr"/>
      <c r="E1387" t="n">
        <v>10.9</v>
      </c>
      <c r="F1387" t="n">
        <v>14.3</v>
      </c>
      <c r="G1387" t="n">
        <v>55.5</v>
      </c>
      <c r="H1387" t="n">
        <v>5.5</v>
      </c>
      <c r="I1387" t="inlineStr"/>
      <c r="J1387" t="n">
        <v>24.2</v>
      </c>
      <c r="K1387" t="n">
        <v>66.40000000000001</v>
      </c>
      <c r="L1387" t="n">
        <v>12.6</v>
      </c>
      <c r="M1387" t="n">
        <v>7.3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n">
        <v>751</v>
      </c>
      <c r="Z1387" t="inlineStr"/>
      <c r="AA1387" t="inlineStr"/>
      <c r="AB1387" t="inlineStr">
        <is>
          <t>U1386</t>
        </is>
      </c>
      <c r="AC1387" t="inlineStr">
        <is>
          <t>GE</t>
        </is>
      </c>
      <c r="AD1387" t="inlineStr"/>
      <c r="AE1387" t="n">
        <v>5.5</v>
      </c>
      <c r="AF1387" t="inlineStr"/>
      <c r="AG1387" t="inlineStr"/>
      <c r="AH1387" t="inlineStr"/>
      <c r="AI1387" t="n">
        <v>10.9</v>
      </c>
      <c r="AJ1387" t="n">
        <v>15.06</v>
      </c>
    </row>
    <row r="1388">
      <c r="A1388" t="inlineStr">
        <is>
          <t>Technische Universität Dresden</t>
        </is>
      </c>
      <c r="B1388" t="inlineStr">
        <is>
          <t>Germany</t>
        </is>
      </c>
      <c r="C1388" t="inlineStr">
        <is>
          <t>234</t>
        </is>
      </c>
      <c r="D1388" t="n">
        <v>42.6</v>
      </c>
      <c r="E1388" t="n">
        <v>36.3</v>
      </c>
      <c r="F1388" t="n">
        <v>42.5</v>
      </c>
      <c r="G1388" t="n">
        <v>80.3</v>
      </c>
      <c r="H1388" t="n">
        <v>28.5</v>
      </c>
      <c r="I1388" t="n">
        <v>35.8</v>
      </c>
      <c r="J1388" t="n">
        <v>27.6</v>
      </c>
      <c r="K1388" t="n">
        <v>93.8</v>
      </c>
      <c r="L1388" t="n">
        <v>8.800000000000001</v>
      </c>
      <c r="M1388" t="n">
        <v>75.8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n">
        <v>234</v>
      </c>
      <c r="Z1388" t="inlineStr"/>
      <c r="AA1388" t="inlineStr"/>
      <c r="AB1388" t="inlineStr">
        <is>
          <t>U1387</t>
        </is>
      </c>
      <c r="AC1388" t="inlineStr">
        <is>
          <t>GE</t>
        </is>
      </c>
      <c r="AD1388" t="n">
        <v>42.6</v>
      </c>
      <c r="AE1388" t="n">
        <v>28.5</v>
      </c>
      <c r="AF1388" t="inlineStr"/>
      <c r="AG1388" t="inlineStr"/>
      <c r="AH1388" t="inlineStr"/>
      <c r="AI1388" t="n">
        <v>36.3</v>
      </c>
      <c r="AJ1388" t="n">
        <v>22.02</v>
      </c>
    </row>
    <row r="1389">
      <c r="A1389" t="inlineStr">
        <is>
          <t>Technische Universität Kaiserslautern</t>
        </is>
      </c>
      <c r="B1389" t="inlineStr">
        <is>
          <t>Germany</t>
        </is>
      </c>
      <c r="C1389" t="inlineStr">
        <is>
          <t>1201-1400</t>
        </is>
      </c>
      <c r="D1389" t="inlineStr"/>
      <c r="E1389" t="n">
        <v>6.3</v>
      </c>
      <c r="F1389" t="n">
        <v>2.4</v>
      </c>
      <c r="G1389" t="n">
        <v>17</v>
      </c>
      <c r="H1389" t="n">
        <v>4.6</v>
      </c>
      <c r="I1389" t="inlineStr"/>
      <c r="J1389" t="inlineStr"/>
      <c r="K1389" t="n">
        <v>56.4</v>
      </c>
      <c r="L1389" t="n">
        <v>2.2</v>
      </c>
      <c r="M1389" t="n">
        <v>1.1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n">
        <v>1201</v>
      </c>
      <c r="Z1389" t="inlineStr"/>
      <c r="AA1389" t="inlineStr"/>
      <c r="AB1389" t="inlineStr">
        <is>
          <t>U1388</t>
        </is>
      </c>
      <c r="AC1389" t="inlineStr">
        <is>
          <t>GE</t>
        </is>
      </c>
      <c r="AD1389" t="inlineStr"/>
      <c r="AE1389" t="n">
        <v>4.6</v>
      </c>
      <c r="AF1389" t="inlineStr"/>
      <c r="AG1389" t="inlineStr"/>
      <c r="AH1389" t="inlineStr"/>
      <c r="AI1389" t="n">
        <v>6.3</v>
      </c>
      <c r="AJ1389" t="n">
        <v>14.78</v>
      </c>
    </row>
    <row r="1390">
      <c r="A1390" t="inlineStr">
        <is>
          <t>Technische Universität Wien</t>
        </is>
      </c>
      <c r="B1390" t="inlineStr">
        <is>
          <t>Austria</t>
        </is>
      </c>
      <c r="C1390" t="inlineStr">
        <is>
          <t>190</t>
        </is>
      </c>
      <c r="D1390" t="n">
        <v>47.2</v>
      </c>
      <c r="E1390" t="n">
        <v>33.9</v>
      </c>
      <c r="F1390" t="n">
        <v>50.4</v>
      </c>
      <c r="G1390" t="n">
        <v>12.5</v>
      </c>
      <c r="H1390" t="n">
        <v>73.8</v>
      </c>
      <c r="I1390" t="n">
        <v>85.5</v>
      </c>
      <c r="J1390" t="n">
        <v>90.40000000000001</v>
      </c>
      <c r="K1390" t="n">
        <v>71.59999999999999</v>
      </c>
      <c r="L1390" t="n">
        <v>19.1</v>
      </c>
      <c r="M1390" t="n">
        <v>11.3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n">
        <v>190</v>
      </c>
      <c r="Z1390" t="inlineStr"/>
      <c r="AA1390" t="inlineStr"/>
      <c r="AB1390" t="inlineStr">
        <is>
          <t>U1389</t>
        </is>
      </c>
      <c r="AC1390" t="inlineStr">
        <is>
          <t>AU</t>
        </is>
      </c>
      <c r="AD1390" t="n">
        <v>47.2</v>
      </c>
      <c r="AE1390" t="n">
        <v>73.8</v>
      </c>
      <c r="AF1390" t="inlineStr"/>
      <c r="AG1390" t="inlineStr"/>
      <c r="AH1390" t="inlineStr"/>
      <c r="AI1390" t="n">
        <v>33.9</v>
      </c>
      <c r="AJ1390" t="n">
        <v>35.75</v>
      </c>
    </row>
    <row r="1391">
      <c r="A1391" t="inlineStr">
        <is>
          <t>Technological University Dublin</t>
        </is>
      </c>
      <c r="B1391" t="inlineStr">
        <is>
          <t>Ireland</t>
        </is>
      </c>
      <c r="C1391" t="inlineStr">
        <is>
          <t>851-900</t>
        </is>
      </c>
      <c r="D1391" t="inlineStr"/>
      <c r="E1391" t="n">
        <v>12.6</v>
      </c>
      <c r="F1391" t="n">
        <v>13.1</v>
      </c>
      <c r="G1391" t="n">
        <v>12.3</v>
      </c>
      <c r="H1391" t="n">
        <v>3.1</v>
      </c>
      <c r="I1391" t="n">
        <v>31.8</v>
      </c>
      <c r="J1391" t="n">
        <v>38.8</v>
      </c>
      <c r="K1391" t="n">
        <v>43.9</v>
      </c>
      <c r="L1391" t="n">
        <v>16.2</v>
      </c>
      <c r="M1391" t="n">
        <v>28.2</v>
      </c>
      <c r="N1391" t="inlineStr">
        <is>
          <t>1001–1200</t>
        </is>
      </c>
      <c r="O1391" t="inlineStr">
        <is>
          <t>28.3–32.6</t>
        </is>
      </c>
      <c r="P1391" t="n">
        <v>19.1</v>
      </c>
      <c r="Q1391" t="n">
        <v>13.1</v>
      </c>
      <c r="R1391" t="n">
        <v>45.6</v>
      </c>
      <c r="S1391" t="n">
        <v>66</v>
      </c>
      <c r="T1391" t="n">
        <v>64.90000000000001</v>
      </c>
      <c r="U1391" t="inlineStr">
        <is>
          <t>20,801</t>
        </is>
      </c>
      <c r="V1391" t="n">
        <v>18.7</v>
      </c>
      <c r="W1391" t="inlineStr">
        <is>
          <t>18%</t>
        </is>
      </c>
      <c r="X1391" t="inlineStr">
        <is>
          <t>44 : 56</t>
        </is>
      </c>
      <c r="Y1391" t="n">
        <v>851</v>
      </c>
      <c r="Z1391" t="n">
        <v>1001</v>
      </c>
      <c r="AA1391" t="n">
        <v>30.45</v>
      </c>
      <c r="AB1391" t="inlineStr">
        <is>
          <t>U1390</t>
        </is>
      </c>
      <c r="AC1391" t="inlineStr">
        <is>
          <t>IR</t>
        </is>
      </c>
      <c r="AD1391" t="n">
        <v>30.45</v>
      </c>
      <c r="AE1391" t="n">
        <v>3.1</v>
      </c>
      <c r="AF1391" t="n">
        <v>18.7</v>
      </c>
      <c r="AG1391" t="inlineStr">
        <is>
          <t>1:18.7</t>
        </is>
      </c>
      <c r="AH1391" t="inlineStr">
        <is>
          <t>18%</t>
        </is>
      </c>
      <c r="AI1391" t="n">
        <v>12.6</v>
      </c>
      <c r="AJ1391" t="n">
        <v>16.89</v>
      </c>
    </row>
    <row r="1392">
      <c r="A1392" t="inlineStr">
        <is>
          <t>Technological University of Pereira</t>
        </is>
      </c>
      <c r="B1392" t="inlineStr">
        <is>
          <t>Colombia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>
        <is>
          <t>1501+</t>
        </is>
      </c>
      <c r="O1392" t="inlineStr">
        <is>
          <t>9.7–22.7</t>
        </is>
      </c>
      <c r="P1392" t="n">
        <v>15</v>
      </c>
      <c r="Q1392" t="n">
        <v>4.6</v>
      </c>
      <c r="R1392" t="n">
        <v>14.8</v>
      </c>
      <c r="S1392" t="n">
        <v>19.2</v>
      </c>
      <c r="T1392" t="n">
        <v>32.4</v>
      </c>
      <c r="U1392" t="inlineStr">
        <is>
          <t>17,877</t>
        </is>
      </c>
      <c r="V1392" t="n">
        <v>17.8</v>
      </c>
      <c r="W1392" t="inlineStr">
        <is>
          <t>0%</t>
        </is>
      </c>
      <c r="X1392" t="inlineStr">
        <is>
          <t>44 : 56</t>
        </is>
      </c>
      <c r="Y1392" t="inlineStr"/>
      <c r="Z1392" t="n">
        <v>1501</v>
      </c>
      <c r="AA1392" t="n">
        <v>16.2</v>
      </c>
      <c r="AB1392" t="inlineStr">
        <is>
          <t>U1391</t>
        </is>
      </c>
      <c r="AC1392" t="inlineStr">
        <is>
          <t>CO</t>
        </is>
      </c>
      <c r="AD1392" t="n">
        <v>16.2</v>
      </c>
      <c r="AE1392" t="n">
        <v>14.8</v>
      </c>
      <c r="AF1392" t="n">
        <v>17.8</v>
      </c>
      <c r="AG1392" t="inlineStr">
        <is>
          <t>1:17.8</t>
        </is>
      </c>
      <c r="AH1392" t="inlineStr">
        <is>
          <t>0%</t>
        </is>
      </c>
      <c r="AI1392" t="inlineStr"/>
      <c r="AJ1392" t="n">
        <v>8.119999999999999</v>
      </c>
    </row>
    <row r="1393">
      <c r="A1393" t="inlineStr">
        <is>
          <t>Tecnológico de Costa Rica -TEC</t>
        </is>
      </c>
      <c r="B1393" t="inlineStr">
        <is>
          <t>Costa Rica</t>
        </is>
      </c>
      <c r="C1393" t="inlineStr">
        <is>
          <t>1001-1200</t>
        </is>
      </c>
      <c r="D1393" t="inlineStr"/>
      <c r="E1393" t="n">
        <v>8.4</v>
      </c>
      <c r="F1393" t="n">
        <v>21</v>
      </c>
      <c r="G1393" t="n">
        <v>21.4</v>
      </c>
      <c r="H1393" t="n">
        <v>1.4</v>
      </c>
      <c r="I1393" t="n">
        <v>7</v>
      </c>
      <c r="J1393" t="n">
        <v>1.9</v>
      </c>
      <c r="K1393" t="n">
        <v>12.4</v>
      </c>
      <c r="L1393" t="n">
        <v>8.800000000000001</v>
      </c>
      <c r="M1393" t="n">
        <v>1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n">
        <v>1001</v>
      </c>
      <c r="Z1393" t="inlineStr"/>
      <c r="AA1393" t="inlineStr"/>
      <c r="AB1393" t="inlineStr">
        <is>
          <t>U1392</t>
        </is>
      </c>
      <c r="AC1393" t="inlineStr">
        <is>
          <t>CO</t>
        </is>
      </c>
      <c r="AD1393" t="inlineStr"/>
      <c r="AE1393" t="n">
        <v>1.4</v>
      </c>
      <c r="AF1393" t="inlineStr"/>
      <c r="AG1393" t="inlineStr"/>
      <c r="AH1393" t="inlineStr"/>
      <c r="AI1393" t="n">
        <v>8.4</v>
      </c>
      <c r="AJ1393" t="n">
        <v>13.81</v>
      </c>
    </row>
    <row r="1394">
      <c r="A1394" t="inlineStr">
        <is>
          <t>Tecnológico de Monterrey</t>
        </is>
      </c>
      <c r="B1394" t="inlineStr">
        <is>
          <t>Mexico</t>
        </is>
      </c>
      <c r="C1394" t="inlineStr">
        <is>
          <t>185</t>
        </is>
      </c>
      <c r="D1394" t="n">
        <v>48.1</v>
      </c>
      <c r="E1394" t="n">
        <v>53.8</v>
      </c>
      <c r="F1394" t="n">
        <v>91.40000000000001</v>
      </c>
      <c r="G1394" t="n">
        <v>62.5</v>
      </c>
      <c r="H1394" t="n">
        <v>2.4</v>
      </c>
      <c r="I1394" t="n">
        <v>20.8</v>
      </c>
      <c r="J1394" t="n">
        <v>10.6</v>
      </c>
      <c r="K1394" t="n">
        <v>56.6</v>
      </c>
      <c r="L1394" t="n">
        <v>96.09999999999999</v>
      </c>
      <c r="M1394" t="n">
        <v>54.4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n">
        <v>185</v>
      </c>
      <c r="Z1394" t="inlineStr"/>
      <c r="AA1394" t="inlineStr"/>
      <c r="AB1394" t="inlineStr">
        <is>
          <t>U1393</t>
        </is>
      </c>
      <c r="AC1394" t="inlineStr">
        <is>
          <t>ME</t>
        </is>
      </c>
      <c r="AD1394" t="n">
        <v>48.1</v>
      </c>
      <c r="AE1394" t="n">
        <v>2.4</v>
      </c>
      <c r="AF1394" t="inlineStr"/>
      <c r="AG1394" t="inlineStr"/>
      <c r="AH1394" t="inlineStr"/>
      <c r="AI1394" t="n">
        <v>53.8</v>
      </c>
      <c r="AJ1394" t="n">
        <v>14.12</v>
      </c>
    </row>
    <row r="1395">
      <c r="A1395" t="inlineStr">
        <is>
          <t>Teesside University</t>
        </is>
      </c>
      <c r="B1395" t="inlineStr">
        <is>
          <t>United Kingdom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>
        <is>
          <t>1001–1200</t>
        </is>
      </c>
      <c r="O1395" t="inlineStr">
        <is>
          <t>28.3–32.6</t>
        </is>
      </c>
      <c r="P1395" t="n">
        <v>19.6</v>
      </c>
      <c r="Q1395" t="n">
        <v>13.1</v>
      </c>
      <c r="R1395" t="n">
        <v>52.7</v>
      </c>
      <c r="S1395" t="n">
        <v>19.7</v>
      </c>
      <c r="T1395" t="n">
        <v>81</v>
      </c>
      <c r="U1395" t="inlineStr">
        <is>
          <t>14,085</t>
        </is>
      </c>
      <c r="V1395" t="n">
        <v>19.4</v>
      </c>
      <c r="W1395" t="inlineStr">
        <is>
          <t>25%</t>
        </is>
      </c>
      <c r="X1395" t="inlineStr">
        <is>
          <t>57 : 43</t>
        </is>
      </c>
      <c r="Y1395" t="inlineStr"/>
      <c r="Z1395" t="n">
        <v>1001</v>
      </c>
      <c r="AA1395" t="n">
        <v>30.45</v>
      </c>
      <c r="AB1395" t="inlineStr">
        <is>
          <t>U1394</t>
        </is>
      </c>
      <c r="AC1395" t="inlineStr">
        <is>
          <t>UN</t>
        </is>
      </c>
      <c r="AD1395" t="n">
        <v>30.45</v>
      </c>
      <c r="AE1395" t="n">
        <v>52.7</v>
      </c>
      <c r="AF1395" t="n">
        <v>19.4</v>
      </c>
      <c r="AG1395" t="inlineStr">
        <is>
          <t>1:19.4</t>
        </is>
      </c>
      <c r="AH1395" t="inlineStr">
        <is>
          <t>25%</t>
        </is>
      </c>
      <c r="AI1395" t="inlineStr"/>
      <c r="AJ1395" t="n">
        <v>35.82</v>
      </c>
    </row>
    <row r="1396">
      <c r="A1396" t="inlineStr">
        <is>
          <t>Ştefan cel Mare University of Suceava</t>
        </is>
      </c>
      <c r="B1396" t="inlineStr">
        <is>
          <t>Romania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>
        <is>
          <t>1201–1500</t>
        </is>
      </c>
      <c r="O1396" t="inlineStr">
        <is>
          <t>22.8–28.2</t>
        </is>
      </c>
      <c r="P1396" t="n">
        <v>15.6</v>
      </c>
      <c r="Q1396" t="n">
        <v>13</v>
      </c>
      <c r="R1396" t="n">
        <v>49.3</v>
      </c>
      <c r="S1396" t="n">
        <v>16.8</v>
      </c>
      <c r="T1396" t="n">
        <v>36.9</v>
      </c>
      <c r="U1396" t="inlineStr">
        <is>
          <t>8,939</t>
        </is>
      </c>
      <c r="V1396" t="n">
        <v>22.9</v>
      </c>
      <c r="W1396" t="inlineStr">
        <is>
          <t>14%</t>
        </is>
      </c>
      <c r="X1396" t="inlineStr">
        <is>
          <t>59 : 41</t>
        </is>
      </c>
      <c r="Y1396" t="inlineStr"/>
      <c r="Z1396" t="n">
        <v>1201</v>
      </c>
      <c r="AA1396" t="n">
        <v>25.5</v>
      </c>
      <c r="AB1396" t="inlineStr">
        <is>
          <t>U1395</t>
        </is>
      </c>
      <c r="AC1396" t="inlineStr">
        <is>
          <t>RO</t>
        </is>
      </c>
      <c r="AD1396" t="n">
        <v>25.5</v>
      </c>
      <c r="AE1396" t="n">
        <v>49.3</v>
      </c>
      <c r="AF1396" t="n">
        <v>22.9</v>
      </c>
      <c r="AG1396" t="inlineStr">
        <is>
          <t>1:22.9</t>
        </is>
      </c>
      <c r="AH1396" t="inlineStr">
        <is>
          <t>14%</t>
        </is>
      </c>
      <c r="AI1396" t="inlineStr"/>
      <c r="AJ1396" t="n">
        <v>24.07</v>
      </c>
    </row>
    <row r="1397">
      <c r="A1397" t="inlineStr">
        <is>
          <t>Tehran University of Medical Sciences</t>
        </is>
      </c>
      <c r="B1397" t="inlineStr">
        <is>
          <t>Iran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>
        <is>
          <t>601–800</t>
        </is>
      </c>
      <c r="O1397" t="inlineStr">
        <is>
          <t>37.0–41.8</t>
        </is>
      </c>
      <c r="P1397" t="n">
        <v>50</v>
      </c>
      <c r="Q1397" t="n">
        <v>18.5</v>
      </c>
      <c r="R1397" t="n">
        <v>54.3</v>
      </c>
      <c r="S1397" t="n">
        <v>45.1</v>
      </c>
      <c r="T1397" t="n">
        <v>37.5</v>
      </c>
      <c r="U1397" t="inlineStr">
        <is>
          <t>11,742</t>
        </is>
      </c>
      <c r="V1397" t="n">
        <v>6.2</v>
      </c>
      <c r="W1397" t="inlineStr">
        <is>
          <t>12%</t>
        </is>
      </c>
      <c r="X1397" t="inlineStr">
        <is>
          <t>56 : 44</t>
        </is>
      </c>
      <c r="Y1397" t="inlineStr"/>
      <c r="Z1397" t="n">
        <v>601</v>
      </c>
      <c r="AA1397" t="n">
        <v>39.4</v>
      </c>
      <c r="AB1397" t="inlineStr">
        <is>
          <t>U1396</t>
        </is>
      </c>
      <c r="AC1397" t="inlineStr">
        <is>
          <t>IR</t>
        </is>
      </c>
      <c r="AD1397" t="n">
        <v>39.4</v>
      </c>
      <c r="AE1397" t="n">
        <v>54.3</v>
      </c>
      <c r="AF1397" t="n">
        <v>6.2</v>
      </c>
      <c r="AG1397" t="inlineStr">
        <is>
          <t>1:6.2</t>
        </is>
      </c>
      <c r="AH1397" t="inlineStr">
        <is>
          <t>12%</t>
        </is>
      </c>
      <c r="AI1397" t="inlineStr"/>
      <c r="AJ1397" t="n">
        <v>28.61</v>
      </c>
    </row>
    <row r="1398">
      <c r="A1398" t="inlineStr">
        <is>
          <t>Teikyo University</t>
        </is>
      </c>
      <c r="B1398" t="inlineStr">
        <is>
          <t>Japan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>
        <is>
          <t>1501+</t>
        </is>
      </c>
      <c r="O1398" t="inlineStr">
        <is>
          <t>9.7–22.7</t>
        </is>
      </c>
      <c r="P1398" t="n">
        <v>17.4</v>
      </c>
      <c r="Q1398" t="n">
        <v>12.7</v>
      </c>
      <c r="R1398" t="n">
        <v>33.9</v>
      </c>
      <c r="S1398" t="n">
        <v>37.2</v>
      </c>
      <c r="T1398" t="n">
        <v>26.7</v>
      </c>
      <c r="U1398" t="inlineStr">
        <is>
          <t>23,162</t>
        </is>
      </c>
      <c r="V1398" t="n">
        <v>16</v>
      </c>
      <c r="W1398" t="inlineStr">
        <is>
          <t>5%</t>
        </is>
      </c>
      <c r="X1398" t="inlineStr">
        <is>
          <t>36 : 64</t>
        </is>
      </c>
      <c r="Y1398" t="inlineStr"/>
      <c r="Z1398" t="n">
        <v>1501</v>
      </c>
      <c r="AA1398" t="n">
        <v>16.2</v>
      </c>
      <c r="AB1398" t="inlineStr">
        <is>
          <t>U1397</t>
        </is>
      </c>
      <c r="AC1398" t="inlineStr">
        <is>
          <t>JA</t>
        </is>
      </c>
      <c r="AD1398" t="n">
        <v>16.2</v>
      </c>
      <c r="AE1398" t="n">
        <v>33.9</v>
      </c>
      <c r="AF1398" t="n">
        <v>16</v>
      </c>
      <c r="AG1398" t="inlineStr">
        <is>
          <t>1:16.0</t>
        </is>
      </c>
      <c r="AH1398" t="inlineStr">
        <is>
          <t>5%</t>
        </is>
      </c>
      <c r="AI1398" t="inlineStr"/>
      <c r="AJ1398" t="n">
        <v>16.78</v>
      </c>
    </row>
    <row r="1399">
      <c r="A1399" t="inlineStr">
        <is>
          <t>Tel Aviv University</t>
        </is>
      </c>
      <c r="B1399" t="inlineStr">
        <is>
          <t>Israel</t>
        </is>
      </c>
      <c r="C1399" t="inlineStr">
        <is>
          <t>209</t>
        </is>
      </c>
      <c r="D1399" t="n">
        <v>45.2</v>
      </c>
      <c r="E1399" t="n">
        <v>32</v>
      </c>
      <c r="F1399" t="n">
        <v>18.6</v>
      </c>
      <c r="G1399" t="n">
        <v>4.2</v>
      </c>
      <c r="H1399" t="n">
        <v>99.40000000000001</v>
      </c>
      <c r="I1399" t="n">
        <v>39.7</v>
      </c>
      <c r="J1399" t="n">
        <v>7</v>
      </c>
      <c r="K1399" t="n">
        <v>77.90000000000001</v>
      </c>
      <c r="L1399" t="n">
        <v>88.40000000000001</v>
      </c>
      <c r="M1399" t="n">
        <v>46.2</v>
      </c>
      <c r="N1399" t="inlineStr">
        <is>
          <t>201–250</t>
        </is>
      </c>
      <c r="O1399" t="inlineStr">
        <is>
          <t>55.9–58.6</t>
        </is>
      </c>
      <c r="P1399" t="n">
        <v>40.7</v>
      </c>
      <c r="Q1399" t="n">
        <v>49.7</v>
      </c>
      <c r="R1399" t="n">
        <v>83</v>
      </c>
      <c r="S1399" t="n">
        <v>76.2</v>
      </c>
      <c r="T1399" t="n">
        <v>52.9</v>
      </c>
      <c r="U1399" t="inlineStr">
        <is>
          <t>24,995</t>
        </is>
      </c>
      <c r="V1399" t="n">
        <v>24.2</v>
      </c>
      <c r="W1399" t="inlineStr">
        <is>
          <t>5%</t>
        </is>
      </c>
      <c r="X1399" t="inlineStr">
        <is>
          <t>57 : 43</t>
        </is>
      </c>
      <c r="Y1399" t="n">
        <v>209</v>
      </c>
      <c r="Z1399" t="n">
        <v>201</v>
      </c>
      <c r="AA1399" t="n">
        <v>57.25</v>
      </c>
      <c r="AB1399" t="inlineStr">
        <is>
          <t>U1398</t>
        </is>
      </c>
      <c r="AC1399" t="inlineStr">
        <is>
          <t>IS</t>
        </is>
      </c>
      <c r="AD1399" t="n">
        <v>45.2</v>
      </c>
      <c r="AE1399" t="n">
        <v>99.40000000000001</v>
      </c>
      <c r="AF1399" t="n">
        <v>24.2</v>
      </c>
      <c r="AG1399" t="inlineStr">
        <is>
          <t>1:24.2</t>
        </is>
      </c>
      <c r="AH1399" t="inlineStr">
        <is>
          <t>5%</t>
        </is>
      </c>
      <c r="AI1399" t="n">
        <v>32</v>
      </c>
      <c r="AJ1399" t="n">
        <v>62.36</v>
      </c>
    </row>
    <row r="1400">
      <c r="A1400" t="inlineStr">
        <is>
          <t>Telkom University</t>
        </is>
      </c>
      <c r="B1400" t="inlineStr">
        <is>
          <t>Indonesia</t>
        </is>
      </c>
      <c r="C1400" t="inlineStr">
        <is>
          <t>1001-1200</t>
        </is>
      </c>
      <c r="D1400" t="inlineStr"/>
      <c r="E1400" t="n">
        <v>8.699999999999999</v>
      </c>
      <c r="F1400" t="n">
        <v>12.1</v>
      </c>
      <c r="G1400" t="n">
        <v>21.3</v>
      </c>
      <c r="H1400" t="n">
        <v>1.5</v>
      </c>
      <c r="I1400" t="n">
        <v>35.5</v>
      </c>
      <c r="J1400" t="n">
        <v>6.5</v>
      </c>
      <c r="K1400" t="n">
        <v>10</v>
      </c>
      <c r="L1400" t="n">
        <v>5.7</v>
      </c>
      <c r="M1400" t="n">
        <v>1.5</v>
      </c>
      <c r="N1400" t="inlineStr">
        <is>
          <t>1501+</t>
        </is>
      </c>
      <c r="O1400" t="inlineStr">
        <is>
          <t>9.7–22.7</t>
        </is>
      </c>
      <c r="P1400" t="n">
        <v>15</v>
      </c>
      <c r="Q1400" t="n">
        <v>11</v>
      </c>
      <c r="R1400" t="n">
        <v>28.5</v>
      </c>
      <c r="S1400" t="n">
        <v>21.3</v>
      </c>
      <c r="T1400" t="n">
        <v>38.1</v>
      </c>
      <c r="U1400" t="inlineStr">
        <is>
          <t>18,956</t>
        </is>
      </c>
      <c r="V1400" t="n">
        <v>16.8</v>
      </c>
      <c r="W1400" t="inlineStr">
        <is>
          <t>3%</t>
        </is>
      </c>
      <c r="X1400" t="inlineStr">
        <is>
          <t>42 : 58</t>
        </is>
      </c>
      <c r="Y1400" t="n">
        <v>1001</v>
      </c>
      <c r="Z1400" t="n">
        <v>1501</v>
      </c>
      <c r="AA1400" t="n">
        <v>16.2</v>
      </c>
      <c r="AB1400" t="inlineStr">
        <is>
          <t>U1399</t>
        </is>
      </c>
      <c r="AC1400" t="inlineStr">
        <is>
          <t>IN</t>
        </is>
      </c>
      <c r="AD1400" t="n">
        <v>16.2</v>
      </c>
      <c r="AE1400" t="n">
        <v>1.5</v>
      </c>
      <c r="AF1400" t="n">
        <v>16.8</v>
      </c>
      <c r="AG1400" t="inlineStr">
        <is>
          <t>1:16.8</t>
        </is>
      </c>
      <c r="AH1400" t="inlineStr">
        <is>
          <t>3%</t>
        </is>
      </c>
      <c r="AI1400" t="n">
        <v>8.699999999999999</v>
      </c>
      <c r="AJ1400" t="n">
        <v>8.83</v>
      </c>
    </row>
    <row r="1401">
      <c r="A1401" t="inlineStr">
        <is>
          <t>Temple University</t>
        </is>
      </c>
      <c r="B1401" t="inlineStr">
        <is>
          <t>United States</t>
        </is>
      </c>
      <c r="C1401" t="inlineStr">
        <is>
          <t>681-690</t>
        </is>
      </c>
      <c r="D1401" t="inlineStr"/>
      <c r="E1401" t="n">
        <v>12.3</v>
      </c>
      <c r="F1401" t="n">
        <v>7.1</v>
      </c>
      <c r="G1401" t="n">
        <v>29.2</v>
      </c>
      <c r="H1401" t="n">
        <v>16.9</v>
      </c>
      <c r="I1401" t="n">
        <v>3</v>
      </c>
      <c r="J1401" t="n">
        <v>5.7</v>
      </c>
      <c r="K1401" t="n">
        <v>77.2</v>
      </c>
      <c r="L1401" t="n">
        <v>23.2</v>
      </c>
      <c r="M1401" t="n">
        <v>61.9</v>
      </c>
      <c r="N1401" t="inlineStr">
        <is>
          <t>351–400</t>
        </is>
      </c>
      <c r="O1401" t="inlineStr">
        <is>
          <t>49.1–51.0</t>
        </is>
      </c>
      <c r="P1401" t="n">
        <v>40.7</v>
      </c>
      <c r="Q1401" t="n">
        <v>24.3</v>
      </c>
      <c r="R1401" t="n">
        <v>85.2</v>
      </c>
      <c r="S1401" t="n">
        <v>70.40000000000001</v>
      </c>
      <c r="T1401" t="n">
        <v>43.6</v>
      </c>
      <c r="U1401" t="inlineStr">
        <is>
          <t>34,069</t>
        </is>
      </c>
      <c r="V1401" t="n">
        <v>12.3</v>
      </c>
      <c r="W1401" t="inlineStr">
        <is>
          <t>6%</t>
        </is>
      </c>
      <c r="X1401" t="inlineStr">
        <is>
          <t>56 : 44</t>
        </is>
      </c>
      <c r="Y1401" t="n">
        <v>681</v>
      </c>
      <c r="Z1401" t="n">
        <v>351</v>
      </c>
      <c r="AA1401" t="n">
        <v>50.05</v>
      </c>
      <c r="AB1401" t="inlineStr">
        <is>
          <t>U1400</t>
        </is>
      </c>
      <c r="AC1401" t="inlineStr">
        <is>
          <t>UN</t>
        </is>
      </c>
      <c r="AD1401" t="n">
        <v>50.05</v>
      </c>
      <c r="AE1401" t="n">
        <v>16.9</v>
      </c>
      <c r="AF1401" t="n">
        <v>12.3</v>
      </c>
      <c r="AG1401" t="inlineStr">
        <is>
          <t>1:12.3</t>
        </is>
      </c>
      <c r="AH1401" t="inlineStr">
        <is>
          <t>6%</t>
        </is>
      </c>
      <c r="AI1401" t="n">
        <v>12.3</v>
      </c>
      <c r="AJ1401" t="n">
        <v>21.79</v>
      </c>
    </row>
    <row r="1402">
      <c r="A1402" t="inlineStr">
        <is>
          <t>Temuco Catholic University</t>
        </is>
      </c>
      <c r="B1402" t="inlineStr">
        <is>
          <t>Chile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>
        <is>
          <t>1501+</t>
        </is>
      </c>
      <c r="O1402" t="inlineStr">
        <is>
          <t>9.7–22.7</t>
        </is>
      </c>
      <c r="P1402" t="n">
        <v>19.8</v>
      </c>
      <c r="Q1402" t="n">
        <v>10.5</v>
      </c>
      <c r="R1402" t="n">
        <v>12.7</v>
      </c>
      <c r="S1402" t="n">
        <v>23.9</v>
      </c>
      <c r="T1402" t="n">
        <v>43.1</v>
      </c>
      <c r="U1402" t="inlineStr">
        <is>
          <t>10,775</t>
        </is>
      </c>
      <c r="V1402" t="n">
        <v>11.1</v>
      </c>
      <c r="W1402" t="inlineStr">
        <is>
          <t>0%</t>
        </is>
      </c>
      <c r="X1402" t="inlineStr">
        <is>
          <t>61 : 39</t>
        </is>
      </c>
      <c r="Y1402" t="inlineStr"/>
      <c r="Z1402" t="n">
        <v>1501</v>
      </c>
      <c r="AA1402" t="n">
        <v>16.2</v>
      </c>
      <c r="AB1402" t="inlineStr">
        <is>
          <t>U1401</t>
        </is>
      </c>
      <c r="AC1402" t="inlineStr">
        <is>
          <t>CH</t>
        </is>
      </c>
      <c r="AD1402" t="n">
        <v>16.2</v>
      </c>
      <c r="AE1402" t="n">
        <v>12.7</v>
      </c>
      <c r="AF1402" t="n">
        <v>11.1</v>
      </c>
      <c r="AG1402" t="inlineStr">
        <is>
          <t>1:11.1</t>
        </is>
      </c>
      <c r="AH1402" t="inlineStr">
        <is>
          <t>0%</t>
        </is>
      </c>
      <c r="AI1402" t="inlineStr"/>
      <c r="AJ1402" t="n">
        <v>13.17</v>
      </c>
    </row>
    <row r="1403">
      <c r="A1403" t="inlineStr">
        <is>
          <t>Texas A&amp;M University</t>
        </is>
      </c>
      <c r="B1403" t="inlineStr">
        <is>
          <t>United States</t>
        </is>
      </c>
      <c r="C1403" t="inlineStr">
        <is>
          <t>154</t>
        </is>
      </c>
      <c r="D1403" t="n">
        <v>51.8</v>
      </c>
      <c r="E1403" t="n">
        <v>61.2</v>
      </c>
      <c r="F1403" t="n">
        <v>66</v>
      </c>
      <c r="G1403" t="n">
        <v>4.4</v>
      </c>
      <c r="H1403" t="n">
        <v>64.3</v>
      </c>
      <c r="I1403" t="n">
        <v>21.9</v>
      </c>
      <c r="J1403" t="n">
        <v>12.1</v>
      </c>
      <c r="K1403" t="n">
        <v>92.59999999999999</v>
      </c>
      <c r="L1403" t="n">
        <v>44.4</v>
      </c>
      <c r="M1403" t="n">
        <v>39.5</v>
      </c>
      <c r="N1403" t="inlineStr">
        <is>
          <t>118</t>
        </is>
      </c>
      <c r="O1403" t="inlineStr">
        <is>
          <t>65.3</t>
        </is>
      </c>
      <c r="P1403" t="n">
        <v>55.2</v>
      </c>
      <c r="Q1403" t="n">
        <v>62.1</v>
      </c>
      <c r="R1403" t="n">
        <v>77.3</v>
      </c>
      <c r="S1403" t="n">
        <v>76.40000000000001</v>
      </c>
      <c r="T1403" t="n">
        <v>64.09999999999999</v>
      </c>
      <c r="U1403" t="inlineStr">
        <is>
          <t>64,427</t>
        </is>
      </c>
      <c r="V1403" t="n">
        <v>20.5</v>
      </c>
      <c r="W1403" t="inlineStr">
        <is>
          <t>6%</t>
        </is>
      </c>
      <c r="X1403" t="inlineStr">
        <is>
          <t>47 : 53</t>
        </is>
      </c>
      <c r="Y1403" t="n">
        <v>154</v>
      </c>
      <c r="Z1403" t="n">
        <v>118</v>
      </c>
      <c r="AA1403" t="n">
        <v>65.3</v>
      </c>
      <c r="AB1403" t="inlineStr">
        <is>
          <t>U1402</t>
        </is>
      </c>
      <c r="AC1403" t="inlineStr">
        <is>
          <t>UN</t>
        </is>
      </c>
      <c r="AD1403" t="n">
        <v>51.8</v>
      </c>
      <c r="AE1403" t="n">
        <v>64.3</v>
      </c>
      <c r="AF1403" t="n">
        <v>20.5</v>
      </c>
      <c r="AG1403" t="inlineStr">
        <is>
          <t>1:20.5</t>
        </is>
      </c>
      <c r="AH1403" t="inlineStr">
        <is>
          <t>6%</t>
        </is>
      </c>
      <c r="AI1403" t="n">
        <v>61.2</v>
      </c>
      <c r="AJ1403" t="n">
        <v>60.93</v>
      </c>
    </row>
    <row r="1404">
      <c r="A1404" t="inlineStr">
        <is>
          <t>Texas State University</t>
        </is>
      </c>
      <c r="B1404" t="inlineStr">
        <is>
          <t>United States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>
        <is>
          <t>1001–1200</t>
        </is>
      </c>
      <c r="O1404" t="inlineStr">
        <is>
          <t>28.3–32.6</t>
        </is>
      </c>
      <c r="P1404" t="n">
        <v>17.8</v>
      </c>
      <c r="Q1404" t="n">
        <v>16</v>
      </c>
      <c r="R1404" t="n">
        <v>47.8</v>
      </c>
      <c r="S1404" t="n">
        <v>31.6</v>
      </c>
      <c r="T1404" t="n">
        <v>43.9</v>
      </c>
      <c r="U1404" t="inlineStr">
        <is>
          <t>30,895</t>
        </is>
      </c>
      <c r="V1404" t="n">
        <v>20</v>
      </c>
      <c r="W1404" t="inlineStr">
        <is>
          <t>1%</t>
        </is>
      </c>
      <c r="X1404" t="inlineStr">
        <is>
          <t>60 : 40</t>
        </is>
      </c>
      <c r="Y1404" t="inlineStr"/>
      <c r="Z1404" t="n">
        <v>1001</v>
      </c>
      <c r="AA1404" t="n">
        <v>30.45</v>
      </c>
      <c r="AB1404" t="inlineStr">
        <is>
          <t>U1403</t>
        </is>
      </c>
      <c r="AC1404" t="inlineStr">
        <is>
          <t>UN</t>
        </is>
      </c>
      <c r="AD1404" t="n">
        <v>30.45</v>
      </c>
      <c r="AE1404" t="n">
        <v>47.8</v>
      </c>
      <c r="AF1404" t="n">
        <v>20</v>
      </c>
      <c r="AG1404" t="inlineStr">
        <is>
          <t>1:20.0</t>
        </is>
      </c>
      <c r="AH1404" t="inlineStr">
        <is>
          <t>1%</t>
        </is>
      </c>
      <c r="AI1404" t="inlineStr"/>
      <c r="AJ1404" t="n">
        <v>26.88</v>
      </c>
    </row>
    <row r="1405">
      <c r="A1405" t="inlineStr">
        <is>
          <t>Texas Tech University</t>
        </is>
      </c>
      <c r="B1405" t="inlineStr">
        <is>
          <t>United States</t>
        </is>
      </c>
      <c r="C1405" t="inlineStr">
        <is>
          <t>781-790</t>
        </is>
      </c>
      <c r="D1405" t="inlineStr"/>
      <c r="E1405" t="n">
        <v>10.9</v>
      </c>
      <c r="F1405" t="n">
        <v>10.6</v>
      </c>
      <c r="G1405" t="n">
        <v>6.2</v>
      </c>
      <c r="H1405" t="n">
        <v>11.3</v>
      </c>
      <c r="I1405" t="n">
        <v>36.6</v>
      </c>
      <c r="J1405" t="n">
        <v>9.6</v>
      </c>
      <c r="K1405" t="n">
        <v>70.5</v>
      </c>
      <c r="L1405" t="n">
        <v>13.7</v>
      </c>
      <c r="M1405" t="n">
        <v>55.4</v>
      </c>
      <c r="N1405" t="inlineStr">
        <is>
          <t>601–800</t>
        </is>
      </c>
      <c r="O1405" t="inlineStr">
        <is>
          <t>37.0–41.8</t>
        </is>
      </c>
      <c r="P1405" t="n">
        <v>30.7</v>
      </c>
      <c r="Q1405" t="n">
        <v>20.9</v>
      </c>
      <c r="R1405" t="n">
        <v>56.9</v>
      </c>
      <c r="S1405" t="n">
        <v>58</v>
      </c>
      <c r="T1405" t="n">
        <v>58.9</v>
      </c>
      <c r="U1405" t="inlineStr">
        <is>
          <t>37,331</t>
        </is>
      </c>
      <c r="V1405" t="n">
        <v>21.1</v>
      </c>
      <c r="W1405" t="inlineStr">
        <is>
          <t>6%</t>
        </is>
      </c>
      <c r="X1405" t="inlineStr">
        <is>
          <t>50 : 50</t>
        </is>
      </c>
      <c r="Y1405" t="n">
        <v>781</v>
      </c>
      <c r="Z1405" t="n">
        <v>601</v>
      </c>
      <c r="AA1405" t="n">
        <v>39.4</v>
      </c>
      <c r="AB1405" t="inlineStr">
        <is>
          <t>U1404</t>
        </is>
      </c>
      <c r="AC1405" t="inlineStr">
        <is>
          <t>UN</t>
        </is>
      </c>
      <c r="AD1405" t="n">
        <v>39.4</v>
      </c>
      <c r="AE1405" t="n">
        <v>11.3</v>
      </c>
      <c r="AF1405" t="n">
        <v>21.1</v>
      </c>
      <c r="AG1405" t="inlineStr">
        <is>
          <t>1:21.1</t>
        </is>
      </c>
      <c r="AH1405" t="inlineStr">
        <is>
          <t>6%</t>
        </is>
      </c>
      <c r="AI1405" t="n">
        <v>10.9</v>
      </c>
      <c r="AJ1405" t="n">
        <v>22.01</v>
      </c>
    </row>
    <row r="1406">
      <c r="A1406" t="inlineStr">
        <is>
          <t>Tezpur University</t>
        </is>
      </c>
      <c r="B1406" t="inlineStr">
        <is>
          <t>India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>
        <is>
          <t>1201–1500</t>
        </is>
      </c>
      <c r="O1406" t="inlineStr">
        <is>
          <t>22.8–28.2</t>
        </is>
      </c>
      <c r="P1406" t="n">
        <v>31.3</v>
      </c>
      <c r="Q1406" t="n">
        <v>15.3</v>
      </c>
      <c r="R1406" t="n">
        <v>27.9</v>
      </c>
      <c r="S1406" t="n">
        <v>33.8</v>
      </c>
      <c r="T1406" t="n">
        <v>18.4</v>
      </c>
      <c r="U1406" t="inlineStr">
        <is>
          <t>4,447</t>
        </is>
      </c>
      <c r="V1406" t="n">
        <v>15.3</v>
      </c>
      <c r="W1406" t="inlineStr">
        <is>
          <t>1%</t>
        </is>
      </c>
      <c r="X1406" t="inlineStr">
        <is>
          <t>43 : 57</t>
        </is>
      </c>
      <c r="Y1406" t="inlineStr"/>
      <c r="Z1406" t="n">
        <v>1201</v>
      </c>
      <c r="AA1406" t="n">
        <v>25.5</v>
      </c>
      <c r="AB1406" t="inlineStr">
        <is>
          <t>U1405</t>
        </is>
      </c>
      <c r="AC1406" t="inlineStr">
        <is>
          <t>IN</t>
        </is>
      </c>
      <c r="AD1406" t="n">
        <v>25.5</v>
      </c>
      <c r="AE1406" t="n">
        <v>27.9</v>
      </c>
      <c r="AF1406" t="n">
        <v>15.3</v>
      </c>
      <c r="AG1406" t="inlineStr">
        <is>
          <t>1:15.3</t>
        </is>
      </c>
      <c r="AH1406" t="inlineStr">
        <is>
          <t>1%</t>
        </is>
      </c>
      <c r="AI1406" t="inlineStr"/>
      <c r="AJ1406" t="n">
        <v>14.32</v>
      </c>
    </row>
    <row r="1407">
      <c r="A1407" t="inlineStr">
        <is>
          <t>Thammasat University</t>
        </is>
      </c>
      <c r="B1407" t="inlineStr">
        <is>
          <t>Thailand</t>
        </is>
      </c>
      <c r="C1407" t="inlineStr">
        <is>
          <t>596</t>
        </is>
      </c>
      <c r="D1407" t="n">
        <v>20.8</v>
      </c>
      <c r="E1407" t="n">
        <v>24.6</v>
      </c>
      <c r="F1407" t="n">
        <v>19.4</v>
      </c>
      <c r="G1407" t="n">
        <v>26.6</v>
      </c>
      <c r="H1407" t="n">
        <v>2.1</v>
      </c>
      <c r="I1407" t="n">
        <v>9.1</v>
      </c>
      <c r="J1407" t="n">
        <v>1.7</v>
      </c>
      <c r="K1407" t="n">
        <v>41</v>
      </c>
      <c r="L1407" t="n">
        <v>84.59999999999999</v>
      </c>
      <c r="M1407" t="n">
        <v>33.6</v>
      </c>
      <c r="N1407" t="inlineStr">
        <is>
          <t>1201–1500</t>
        </is>
      </c>
      <c r="O1407" t="inlineStr">
        <is>
          <t>22.8–28.2</t>
        </is>
      </c>
      <c r="P1407" t="n">
        <v>26.3</v>
      </c>
      <c r="Q1407" t="n">
        <v>19.1</v>
      </c>
      <c r="R1407" t="n">
        <v>25.7</v>
      </c>
      <c r="S1407" t="n">
        <v>30.1</v>
      </c>
      <c r="T1407" t="n">
        <v>38.1</v>
      </c>
      <c r="U1407" t="inlineStr">
        <is>
          <t>30,488</t>
        </is>
      </c>
      <c r="V1407" t="n">
        <v>11.4</v>
      </c>
      <c r="W1407" t="inlineStr">
        <is>
          <t>1%</t>
        </is>
      </c>
      <c r="X1407" t="inlineStr">
        <is>
          <t>64 : 36</t>
        </is>
      </c>
      <c r="Y1407" t="n">
        <v>596</v>
      </c>
      <c r="Z1407" t="n">
        <v>1201</v>
      </c>
      <c r="AA1407" t="n">
        <v>25.5</v>
      </c>
      <c r="AB1407" t="inlineStr">
        <is>
          <t>U1406</t>
        </is>
      </c>
      <c r="AC1407" t="inlineStr">
        <is>
          <t>TH</t>
        </is>
      </c>
      <c r="AD1407" t="n">
        <v>20.8</v>
      </c>
      <c r="AE1407" t="n">
        <v>2.1</v>
      </c>
      <c r="AF1407" t="n">
        <v>11.4</v>
      </c>
      <c r="AG1407" t="inlineStr">
        <is>
          <t>1:11.4</t>
        </is>
      </c>
      <c r="AH1407" t="inlineStr">
        <is>
          <t>1%</t>
        </is>
      </c>
      <c r="AI1407" t="n">
        <v>24.6</v>
      </c>
      <c r="AJ1407" t="n">
        <v>13.25</v>
      </c>
    </row>
    <row r="1408">
      <c r="A1408" t="inlineStr">
        <is>
          <t>Thapar Institute of Engineering &amp; Technology</t>
        </is>
      </c>
      <c r="B1408" t="inlineStr">
        <is>
          <t>India</t>
        </is>
      </c>
      <c r="C1408" t="inlineStr">
        <is>
          <t>851-900</t>
        </is>
      </c>
      <c r="D1408" t="inlineStr"/>
      <c r="E1408" t="n">
        <v>4.7</v>
      </c>
      <c r="F1408" t="n">
        <v>4.4</v>
      </c>
      <c r="G1408" t="n">
        <v>8.800000000000001</v>
      </c>
      <c r="H1408" t="n">
        <v>46.1</v>
      </c>
      <c r="I1408" t="n">
        <v>5.2</v>
      </c>
      <c r="J1408" t="n">
        <v>1.8</v>
      </c>
      <c r="K1408" t="n">
        <v>31.1</v>
      </c>
      <c r="L1408" t="n">
        <v>3.1</v>
      </c>
      <c r="M1408" t="n">
        <v>11.8</v>
      </c>
      <c r="N1408" t="inlineStr">
        <is>
          <t>601–800</t>
        </is>
      </c>
      <c r="O1408" t="inlineStr">
        <is>
          <t>37.0–41.8</t>
        </is>
      </c>
      <c r="P1408" t="n">
        <v>24.3</v>
      </c>
      <c r="Q1408" t="n">
        <v>11.9</v>
      </c>
      <c r="R1408" t="n">
        <v>84.8</v>
      </c>
      <c r="S1408" t="n">
        <v>23</v>
      </c>
      <c r="T1408" t="n">
        <v>28.7</v>
      </c>
      <c r="U1408" t="inlineStr">
        <is>
          <t>10,647</t>
        </is>
      </c>
      <c r="V1408" t="n">
        <v>15.1</v>
      </c>
      <c r="W1408" t="inlineStr">
        <is>
          <t>1%</t>
        </is>
      </c>
      <c r="X1408" t="inlineStr">
        <is>
          <t>34 : 66</t>
        </is>
      </c>
      <c r="Y1408" t="n">
        <v>851</v>
      </c>
      <c r="Z1408" t="n">
        <v>601</v>
      </c>
      <c r="AA1408" t="n">
        <v>39.4</v>
      </c>
      <c r="AB1408" t="inlineStr">
        <is>
          <t>U1407</t>
        </is>
      </c>
      <c r="AC1408" t="inlineStr">
        <is>
          <t>IN</t>
        </is>
      </c>
      <c r="AD1408" t="n">
        <v>39.4</v>
      </c>
      <c r="AE1408" t="n">
        <v>46.1</v>
      </c>
      <c r="AF1408" t="n">
        <v>15.1</v>
      </c>
      <c r="AG1408" t="inlineStr">
        <is>
          <t>1:15.1</t>
        </is>
      </c>
      <c r="AH1408" t="inlineStr">
        <is>
          <t>1%</t>
        </is>
      </c>
      <c r="AI1408" t="n">
        <v>4.7</v>
      </c>
      <c r="AJ1408" t="n">
        <v>20.54</v>
      </c>
    </row>
    <row r="1409">
      <c r="A1409" t="inlineStr">
        <is>
          <t>Thiagarajar College of Engineering</t>
        </is>
      </c>
      <c r="B1409" t="inlineStr">
        <is>
          <t>India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>
        <is>
          <t>1201–1500</t>
        </is>
      </c>
      <c r="O1409" t="inlineStr">
        <is>
          <t>22.8–28.2</t>
        </is>
      </c>
      <c r="P1409" t="n">
        <v>18.7</v>
      </c>
      <c r="Q1409" t="n">
        <v>8.9</v>
      </c>
      <c r="R1409" t="n">
        <v>41.9</v>
      </c>
      <c r="S1409" t="n">
        <v>20.2</v>
      </c>
      <c r="T1409" t="n">
        <v>18</v>
      </c>
      <c r="U1409" t="inlineStr">
        <is>
          <t>4,378</t>
        </is>
      </c>
      <c r="V1409" t="n">
        <v>18.3</v>
      </c>
      <c r="W1409" t="inlineStr">
        <is>
          <t>0%</t>
        </is>
      </c>
      <c r="X1409" t="inlineStr">
        <is>
          <t>36 : 64</t>
        </is>
      </c>
      <c r="Y1409" t="inlineStr"/>
      <c r="Z1409" t="n">
        <v>1201</v>
      </c>
      <c r="AA1409" t="n">
        <v>25.5</v>
      </c>
      <c r="AB1409" t="inlineStr">
        <is>
          <t>U1408</t>
        </is>
      </c>
      <c r="AC1409" t="inlineStr">
        <is>
          <t>IN</t>
        </is>
      </c>
      <c r="AD1409" t="n">
        <v>25.5</v>
      </c>
      <c r="AE1409" t="n">
        <v>41.9</v>
      </c>
      <c r="AF1409" t="n">
        <v>18.3</v>
      </c>
      <c r="AG1409" t="inlineStr">
        <is>
          <t>1:18.3</t>
        </is>
      </c>
      <c r="AH1409" t="inlineStr">
        <is>
          <t>0%</t>
        </is>
      </c>
      <c r="AI1409" t="inlineStr"/>
      <c r="AJ1409" t="n">
        <v>15.11</v>
      </c>
    </row>
    <row r="1410">
      <c r="A1410" t="inlineStr">
        <is>
          <t>Tianjin University</t>
        </is>
      </c>
      <c r="B1410" t="inlineStr">
        <is>
          <t>China</t>
        </is>
      </c>
      <c r="C1410" t="inlineStr">
        <is>
          <t>269</t>
        </is>
      </c>
      <c r="D1410" t="n">
        <v>38.6</v>
      </c>
      <c r="E1410" t="n">
        <v>17.2</v>
      </c>
      <c r="F1410" t="n">
        <v>13.5</v>
      </c>
      <c r="G1410" t="n">
        <v>38.8</v>
      </c>
      <c r="H1410" t="n">
        <v>99.5</v>
      </c>
      <c r="I1410" t="n">
        <v>24.8</v>
      </c>
      <c r="J1410" t="n">
        <v>25.4</v>
      </c>
      <c r="K1410" t="n">
        <v>65.2</v>
      </c>
      <c r="L1410" t="n">
        <v>32.4</v>
      </c>
      <c r="M1410" t="n">
        <v>16.9</v>
      </c>
      <c r="N1410" t="inlineStr">
        <is>
          <t>201–250</t>
        </is>
      </c>
      <c r="O1410" t="inlineStr">
        <is>
          <t>55.9–58.6</t>
        </is>
      </c>
      <c r="P1410" t="n">
        <v>46.1</v>
      </c>
      <c r="Q1410" t="n">
        <v>47.6</v>
      </c>
      <c r="R1410" t="n">
        <v>71.40000000000001</v>
      </c>
      <c r="S1410" t="n">
        <v>93.5</v>
      </c>
      <c r="T1410" t="n">
        <v>55.3</v>
      </c>
      <c r="U1410" t="inlineStr">
        <is>
          <t>26,486</t>
        </is>
      </c>
      <c r="V1410" t="n">
        <v>8.9</v>
      </c>
      <c r="W1410" t="inlineStr">
        <is>
          <t>13%</t>
        </is>
      </c>
      <c r="X1410" t="inlineStr"/>
      <c r="Y1410" t="n">
        <v>269</v>
      </c>
      <c r="Z1410" t="n">
        <v>201</v>
      </c>
      <c r="AA1410" t="n">
        <v>57.25</v>
      </c>
      <c r="AB1410" t="inlineStr">
        <is>
          <t>U1409</t>
        </is>
      </c>
      <c r="AC1410" t="inlineStr">
        <is>
          <t>CH</t>
        </is>
      </c>
      <c r="AD1410" t="n">
        <v>38.6</v>
      </c>
      <c r="AE1410" t="n">
        <v>99.5</v>
      </c>
      <c r="AF1410" t="n">
        <v>8.9</v>
      </c>
      <c r="AG1410" t="inlineStr">
        <is>
          <t>1:8.9</t>
        </is>
      </c>
      <c r="AH1410" t="inlineStr">
        <is>
          <t>13%</t>
        </is>
      </c>
      <c r="AI1410" t="n">
        <v>17.2</v>
      </c>
      <c r="AJ1410" t="n">
        <v>61.87</v>
      </c>
    </row>
    <row r="1411">
      <c r="A1411" t="inlineStr">
        <is>
          <t>Tilburg University</t>
        </is>
      </c>
      <c r="B1411" t="inlineStr">
        <is>
          <t>Netherlands</t>
        </is>
      </c>
      <c r="C1411" t="inlineStr">
        <is>
          <t>347</t>
        </is>
      </c>
      <c r="D1411" t="n">
        <v>32.8</v>
      </c>
      <c r="E1411" t="n">
        <v>14.7</v>
      </c>
      <c r="F1411" t="n">
        <v>32.5</v>
      </c>
      <c r="G1411" t="n">
        <v>10.5</v>
      </c>
      <c r="H1411" t="n">
        <v>55.1</v>
      </c>
      <c r="I1411" t="n">
        <v>98.40000000000001</v>
      </c>
      <c r="J1411" t="n">
        <v>60.6</v>
      </c>
      <c r="K1411" t="n">
        <v>56.8</v>
      </c>
      <c r="L1411" t="n">
        <v>14.3</v>
      </c>
      <c r="M1411" t="n">
        <v>15.2</v>
      </c>
      <c r="N1411" t="inlineStr">
        <is>
          <t>201–250</t>
        </is>
      </c>
      <c r="O1411" t="inlineStr">
        <is>
          <t>55.9–58.6</t>
        </is>
      </c>
      <c r="P1411" t="n">
        <v>32.8</v>
      </c>
      <c r="Q1411" t="n">
        <v>44.9</v>
      </c>
      <c r="R1411" t="n">
        <v>80.09999999999999</v>
      </c>
      <c r="S1411" t="n">
        <v>82.59999999999999</v>
      </c>
      <c r="T1411" t="n">
        <v>84.5</v>
      </c>
      <c r="U1411" t="inlineStr">
        <is>
          <t>13,225</t>
        </is>
      </c>
      <c r="V1411" t="n">
        <v>32.2</v>
      </c>
      <c r="W1411" t="inlineStr">
        <is>
          <t>21%</t>
        </is>
      </c>
      <c r="X1411" t="inlineStr">
        <is>
          <t>51 : 49</t>
        </is>
      </c>
      <c r="Y1411" t="n">
        <v>347</v>
      </c>
      <c r="Z1411" t="n">
        <v>201</v>
      </c>
      <c r="AA1411" t="n">
        <v>57.25</v>
      </c>
      <c r="AB1411" t="inlineStr">
        <is>
          <t>U1410</t>
        </is>
      </c>
      <c r="AC1411" t="inlineStr">
        <is>
          <t>NE</t>
        </is>
      </c>
      <c r="AD1411" t="n">
        <v>32.8</v>
      </c>
      <c r="AE1411" t="n">
        <v>55.1</v>
      </c>
      <c r="AF1411" t="n">
        <v>32.2</v>
      </c>
      <c r="AG1411" t="inlineStr">
        <is>
          <t>1:32.2</t>
        </is>
      </c>
      <c r="AH1411" t="inlineStr">
        <is>
          <t>21%</t>
        </is>
      </c>
      <c r="AI1411" t="n">
        <v>14.7</v>
      </c>
      <c r="AJ1411" t="n">
        <v>54.06</v>
      </c>
    </row>
    <row r="1412">
      <c r="A1412" t="inlineStr">
        <is>
          <t>TOBB University of Economics and Technology</t>
        </is>
      </c>
      <c r="B1412" t="inlineStr">
        <is>
          <t>Turkey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>
        <is>
          <t>1001–1200</t>
        </is>
      </c>
      <c r="O1412" t="inlineStr">
        <is>
          <t>28.3–32.6</t>
        </is>
      </c>
      <c r="P1412" t="n">
        <v>17.9</v>
      </c>
      <c r="Q1412" t="n">
        <v>14.3</v>
      </c>
      <c r="R1412" t="n">
        <v>48.2</v>
      </c>
      <c r="S1412" t="n">
        <v>48.8</v>
      </c>
      <c r="T1412" t="n">
        <v>40.5</v>
      </c>
      <c r="U1412" t="inlineStr">
        <is>
          <t>4,771</t>
        </is>
      </c>
      <c r="V1412" t="n">
        <v>14.3</v>
      </c>
      <c r="W1412" t="inlineStr">
        <is>
          <t>1%</t>
        </is>
      </c>
      <c r="X1412" t="inlineStr">
        <is>
          <t>47 : 53</t>
        </is>
      </c>
      <c r="Y1412" t="inlineStr"/>
      <c r="Z1412" t="n">
        <v>1001</v>
      </c>
      <c r="AA1412" t="n">
        <v>30.45</v>
      </c>
      <c r="AB1412" t="inlineStr">
        <is>
          <t>U1411</t>
        </is>
      </c>
      <c r="AC1412" t="inlineStr">
        <is>
          <t>TU</t>
        </is>
      </c>
      <c r="AD1412" t="n">
        <v>30.45</v>
      </c>
      <c r="AE1412" t="n">
        <v>48.2</v>
      </c>
      <c r="AF1412" t="n">
        <v>14.3</v>
      </c>
      <c r="AG1412" t="inlineStr">
        <is>
          <t>1:14.3</t>
        </is>
      </c>
      <c r="AH1412" t="inlineStr">
        <is>
          <t>1%</t>
        </is>
      </c>
      <c r="AI1412" t="inlineStr"/>
      <c r="AJ1412" t="n">
        <v>25.29</v>
      </c>
    </row>
    <row r="1413">
      <c r="A1413" t="inlineStr">
        <is>
          <t>Toho University</t>
        </is>
      </c>
      <c r="B1413" t="inlineStr">
        <is>
          <t>Japan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>
        <is>
          <t>1201–1500</t>
        </is>
      </c>
      <c r="O1413" t="inlineStr">
        <is>
          <t>22.8–28.2</t>
        </is>
      </c>
      <c r="P1413" t="n">
        <v>24.7</v>
      </c>
      <c r="Q1413" t="n">
        <v>15</v>
      </c>
      <c r="R1413" t="n">
        <v>33.7</v>
      </c>
      <c r="S1413" t="n">
        <v>57.3</v>
      </c>
      <c r="T1413" t="n">
        <v>21.5</v>
      </c>
      <c r="U1413" t="inlineStr">
        <is>
          <t>5,424</t>
        </is>
      </c>
      <c r="V1413" t="n">
        <v>13.7</v>
      </c>
      <c r="W1413" t="inlineStr">
        <is>
          <t>0%</t>
        </is>
      </c>
      <c r="X1413" t="inlineStr">
        <is>
          <t>53 : 47</t>
        </is>
      </c>
      <c r="Y1413" t="inlineStr"/>
      <c r="Z1413" t="n">
        <v>1201</v>
      </c>
      <c r="AA1413" t="n">
        <v>25.5</v>
      </c>
      <c r="AB1413" t="inlineStr">
        <is>
          <t>U1412</t>
        </is>
      </c>
      <c r="AC1413" t="inlineStr">
        <is>
          <t>JA</t>
        </is>
      </c>
      <c r="AD1413" t="n">
        <v>25.5</v>
      </c>
      <c r="AE1413" t="n">
        <v>33.7</v>
      </c>
      <c r="AF1413" t="n">
        <v>13.7</v>
      </c>
      <c r="AG1413" t="inlineStr">
        <is>
          <t>1:13.7</t>
        </is>
      </c>
      <c r="AH1413" t="inlineStr">
        <is>
          <t>0%</t>
        </is>
      </c>
      <c r="AI1413" t="inlineStr"/>
      <c r="AJ1413" t="n">
        <v>16.67</v>
      </c>
    </row>
    <row r="1414">
      <c r="A1414" t="inlineStr">
        <is>
          <t>Tohoku University</t>
        </is>
      </c>
      <c r="B1414" t="inlineStr">
        <is>
          <t>Japan</t>
        </is>
      </c>
      <c r="C1414" t="inlineStr">
        <is>
          <t>107</t>
        </is>
      </c>
      <c r="D1414" t="n">
        <v>58.8</v>
      </c>
      <c r="E1414" t="n">
        <v>73.8</v>
      </c>
      <c r="F1414" t="n">
        <v>82.8</v>
      </c>
      <c r="G1414" t="n">
        <v>97.8</v>
      </c>
      <c r="H1414" t="n">
        <v>23.9</v>
      </c>
      <c r="I1414" t="n">
        <v>14.1</v>
      </c>
      <c r="J1414" t="n">
        <v>11.4</v>
      </c>
      <c r="K1414" t="n">
        <v>68.3</v>
      </c>
      <c r="L1414" t="n">
        <v>22.6</v>
      </c>
      <c r="M1414" t="n">
        <v>78.59999999999999</v>
      </c>
      <c r="N1414">
        <f>130</f>
        <v/>
      </c>
      <c r="O1414" t="inlineStr">
        <is>
          <t>63.8</t>
        </is>
      </c>
      <c r="P1414" t="n">
        <v>67.8</v>
      </c>
      <c r="Q1414" t="n">
        <v>66.40000000000001</v>
      </c>
      <c r="R1414" t="n">
        <v>53.8</v>
      </c>
      <c r="S1414" t="n">
        <v>99.90000000000001</v>
      </c>
      <c r="T1414" t="n">
        <v>58.5</v>
      </c>
      <c r="U1414" t="inlineStr">
        <is>
          <t>17,409</t>
        </is>
      </c>
      <c r="V1414" t="n">
        <v>11.8</v>
      </c>
      <c r="W1414" t="inlineStr">
        <is>
          <t>12%</t>
        </is>
      </c>
      <c r="X1414" t="inlineStr">
        <is>
          <t>28 : 72</t>
        </is>
      </c>
      <c r="Y1414" t="n">
        <v>107</v>
      </c>
      <c r="Z1414" t="n">
        <v>130</v>
      </c>
      <c r="AA1414" t="n">
        <v>63.8</v>
      </c>
      <c r="AB1414" t="inlineStr">
        <is>
          <t>U1413</t>
        </is>
      </c>
      <c r="AC1414" t="inlineStr">
        <is>
          <t>JA</t>
        </is>
      </c>
      <c r="AD1414" t="n">
        <v>58.8</v>
      </c>
      <c r="AE1414" t="n">
        <v>23.9</v>
      </c>
      <c r="AF1414" t="n">
        <v>11.8</v>
      </c>
      <c r="AG1414" t="inlineStr">
        <is>
          <t>1:11.8</t>
        </is>
      </c>
      <c r="AH1414" t="inlineStr">
        <is>
          <t>12%</t>
        </is>
      </c>
      <c r="AI1414" t="n">
        <v>73.8</v>
      </c>
      <c r="AJ1414" t="n">
        <v>49.58</v>
      </c>
    </row>
    <row r="1415">
      <c r="A1415" t="inlineStr">
        <is>
          <t>Tokai University</t>
        </is>
      </c>
      <c r="B1415" t="inlineStr">
        <is>
          <t>Japan</t>
        </is>
      </c>
      <c r="C1415" t="inlineStr">
        <is>
          <t>1201-1400</t>
        </is>
      </c>
      <c r="D1415" t="inlineStr"/>
      <c r="E1415" t="n">
        <v>10.5</v>
      </c>
      <c r="F1415" t="n">
        <v>5.8</v>
      </c>
      <c r="G1415" t="n">
        <v>13.6</v>
      </c>
      <c r="H1415" t="n">
        <v>2.8</v>
      </c>
      <c r="I1415" t="n">
        <v>5.6</v>
      </c>
      <c r="J1415" t="n">
        <v>2.9</v>
      </c>
      <c r="K1415" t="n">
        <v>24.5</v>
      </c>
      <c r="L1415" t="n">
        <v>1.8</v>
      </c>
      <c r="M1415" t="n">
        <v>1.3</v>
      </c>
      <c r="N1415" t="inlineStr">
        <is>
          <t>1201–1500</t>
        </is>
      </c>
      <c r="O1415" t="inlineStr">
        <is>
          <t>22.8–28.2</t>
        </is>
      </c>
      <c r="P1415" t="n">
        <v>18.3</v>
      </c>
      <c r="Q1415" t="n">
        <v>12</v>
      </c>
      <c r="R1415" t="n">
        <v>36.5</v>
      </c>
      <c r="S1415" t="n">
        <v>46</v>
      </c>
      <c r="T1415" t="n">
        <v>30.4</v>
      </c>
      <c r="U1415" t="inlineStr">
        <is>
          <t>28,334</t>
        </is>
      </c>
      <c r="V1415" t="n">
        <v>16</v>
      </c>
      <c r="W1415" t="inlineStr">
        <is>
          <t>4%</t>
        </is>
      </c>
      <c r="X1415" t="inlineStr">
        <is>
          <t>27 : 73</t>
        </is>
      </c>
      <c r="Y1415" t="n">
        <v>1201</v>
      </c>
      <c r="Z1415" t="n">
        <v>1201</v>
      </c>
      <c r="AA1415" t="n">
        <v>25.5</v>
      </c>
      <c r="AB1415" t="inlineStr">
        <is>
          <t>U1414</t>
        </is>
      </c>
      <c r="AC1415" t="inlineStr">
        <is>
          <t>JA</t>
        </is>
      </c>
      <c r="AD1415" t="n">
        <v>25.5</v>
      </c>
      <c r="AE1415" t="n">
        <v>2.8</v>
      </c>
      <c r="AF1415" t="n">
        <v>16</v>
      </c>
      <c r="AG1415" t="inlineStr">
        <is>
          <t>1:16.0</t>
        </is>
      </c>
      <c r="AH1415" t="inlineStr">
        <is>
          <t>4%</t>
        </is>
      </c>
      <c r="AI1415" t="n">
        <v>10.5</v>
      </c>
      <c r="AJ1415" t="n">
        <v>7.88</v>
      </c>
    </row>
    <row r="1416">
      <c r="A1416" t="inlineStr">
        <is>
          <t>Tokat Gaziosmanpaşa University</t>
        </is>
      </c>
      <c r="B1416" t="inlineStr">
        <is>
          <t>Turkey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>
        <is>
          <t>1501+</t>
        </is>
      </c>
      <c r="O1416" t="inlineStr">
        <is>
          <t>9.7–22.7</t>
        </is>
      </c>
      <c r="P1416" t="n">
        <v>17.1</v>
      </c>
      <c r="Q1416" t="n">
        <v>8.6</v>
      </c>
      <c r="R1416" t="n">
        <v>33.7</v>
      </c>
      <c r="S1416" t="n">
        <v>17.5</v>
      </c>
      <c r="T1416" t="n">
        <v>32.1</v>
      </c>
      <c r="U1416" t="inlineStr">
        <is>
          <t>22,547</t>
        </is>
      </c>
      <c r="V1416" t="n">
        <v>15.2</v>
      </c>
      <c r="W1416" t="inlineStr">
        <is>
          <t>9%</t>
        </is>
      </c>
      <c r="X1416" t="inlineStr">
        <is>
          <t>45 : 55</t>
        </is>
      </c>
      <c r="Y1416" t="inlineStr"/>
      <c r="Z1416" t="n">
        <v>1501</v>
      </c>
      <c r="AA1416" t="n">
        <v>16.2</v>
      </c>
      <c r="AB1416" t="inlineStr">
        <is>
          <t>U1415</t>
        </is>
      </c>
      <c r="AC1416" t="inlineStr">
        <is>
          <t>TU</t>
        </is>
      </c>
      <c r="AD1416" t="n">
        <v>16.2</v>
      </c>
      <c r="AE1416" t="n">
        <v>33.7</v>
      </c>
      <c r="AF1416" t="n">
        <v>15.2</v>
      </c>
      <c r="AG1416" t="inlineStr">
        <is>
          <t>1:15.2</t>
        </is>
      </c>
      <c r="AH1416" t="inlineStr">
        <is>
          <t>9%</t>
        </is>
      </c>
      <c r="AI1416" t="inlineStr"/>
      <c r="AJ1416" t="n">
        <v>15.87</v>
      </c>
    </row>
    <row r="1417">
      <c r="A1417" t="inlineStr">
        <is>
          <t>Tokushima University</t>
        </is>
      </c>
      <c r="B1417" t="inlineStr">
        <is>
          <t>Japan</t>
        </is>
      </c>
      <c r="C1417" t="inlineStr">
        <is>
          <t>1001-1200</t>
        </is>
      </c>
      <c r="D1417" t="inlineStr"/>
      <c r="E1417" t="n">
        <v>4.4</v>
      </c>
      <c r="F1417" t="n">
        <v>1.8</v>
      </c>
      <c r="G1417" t="n">
        <v>64</v>
      </c>
      <c r="H1417" t="n">
        <v>5.6</v>
      </c>
      <c r="I1417" t="n">
        <v>2.5</v>
      </c>
      <c r="J1417" t="n">
        <v>2.2</v>
      </c>
      <c r="K1417" t="n">
        <v>18.4</v>
      </c>
      <c r="L1417" t="n">
        <v>4.1</v>
      </c>
      <c r="M1417" t="n">
        <v>1</v>
      </c>
      <c r="N1417" t="inlineStr">
        <is>
          <t>1201–1500</t>
        </is>
      </c>
      <c r="O1417" t="inlineStr">
        <is>
          <t>22.8–28.2</t>
        </is>
      </c>
      <c r="P1417" t="n">
        <v>29.2</v>
      </c>
      <c r="Q1417" t="n">
        <v>24</v>
      </c>
      <c r="R1417" t="n">
        <v>24.4</v>
      </c>
      <c r="S1417" t="n">
        <v>81.59999999999999</v>
      </c>
      <c r="T1417" t="n">
        <v>26.4</v>
      </c>
      <c r="U1417" t="inlineStr">
        <is>
          <t>7,482</t>
        </is>
      </c>
      <c r="V1417" t="n">
        <v>9.699999999999999</v>
      </c>
      <c r="W1417" t="inlineStr">
        <is>
          <t>2%</t>
        </is>
      </c>
      <c r="X1417" t="inlineStr">
        <is>
          <t>35 : 65</t>
        </is>
      </c>
      <c r="Y1417" t="n">
        <v>1001</v>
      </c>
      <c r="Z1417" t="n">
        <v>1201</v>
      </c>
      <c r="AA1417" t="n">
        <v>25.5</v>
      </c>
      <c r="AB1417" t="inlineStr">
        <is>
          <t>U1416</t>
        </is>
      </c>
      <c r="AC1417" t="inlineStr">
        <is>
          <t>JA</t>
        </is>
      </c>
      <c r="AD1417" t="n">
        <v>25.5</v>
      </c>
      <c r="AE1417" t="n">
        <v>5.6</v>
      </c>
      <c r="AF1417" t="n">
        <v>9.699999999999999</v>
      </c>
      <c r="AG1417" t="inlineStr">
        <is>
          <t>1:9.7</t>
        </is>
      </c>
      <c r="AH1417" t="inlineStr">
        <is>
          <t>2%</t>
        </is>
      </c>
      <c r="AI1417" t="n">
        <v>4.4</v>
      </c>
      <c r="AJ1417" t="n">
        <v>14.05</v>
      </c>
    </row>
    <row r="1418">
      <c r="A1418" t="inlineStr">
        <is>
          <t>Tokyo City University</t>
        </is>
      </c>
      <c r="B1418" t="inlineStr">
        <is>
          <t>Japan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>
        <is>
          <t>1501+</t>
        </is>
      </c>
      <c r="O1418" t="inlineStr">
        <is>
          <t>9.7–22.7</t>
        </is>
      </c>
      <c r="P1418" t="n">
        <v>17.6</v>
      </c>
      <c r="Q1418" t="n">
        <v>12</v>
      </c>
      <c r="R1418" t="n">
        <v>13.9</v>
      </c>
      <c r="S1418" t="n">
        <v>43.6</v>
      </c>
      <c r="T1418" t="n">
        <v>28.6</v>
      </c>
      <c r="U1418" t="inlineStr">
        <is>
          <t>7,479</t>
        </is>
      </c>
      <c r="V1418" t="n">
        <v>26.8</v>
      </c>
      <c r="W1418" t="inlineStr">
        <is>
          <t>2%</t>
        </is>
      </c>
      <c r="X1418" t="inlineStr">
        <is>
          <t>23 : 77</t>
        </is>
      </c>
      <c r="Y1418" t="inlineStr"/>
      <c r="Z1418" t="n">
        <v>1501</v>
      </c>
      <c r="AA1418" t="n">
        <v>16.2</v>
      </c>
      <c r="AB1418" t="inlineStr">
        <is>
          <t>U1417</t>
        </is>
      </c>
      <c r="AC1418" t="inlineStr">
        <is>
          <t>JA</t>
        </is>
      </c>
      <c r="AD1418" t="n">
        <v>16.2</v>
      </c>
      <c r="AE1418" t="n">
        <v>13.9</v>
      </c>
      <c r="AF1418" t="n">
        <v>26.8</v>
      </c>
      <c r="AG1418" t="inlineStr">
        <is>
          <t>1:26.8</t>
        </is>
      </c>
      <c r="AH1418" t="inlineStr">
        <is>
          <t>2%</t>
        </is>
      </c>
      <c r="AI1418" t="inlineStr"/>
      <c r="AJ1418" t="n">
        <v>10.81</v>
      </c>
    </row>
    <row r="1419">
      <c r="A1419" t="inlineStr">
        <is>
          <t>Tokyo Denki University</t>
        </is>
      </c>
      <c r="B1419" t="inlineStr">
        <is>
          <t>Japan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>
        <is>
          <t>1501+</t>
        </is>
      </c>
      <c r="O1419" t="inlineStr">
        <is>
          <t>9.7–22.7</t>
        </is>
      </c>
      <c r="P1419" t="n">
        <v>14.9</v>
      </c>
      <c r="Q1419" t="n">
        <v>9</v>
      </c>
      <c r="R1419" t="n">
        <v>12.1</v>
      </c>
      <c r="S1419" t="n">
        <v>56.4</v>
      </c>
      <c r="T1419" t="n">
        <v>21.9</v>
      </c>
      <c r="U1419" t="inlineStr">
        <is>
          <t>9,837</t>
        </is>
      </c>
      <c r="V1419" t="n">
        <v>28.7</v>
      </c>
      <c r="W1419" t="inlineStr">
        <is>
          <t>3%</t>
        </is>
      </c>
      <c r="X1419" t="inlineStr">
        <is>
          <t>13 : 87</t>
        </is>
      </c>
      <c r="Y1419" t="inlineStr"/>
      <c r="Z1419" t="n">
        <v>1501</v>
      </c>
      <c r="AA1419" t="n">
        <v>16.2</v>
      </c>
      <c r="AB1419" t="inlineStr">
        <is>
          <t>U1418</t>
        </is>
      </c>
      <c r="AC1419" t="inlineStr">
        <is>
          <t>JA</t>
        </is>
      </c>
      <c r="AD1419" t="n">
        <v>16.2</v>
      </c>
      <c r="AE1419" t="n">
        <v>12.1</v>
      </c>
      <c r="AF1419" t="n">
        <v>28.7</v>
      </c>
      <c r="AG1419" t="inlineStr">
        <is>
          <t>1:28.7</t>
        </is>
      </c>
      <c r="AH1419" t="inlineStr">
        <is>
          <t>3%</t>
        </is>
      </c>
      <c r="AI1419" t="inlineStr"/>
      <c r="AJ1419" t="n">
        <v>7.07</v>
      </c>
    </row>
    <row r="1420">
      <c r="A1420" t="inlineStr">
        <is>
          <t>Tokyo Institute of Technology (Tokyo Tech)</t>
        </is>
      </c>
      <c r="B1420" t="inlineStr">
        <is>
          <t>Japan</t>
        </is>
      </c>
      <c r="C1420" t="inlineStr">
        <is>
          <t>84</t>
        </is>
      </c>
      <c r="D1420" t="n">
        <v>63.7</v>
      </c>
      <c r="E1420" t="n">
        <v>75.09999999999999</v>
      </c>
      <c r="F1420" t="n">
        <v>94.09999999999999</v>
      </c>
      <c r="G1420" t="n">
        <v>84.09999999999999</v>
      </c>
      <c r="H1420" t="n">
        <v>43.1</v>
      </c>
      <c r="I1420" t="n">
        <v>23.4</v>
      </c>
      <c r="J1420" t="n">
        <v>30.5</v>
      </c>
      <c r="K1420" t="n">
        <v>61.2</v>
      </c>
      <c r="L1420" t="n">
        <v>23.7</v>
      </c>
      <c r="M1420" t="n">
        <v>62.2</v>
      </c>
      <c r="N1420">
        <f>191</f>
        <v/>
      </c>
      <c r="O1420" t="inlineStr">
        <is>
          <t>59.2</t>
        </is>
      </c>
      <c r="P1420" t="n">
        <v>59.5</v>
      </c>
      <c r="Q1420" t="n">
        <v>63.3</v>
      </c>
      <c r="R1420" t="n">
        <v>49.4</v>
      </c>
      <c r="S1420" t="n">
        <v>100</v>
      </c>
      <c r="T1420" t="n">
        <v>60.1</v>
      </c>
      <c r="U1420" t="inlineStr">
        <is>
          <t>9,928</t>
        </is>
      </c>
      <c r="V1420" t="n">
        <v>9.6</v>
      </c>
      <c r="W1420" t="inlineStr">
        <is>
          <t>17%</t>
        </is>
      </c>
      <c r="X1420" t="inlineStr">
        <is>
          <t>16 : 84</t>
        </is>
      </c>
      <c r="Y1420" t="n">
        <v>84</v>
      </c>
      <c r="Z1420" t="n">
        <v>191</v>
      </c>
      <c r="AA1420" t="n">
        <v>59.2</v>
      </c>
      <c r="AB1420" t="inlineStr">
        <is>
          <t>U1419</t>
        </is>
      </c>
      <c r="AC1420" t="inlineStr">
        <is>
          <t>JA</t>
        </is>
      </c>
      <c r="AD1420" t="n">
        <v>63.7</v>
      </c>
      <c r="AE1420" t="n">
        <v>43.1</v>
      </c>
      <c r="AF1420" t="n">
        <v>9.6</v>
      </c>
      <c r="AG1420" t="inlineStr">
        <is>
          <t>1:9.6</t>
        </is>
      </c>
      <c r="AH1420" t="inlineStr">
        <is>
          <t>17%</t>
        </is>
      </c>
      <c r="AI1420" t="n">
        <v>75.09999999999999</v>
      </c>
      <c r="AJ1420" t="n">
        <v>54.16</v>
      </c>
    </row>
    <row r="1421">
      <c r="A1421" t="inlineStr">
        <is>
          <t>Tokyo Medical and Dental University (TMDU)</t>
        </is>
      </c>
      <c r="B1421" t="inlineStr">
        <is>
          <t>Japan</t>
        </is>
      </c>
      <c r="C1421" t="inlineStr">
        <is>
          <t>661-670</t>
        </is>
      </c>
      <c r="D1421" t="inlineStr"/>
      <c r="E1421" t="n">
        <v>11.8</v>
      </c>
      <c r="F1421" t="n">
        <v>6.5</v>
      </c>
      <c r="G1421" t="n">
        <v>100</v>
      </c>
      <c r="H1421" t="n">
        <v>17.7</v>
      </c>
      <c r="I1421" t="n">
        <v>2.4</v>
      </c>
      <c r="J1421" t="n">
        <v>13.4</v>
      </c>
      <c r="K1421" t="n">
        <v>21.9</v>
      </c>
      <c r="L1421" t="n">
        <v>2</v>
      </c>
      <c r="M1421" t="n">
        <v>1.6</v>
      </c>
      <c r="N1421" t="inlineStr">
        <is>
          <t>401–500</t>
        </is>
      </c>
      <c r="O1421" t="inlineStr">
        <is>
          <t>45.4–49.0</t>
        </is>
      </c>
      <c r="P1421" t="n">
        <v>46.7</v>
      </c>
      <c r="Q1421" t="n">
        <v>31.3</v>
      </c>
      <c r="R1421" t="n">
        <v>53.4</v>
      </c>
      <c r="S1421" t="n">
        <v>99</v>
      </c>
      <c r="T1421" t="n">
        <v>39</v>
      </c>
      <c r="U1421" t="inlineStr">
        <is>
          <t>2,990</t>
        </is>
      </c>
      <c r="V1421" t="n">
        <v>4.4</v>
      </c>
      <c r="W1421" t="inlineStr">
        <is>
          <t>12%</t>
        </is>
      </c>
      <c r="X1421" t="inlineStr">
        <is>
          <t>57 : 43</t>
        </is>
      </c>
      <c r="Y1421" t="n">
        <v>661</v>
      </c>
      <c r="Z1421" t="n">
        <v>401</v>
      </c>
      <c r="AA1421" t="n">
        <v>47.2</v>
      </c>
      <c r="AB1421" t="inlineStr">
        <is>
          <t>U1420</t>
        </is>
      </c>
      <c r="AC1421" t="inlineStr">
        <is>
          <t>JA</t>
        </is>
      </c>
      <c r="AD1421" t="n">
        <v>47.2</v>
      </c>
      <c r="AE1421" t="n">
        <v>17.7</v>
      </c>
      <c r="AF1421" t="n">
        <v>4.4</v>
      </c>
      <c r="AG1421" t="inlineStr">
        <is>
          <t>1:4.4</t>
        </is>
      </c>
      <c r="AH1421" t="inlineStr">
        <is>
          <t>12%</t>
        </is>
      </c>
      <c r="AI1421" t="n">
        <v>11.8</v>
      </c>
      <c r="AJ1421" t="n">
        <v>24.59</v>
      </c>
    </row>
    <row r="1422">
      <c r="A1422" t="inlineStr">
        <is>
          <t>Tokyo Medical University</t>
        </is>
      </c>
      <c r="B1422" t="inlineStr">
        <is>
          <t>Japan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>
        <is>
          <t>801–1000</t>
        </is>
      </c>
      <c r="O1422" t="inlineStr">
        <is>
          <t>32.7–36.9</t>
        </is>
      </c>
      <c r="P1422" t="n">
        <v>35.1</v>
      </c>
      <c r="Q1422" t="n">
        <v>17</v>
      </c>
      <c r="R1422" t="n">
        <v>54</v>
      </c>
      <c r="S1422" t="n">
        <v>70.40000000000001</v>
      </c>
      <c r="T1422" t="n">
        <v>21.4</v>
      </c>
      <c r="U1422" t="inlineStr">
        <is>
          <t>1,367</t>
        </is>
      </c>
      <c r="V1422" t="n">
        <v>3.4</v>
      </c>
      <c r="W1422" t="inlineStr">
        <is>
          <t>1%</t>
        </is>
      </c>
      <c r="X1422" t="inlineStr">
        <is>
          <t>51 : 49</t>
        </is>
      </c>
      <c r="Y1422" t="inlineStr"/>
      <c r="Z1422" t="n">
        <v>801</v>
      </c>
      <c r="AA1422" t="n">
        <v>34.8</v>
      </c>
      <c r="AB1422" t="inlineStr">
        <is>
          <t>U1421</t>
        </is>
      </c>
      <c r="AC1422" t="inlineStr">
        <is>
          <t>JA</t>
        </is>
      </c>
      <c r="AD1422" t="n">
        <v>34.8</v>
      </c>
      <c r="AE1422" t="n">
        <v>54</v>
      </c>
      <c r="AF1422" t="n">
        <v>3.4</v>
      </c>
      <c r="AG1422" t="inlineStr">
        <is>
          <t>1:3.4</t>
        </is>
      </c>
      <c r="AH1422" t="inlineStr">
        <is>
          <t>1%</t>
        </is>
      </c>
      <c r="AI1422" t="inlineStr"/>
      <c r="AJ1422" t="n">
        <v>23.84</v>
      </c>
    </row>
    <row r="1423">
      <c r="A1423" t="inlineStr">
        <is>
          <t>Tokyo Metropolitan University</t>
        </is>
      </c>
      <c r="B1423" t="inlineStr">
        <is>
          <t>Japan</t>
        </is>
      </c>
      <c r="C1423" t="inlineStr">
        <is>
          <t>1001-1200</t>
        </is>
      </c>
      <c r="D1423" t="inlineStr"/>
      <c r="E1423" t="n">
        <v>12.8</v>
      </c>
      <c r="F1423" t="n">
        <v>5.5</v>
      </c>
      <c r="G1423" t="n">
        <v>32</v>
      </c>
      <c r="H1423" t="n">
        <v>11.4</v>
      </c>
      <c r="I1423" t="n">
        <v>7.3</v>
      </c>
      <c r="J1423" t="n">
        <v>4.5</v>
      </c>
      <c r="K1423" t="n">
        <v>29.5</v>
      </c>
      <c r="L1423" t="n">
        <v>4</v>
      </c>
      <c r="M1423" t="n">
        <v>1.1</v>
      </c>
      <c r="N1423" t="inlineStr">
        <is>
          <t>1001–1200</t>
        </is>
      </c>
      <c r="O1423" t="inlineStr">
        <is>
          <t>28.3–32.6</t>
        </is>
      </c>
      <c r="P1423" t="n">
        <v>29.8</v>
      </c>
      <c r="Q1423" t="n">
        <v>16.2</v>
      </c>
      <c r="R1423" t="n">
        <v>39.2</v>
      </c>
      <c r="S1423" t="n">
        <v>48</v>
      </c>
      <c r="T1423" t="n">
        <v>36.5</v>
      </c>
      <c r="U1423" t="inlineStr">
        <is>
          <t>8,903</t>
        </is>
      </c>
      <c r="V1423" t="n">
        <v>10.9</v>
      </c>
      <c r="W1423" t="inlineStr">
        <is>
          <t>7%</t>
        </is>
      </c>
      <c r="X1423" t="inlineStr">
        <is>
          <t>39 : 61</t>
        </is>
      </c>
      <c r="Y1423" t="n">
        <v>1001</v>
      </c>
      <c r="Z1423" t="n">
        <v>1001</v>
      </c>
      <c r="AA1423" t="n">
        <v>30.45</v>
      </c>
      <c r="AB1423" t="inlineStr">
        <is>
          <t>U1422</t>
        </is>
      </c>
      <c r="AC1423" t="inlineStr">
        <is>
          <t>JA</t>
        </is>
      </c>
      <c r="AD1423" t="n">
        <v>30.45</v>
      </c>
      <c r="AE1423" t="n">
        <v>11.4</v>
      </c>
      <c r="AF1423" t="n">
        <v>10.9</v>
      </c>
      <c r="AG1423" t="inlineStr">
        <is>
          <t>1:10.9</t>
        </is>
      </c>
      <c r="AH1423" t="inlineStr">
        <is>
          <t>7%</t>
        </is>
      </c>
      <c r="AI1423" t="n">
        <v>12.8</v>
      </c>
      <c r="AJ1423" t="n">
        <v>14.16</v>
      </c>
    </row>
    <row r="1424">
      <c r="A1424" t="inlineStr">
        <is>
          <t>Tokyo University of Agriculture</t>
        </is>
      </c>
      <c r="B1424" t="inlineStr">
        <is>
          <t>Japan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>
        <is>
          <t>1501+</t>
        </is>
      </c>
      <c r="O1424" t="inlineStr">
        <is>
          <t>9.7–22.7</t>
        </is>
      </c>
      <c r="P1424" t="n">
        <v>18.1</v>
      </c>
      <c r="Q1424" t="n">
        <v>9.1</v>
      </c>
      <c r="R1424" t="n">
        <v>18.9</v>
      </c>
      <c r="S1424" t="n">
        <v>29.8</v>
      </c>
      <c r="T1424" t="n">
        <v>23.1</v>
      </c>
      <c r="U1424" t="inlineStr">
        <is>
          <t>13,004</t>
        </is>
      </c>
      <c r="V1424" t="n">
        <v>32.2</v>
      </c>
      <c r="W1424" t="inlineStr">
        <is>
          <t>2%</t>
        </is>
      </c>
      <c r="X1424" t="inlineStr">
        <is>
          <t>43 : 57</t>
        </is>
      </c>
      <c r="Y1424" t="inlineStr"/>
      <c r="Z1424" t="n">
        <v>1501</v>
      </c>
      <c r="AA1424" t="n">
        <v>16.2</v>
      </c>
      <c r="AB1424" t="inlineStr">
        <is>
          <t>U1423</t>
        </is>
      </c>
      <c r="AC1424" t="inlineStr">
        <is>
          <t>JA</t>
        </is>
      </c>
      <c r="AD1424" t="n">
        <v>16.2</v>
      </c>
      <c r="AE1424" t="n">
        <v>18.9</v>
      </c>
      <c r="AF1424" t="n">
        <v>32.2</v>
      </c>
      <c r="AG1424" t="inlineStr">
        <is>
          <t>1:32.2</t>
        </is>
      </c>
      <c r="AH1424" t="inlineStr">
        <is>
          <t>2%</t>
        </is>
      </c>
      <c r="AI1424" t="inlineStr"/>
      <c r="AJ1424" t="n">
        <v>9.48</v>
      </c>
    </row>
    <row r="1425">
      <c r="A1425" t="inlineStr">
        <is>
          <t xml:space="preserve">Tokyo University of Agriculture and Technology </t>
        </is>
      </c>
      <c r="B1425" t="inlineStr">
        <is>
          <t>Japan</t>
        </is>
      </c>
      <c r="C1425" t="inlineStr">
        <is>
          <t>851-900</t>
        </is>
      </c>
      <c r="D1425" t="inlineStr"/>
      <c r="E1425" t="n">
        <v>13.8</v>
      </c>
      <c r="F1425" t="n">
        <v>7.4</v>
      </c>
      <c r="G1425" t="n">
        <v>12.9</v>
      </c>
      <c r="H1425" t="n">
        <v>30.5</v>
      </c>
      <c r="I1425" t="n">
        <v>5.4</v>
      </c>
      <c r="J1425" t="n">
        <v>7.1</v>
      </c>
      <c r="K1425" t="n">
        <v>40.4</v>
      </c>
      <c r="L1425" t="n">
        <v>1.9</v>
      </c>
      <c r="M1425" t="n">
        <v>1.3</v>
      </c>
      <c r="N1425" t="inlineStr">
        <is>
          <t>801–1000</t>
        </is>
      </c>
      <c r="O1425" t="inlineStr">
        <is>
          <t>32.7–36.9</t>
        </is>
      </c>
      <c r="P1425" t="n">
        <v>35</v>
      </c>
      <c r="Q1425" t="n">
        <v>29.1</v>
      </c>
      <c r="R1425" t="n">
        <v>29.6</v>
      </c>
      <c r="S1425" t="n">
        <v>84.5</v>
      </c>
      <c r="T1425" t="n">
        <v>38.1</v>
      </c>
      <c r="U1425" t="inlineStr">
        <is>
          <t>5,834</t>
        </is>
      </c>
      <c r="V1425" t="n">
        <v>15.6</v>
      </c>
      <c r="W1425" t="inlineStr">
        <is>
          <t>7%</t>
        </is>
      </c>
      <c r="X1425" t="inlineStr">
        <is>
          <t>34 : 66</t>
        </is>
      </c>
      <c r="Y1425" t="n">
        <v>851</v>
      </c>
      <c r="Z1425" t="n">
        <v>801</v>
      </c>
      <c r="AA1425" t="n">
        <v>34.8</v>
      </c>
      <c r="AB1425" t="inlineStr">
        <is>
          <t>U1424</t>
        </is>
      </c>
      <c r="AC1425" t="inlineStr">
        <is>
          <t>JA</t>
        </is>
      </c>
      <c r="AD1425" t="n">
        <v>34.8</v>
      </c>
      <c r="AE1425" t="n">
        <v>30.5</v>
      </c>
      <c r="AF1425" t="n">
        <v>15.6</v>
      </c>
      <c r="AG1425" t="inlineStr">
        <is>
          <t>1:15.6</t>
        </is>
      </c>
      <c r="AH1425" t="inlineStr">
        <is>
          <t>7%</t>
        </is>
      </c>
      <c r="AI1425" t="n">
        <v>13.8</v>
      </c>
      <c r="AJ1425" t="n">
        <v>27.1</v>
      </c>
    </row>
    <row r="1426">
      <c r="A1426" t="inlineStr">
        <is>
          <t>Tokyo University of Marine Science and Technology</t>
        </is>
      </c>
      <c r="B1426" t="inlineStr">
        <is>
          <t>Japan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>
        <is>
          <t>1201–1500</t>
        </is>
      </c>
      <c r="O1426" t="inlineStr">
        <is>
          <t>22.8–28.2</t>
        </is>
      </c>
      <c r="P1426" t="n">
        <v>31.3</v>
      </c>
      <c r="Q1426" t="n">
        <v>15.2</v>
      </c>
      <c r="R1426" t="n">
        <v>19.7</v>
      </c>
      <c r="S1426" t="n">
        <v>43.1</v>
      </c>
      <c r="T1426" t="n">
        <v>44.4</v>
      </c>
      <c r="U1426" t="inlineStr">
        <is>
          <t>2,602</t>
        </is>
      </c>
      <c r="V1426" t="n">
        <v>10.4</v>
      </c>
      <c r="W1426" t="inlineStr">
        <is>
          <t>8%</t>
        </is>
      </c>
      <c r="X1426" t="inlineStr">
        <is>
          <t>33 : 67</t>
        </is>
      </c>
      <c r="Y1426" t="inlineStr"/>
      <c r="Z1426" t="n">
        <v>1201</v>
      </c>
      <c r="AA1426" t="n">
        <v>25.5</v>
      </c>
      <c r="AB1426" t="inlineStr">
        <is>
          <t>U1425</t>
        </is>
      </c>
      <c r="AC1426" t="inlineStr">
        <is>
          <t>JA</t>
        </is>
      </c>
      <c r="AD1426" t="n">
        <v>25.5</v>
      </c>
      <c r="AE1426" t="n">
        <v>19.7</v>
      </c>
      <c r="AF1426" t="n">
        <v>10.4</v>
      </c>
      <c r="AG1426" t="inlineStr">
        <is>
          <t>1:10.4</t>
        </is>
      </c>
      <c r="AH1426" t="inlineStr">
        <is>
          <t>8%</t>
        </is>
      </c>
      <c r="AI1426" t="inlineStr"/>
      <c r="AJ1426" t="n">
        <v>18.07</v>
      </c>
    </row>
    <row r="1427">
      <c r="A1427" t="inlineStr">
        <is>
          <t>Tokyo University of Science</t>
        </is>
      </c>
      <c r="B1427" t="inlineStr">
        <is>
          <t>Japan</t>
        </is>
      </c>
      <c r="C1427" t="inlineStr">
        <is>
          <t>751-760</t>
        </is>
      </c>
      <c r="D1427" t="inlineStr"/>
      <c r="E1427" t="n">
        <v>10.4</v>
      </c>
      <c r="F1427" t="n">
        <v>51.5</v>
      </c>
      <c r="G1427" t="n">
        <v>9.4</v>
      </c>
      <c r="H1427" t="n">
        <v>10</v>
      </c>
      <c r="I1427" t="n">
        <v>12.5</v>
      </c>
      <c r="J1427" t="n">
        <v>3.7</v>
      </c>
      <c r="K1427" t="n">
        <v>20.3</v>
      </c>
      <c r="L1427" t="n">
        <v>41</v>
      </c>
      <c r="M1427" t="n">
        <v>2.4</v>
      </c>
      <c r="N1427" t="inlineStr">
        <is>
          <t>1201–1500</t>
        </is>
      </c>
      <c r="O1427" t="inlineStr">
        <is>
          <t>22.8–28.2</t>
        </is>
      </c>
      <c r="P1427" t="n">
        <v>24</v>
      </c>
      <c r="Q1427" t="n">
        <v>26.1</v>
      </c>
      <c r="R1427" t="n">
        <v>26.4</v>
      </c>
      <c r="S1427" t="n">
        <v>74</v>
      </c>
      <c r="T1427" t="n">
        <v>29.1</v>
      </c>
      <c r="U1427" t="inlineStr">
        <is>
          <t>17,662</t>
        </is>
      </c>
      <c r="V1427" t="n">
        <v>24</v>
      </c>
      <c r="W1427" t="inlineStr">
        <is>
          <t>4%</t>
        </is>
      </c>
      <c r="X1427" t="inlineStr">
        <is>
          <t>25 : 75</t>
        </is>
      </c>
      <c r="Y1427" t="n">
        <v>751</v>
      </c>
      <c r="Z1427" t="n">
        <v>1201</v>
      </c>
      <c r="AA1427" t="n">
        <v>25.5</v>
      </c>
      <c r="AB1427" t="inlineStr">
        <is>
          <t>U1426</t>
        </is>
      </c>
      <c r="AC1427" t="inlineStr">
        <is>
          <t>JA</t>
        </is>
      </c>
      <c r="AD1427" t="n">
        <v>25.5</v>
      </c>
      <c r="AE1427" t="n">
        <v>10</v>
      </c>
      <c r="AF1427" t="n">
        <v>24</v>
      </c>
      <c r="AG1427" t="inlineStr">
        <is>
          <t>1:24.0</t>
        </is>
      </c>
      <c r="AH1427" t="inlineStr">
        <is>
          <t>4%</t>
        </is>
      </c>
      <c r="AI1427" t="n">
        <v>10.4</v>
      </c>
      <c r="AJ1427" t="n">
        <v>17.14</v>
      </c>
    </row>
    <row r="1428">
      <c r="A1428" t="inlineStr">
        <is>
          <t>Tomas Bata University in Zlín</t>
        </is>
      </c>
      <c r="B1428" t="inlineStr">
        <is>
          <t>Czech Republic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>
        <is>
          <t>1201–1500</t>
        </is>
      </c>
      <c r="O1428" t="inlineStr">
        <is>
          <t>22.8–28.2</t>
        </is>
      </c>
      <c r="P1428" t="n">
        <v>18.1</v>
      </c>
      <c r="Q1428" t="n">
        <v>21</v>
      </c>
      <c r="R1428" t="n">
        <v>31.8</v>
      </c>
      <c r="S1428" t="n">
        <v>26.1</v>
      </c>
      <c r="T1428" t="n">
        <v>51.3</v>
      </c>
      <c r="U1428" t="inlineStr">
        <is>
          <t>9,642</t>
        </is>
      </c>
      <c r="V1428" t="n">
        <v>20.1</v>
      </c>
      <c r="W1428" t="inlineStr">
        <is>
          <t>11%</t>
        </is>
      </c>
      <c r="X1428" t="inlineStr">
        <is>
          <t>56 : 44</t>
        </is>
      </c>
      <c r="Y1428" t="inlineStr"/>
      <c r="Z1428" t="n">
        <v>1201</v>
      </c>
      <c r="AA1428" t="n">
        <v>25.5</v>
      </c>
      <c r="AB1428" t="inlineStr">
        <is>
          <t>U1427</t>
        </is>
      </c>
      <c r="AC1428" t="inlineStr">
        <is>
          <t>CZ</t>
        </is>
      </c>
      <c r="AD1428" t="n">
        <v>25.5</v>
      </c>
      <c r="AE1428" t="n">
        <v>31.8</v>
      </c>
      <c r="AF1428" t="n">
        <v>20.1</v>
      </c>
      <c r="AG1428" t="inlineStr">
        <is>
          <t>1:20.1</t>
        </is>
      </c>
      <c r="AH1428" t="inlineStr">
        <is>
          <t>11%</t>
        </is>
      </c>
      <c r="AI1428" t="inlineStr"/>
      <c r="AJ1428" t="n">
        <v>26.44</v>
      </c>
    </row>
    <row r="1429">
      <c r="A1429" t="inlineStr">
        <is>
          <t>Tomas Bata University in Zlin</t>
        </is>
      </c>
      <c r="B1429" t="inlineStr">
        <is>
          <t>Czech Republic</t>
        </is>
      </c>
      <c r="C1429" t="inlineStr">
        <is>
          <t>1201-1400</t>
        </is>
      </c>
      <c r="D1429" t="inlineStr"/>
      <c r="E1429" t="n">
        <v>4.5</v>
      </c>
      <c r="F1429" t="n">
        <v>8.4</v>
      </c>
      <c r="G1429" t="n">
        <v>9.300000000000001</v>
      </c>
      <c r="H1429" t="n">
        <v>5.5</v>
      </c>
      <c r="I1429" t="n">
        <v>23.6</v>
      </c>
      <c r="J1429" t="n">
        <v>18.8</v>
      </c>
      <c r="K1429" t="n">
        <v>25.8</v>
      </c>
      <c r="L1429" t="n">
        <v>4</v>
      </c>
      <c r="M1429" t="n">
        <v>1.1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n">
        <v>1201</v>
      </c>
      <c r="Z1429" t="inlineStr"/>
      <c r="AA1429" t="inlineStr"/>
      <c r="AB1429" t="inlineStr">
        <is>
          <t>U1428</t>
        </is>
      </c>
      <c r="AC1429" t="inlineStr">
        <is>
          <t>CZ</t>
        </is>
      </c>
      <c r="AD1429" t="inlineStr"/>
      <c r="AE1429" t="n">
        <v>5.5</v>
      </c>
      <c r="AF1429" t="inlineStr"/>
      <c r="AG1429" t="inlineStr"/>
      <c r="AH1429" t="inlineStr"/>
      <c r="AI1429" t="n">
        <v>4.5</v>
      </c>
      <c r="AJ1429" t="n">
        <v>15.06</v>
      </c>
    </row>
    <row r="1430">
      <c r="A1430" t="inlineStr">
        <is>
          <t>Tomsk Polytechnic University</t>
        </is>
      </c>
      <c r="B1430" t="inlineStr">
        <is>
          <t>Russian Federation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>
        <is>
          <t>801–1000</t>
        </is>
      </c>
      <c r="O1430" t="inlineStr">
        <is>
          <t>32.7–36.9</t>
        </is>
      </c>
      <c r="P1430" t="n">
        <v>40.5</v>
      </c>
      <c r="Q1430" t="n">
        <v>23.5</v>
      </c>
      <c r="R1430" t="n">
        <v>31.7</v>
      </c>
      <c r="S1430" t="n">
        <v>54.9</v>
      </c>
      <c r="T1430" t="n">
        <v>69.40000000000001</v>
      </c>
      <c r="U1430" t="inlineStr">
        <is>
          <t>9,741</t>
        </is>
      </c>
      <c r="V1430" t="n">
        <v>10.6</v>
      </c>
      <c r="W1430" t="inlineStr">
        <is>
          <t>29%</t>
        </is>
      </c>
      <c r="X1430" t="inlineStr">
        <is>
          <t>31 : 69</t>
        </is>
      </c>
      <c r="Y1430" t="inlineStr"/>
      <c r="Z1430" t="n">
        <v>801</v>
      </c>
      <c r="AA1430" t="n">
        <v>34.8</v>
      </c>
      <c r="AB1430" t="inlineStr">
        <is>
          <t>U1429</t>
        </is>
      </c>
      <c r="AC1430" t="inlineStr">
        <is>
          <t>RU</t>
        </is>
      </c>
      <c r="AD1430" t="n">
        <v>34.8</v>
      </c>
      <c r="AE1430" t="n">
        <v>31.7</v>
      </c>
      <c r="AF1430" t="n">
        <v>10.6</v>
      </c>
      <c r="AG1430" t="inlineStr">
        <is>
          <t>1:10.6</t>
        </is>
      </c>
      <c r="AH1430" t="inlineStr">
        <is>
          <t>29%</t>
        </is>
      </c>
      <c r="AI1430" t="inlineStr"/>
      <c r="AJ1430" t="n">
        <v>32.1</v>
      </c>
    </row>
    <row r="1431">
      <c r="A1431" t="inlineStr">
        <is>
          <t>Tomsk State University</t>
        </is>
      </c>
      <c r="B1431" t="inlineStr">
        <is>
          <t>Russian Federation</t>
        </is>
      </c>
      <c r="C1431" t="inlineStr">
        <is>
          <t>431</t>
        </is>
      </c>
      <c r="D1431" t="n">
        <v>27.6</v>
      </c>
      <c r="E1431" t="n">
        <v>22</v>
      </c>
      <c r="F1431" t="n">
        <v>13.5</v>
      </c>
      <c r="G1431" t="n">
        <v>99</v>
      </c>
      <c r="H1431" t="n">
        <v>4.2</v>
      </c>
      <c r="I1431" t="n">
        <v>21.6</v>
      </c>
      <c r="J1431" t="n">
        <v>91.59999999999999</v>
      </c>
      <c r="K1431" t="n">
        <v>64.09999999999999</v>
      </c>
      <c r="L1431" t="n">
        <v>4.4</v>
      </c>
      <c r="M1431" t="n">
        <v>1.4</v>
      </c>
      <c r="N1431" t="inlineStr">
        <is>
          <t>501–600</t>
        </is>
      </c>
      <c r="O1431" t="inlineStr">
        <is>
          <t>41.9–45.3</t>
        </is>
      </c>
      <c r="P1431" t="n">
        <v>49.2</v>
      </c>
      <c r="Q1431" t="n">
        <v>40</v>
      </c>
      <c r="R1431" t="n">
        <v>31.8</v>
      </c>
      <c r="S1431" t="n">
        <v>53.8</v>
      </c>
      <c r="T1431" t="n">
        <v>79.09999999999999</v>
      </c>
      <c r="U1431" t="inlineStr">
        <is>
          <t>7,930</t>
        </is>
      </c>
      <c r="V1431" t="n">
        <v>11.6</v>
      </c>
      <c r="W1431" t="inlineStr">
        <is>
          <t>37%</t>
        </is>
      </c>
      <c r="X1431" t="inlineStr"/>
      <c r="Y1431" t="n">
        <v>431</v>
      </c>
      <c r="Z1431" t="n">
        <v>501</v>
      </c>
      <c r="AA1431" t="n">
        <v>43.59999999999999</v>
      </c>
      <c r="AB1431" t="inlineStr">
        <is>
          <t>U1430</t>
        </is>
      </c>
      <c r="AC1431" t="inlineStr">
        <is>
          <t>RU</t>
        </is>
      </c>
      <c r="AD1431" t="n">
        <v>27.6</v>
      </c>
      <c r="AE1431" t="n">
        <v>4.2</v>
      </c>
      <c r="AF1431" t="n">
        <v>11.6</v>
      </c>
      <c r="AG1431" t="inlineStr">
        <is>
          <t>1:11.6</t>
        </is>
      </c>
      <c r="AH1431" t="inlineStr">
        <is>
          <t>37%</t>
        </is>
      </c>
      <c r="AI1431" t="n">
        <v>22</v>
      </c>
      <c r="AJ1431" t="n">
        <v>34.76</v>
      </c>
    </row>
    <row r="1432">
      <c r="A1432" t="inlineStr">
        <is>
          <t>Tomsk State University of Control Systems and Radioelectronics</t>
        </is>
      </c>
      <c r="B1432" t="inlineStr">
        <is>
          <t>Russian Federation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>
        <is>
          <t>1501+</t>
        </is>
      </c>
      <c r="O1432" t="inlineStr">
        <is>
          <t>9.7–22.7</t>
        </is>
      </c>
      <c r="P1432" t="n">
        <v>22.2</v>
      </c>
      <c r="Q1432" t="n">
        <v>11</v>
      </c>
      <c r="R1432" t="n">
        <v>18.9</v>
      </c>
      <c r="S1432" t="n">
        <v>40</v>
      </c>
      <c r="T1432" t="n">
        <v>38.5</v>
      </c>
      <c r="U1432" t="inlineStr">
        <is>
          <t>6,452</t>
        </is>
      </c>
      <c r="V1432" t="n">
        <v>12.1</v>
      </c>
      <c r="W1432" t="inlineStr">
        <is>
          <t>14%</t>
        </is>
      </c>
      <c r="X1432" t="inlineStr">
        <is>
          <t>29 : 71</t>
        </is>
      </c>
      <c r="Y1432" t="inlineStr"/>
      <c r="Z1432" t="n">
        <v>1501</v>
      </c>
      <c r="AA1432" t="n">
        <v>16.2</v>
      </c>
      <c r="AB1432" t="inlineStr">
        <is>
          <t>U1431</t>
        </is>
      </c>
      <c r="AC1432" t="inlineStr">
        <is>
          <t>RU</t>
        </is>
      </c>
      <c r="AD1432" t="n">
        <v>16.2</v>
      </c>
      <c r="AE1432" t="n">
        <v>18.9</v>
      </c>
      <c r="AF1432" t="n">
        <v>12.1</v>
      </c>
      <c r="AG1432" t="inlineStr">
        <is>
          <t>1:12.1</t>
        </is>
      </c>
      <c r="AH1432" t="inlineStr">
        <is>
          <t>14%</t>
        </is>
      </c>
      <c r="AI1432" t="inlineStr"/>
      <c r="AJ1432" t="n">
        <v>14.2</v>
      </c>
    </row>
    <row r="1433">
      <c r="A1433" t="inlineStr">
        <is>
          <t>Ton Duc Thang University</t>
        </is>
      </c>
      <c r="B1433" t="inlineStr">
        <is>
          <t>Vietnam</t>
        </is>
      </c>
      <c r="C1433" t="inlineStr">
        <is>
          <t>711-720</t>
        </is>
      </c>
      <c r="D1433" t="inlineStr"/>
      <c r="E1433" t="n">
        <v>5</v>
      </c>
      <c r="F1433" t="n">
        <v>6.4</v>
      </c>
      <c r="G1433" t="n">
        <v>5.2</v>
      </c>
      <c r="H1433" t="n">
        <v>51.7</v>
      </c>
      <c r="I1433" t="n">
        <v>9.9</v>
      </c>
      <c r="J1433" t="n">
        <v>1.4</v>
      </c>
      <c r="K1433" t="n">
        <v>90.7</v>
      </c>
      <c r="L1433" t="n">
        <v>4.7</v>
      </c>
      <c r="M1433" t="n">
        <v>3.8</v>
      </c>
      <c r="N1433" t="inlineStr">
        <is>
          <t>601–800</t>
        </is>
      </c>
      <c r="O1433" t="inlineStr">
        <is>
          <t>37.0–41.8</t>
        </is>
      </c>
      <c r="P1433" t="n">
        <v>12.9</v>
      </c>
      <c r="Q1433" t="n">
        <v>16</v>
      </c>
      <c r="R1433" t="n">
        <v>90.59999999999999</v>
      </c>
      <c r="S1433" t="n">
        <v>20.9</v>
      </c>
      <c r="T1433" t="n">
        <v>63.1</v>
      </c>
      <c r="U1433" t="inlineStr">
        <is>
          <t>28,400</t>
        </is>
      </c>
      <c r="V1433" t="n">
        <v>21.9</v>
      </c>
      <c r="W1433" t="inlineStr">
        <is>
          <t>1%</t>
        </is>
      </c>
      <c r="X1433" t="inlineStr">
        <is>
          <t>57 : 43</t>
        </is>
      </c>
      <c r="Y1433" t="n">
        <v>711</v>
      </c>
      <c r="Z1433" t="n">
        <v>601</v>
      </c>
      <c r="AA1433" t="n">
        <v>39.4</v>
      </c>
      <c r="AB1433" t="inlineStr">
        <is>
          <t>U1432</t>
        </is>
      </c>
      <c r="AC1433" t="inlineStr">
        <is>
          <t>VI</t>
        </is>
      </c>
      <c r="AD1433" t="n">
        <v>39.4</v>
      </c>
      <c r="AE1433" t="n">
        <v>51.7</v>
      </c>
      <c r="AF1433" t="n">
        <v>21.9</v>
      </c>
      <c r="AG1433" t="inlineStr">
        <is>
          <t>1:21.9</t>
        </is>
      </c>
      <c r="AH1433" t="inlineStr">
        <is>
          <t>1%</t>
        </is>
      </c>
      <c r="AI1433" t="n">
        <v>5</v>
      </c>
      <c r="AJ1433" t="n">
        <v>32.7</v>
      </c>
    </row>
    <row r="1434">
      <c r="A1434" t="inlineStr">
        <is>
          <t>Tongji University</t>
        </is>
      </c>
      <c r="B1434" t="inlineStr">
        <is>
          <t>China</t>
        </is>
      </c>
      <c r="C1434" t="inlineStr">
        <is>
          <t>192</t>
        </is>
      </c>
      <c r="D1434" t="n">
        <v>46.9</v>
      </c>
      <c r="E1434" t="n">
        <v>31.8</v>
      </c>
      <c r="F1434" t="n">
        <v>16.9</v>
      </c>
      <c r="G1434" t="n">
        <v>29.1</v>
      </c>
      <c r="H1434" t="n">
        <v>96.90000000000001</v>
      </c>
      <c r="I1434" t="n">
        <v>54.5</v>
      </c>
      <c r="J1434" t="n">
        <v>26.5</v>
      </c>
      <c r="K1434" t="n">
        <v>72.90000000000001</v>
      </c>
      <c r="L1434" t="n">
        <v>24</v>
      </c>
      <c r="M1434" t="n">
        <v>81.40000000000001</v>
      </c>
      <c r="N1434">
        <f>185</f>
        <v/>
      </c>
      <c r="O1434" t="inlineStr">
        <is>
          <t>59.6</t>
        </is>
      </c>
      <c r="P1434" t="n">
        <v>50</v>
      </c>
      <c r="Q1434" t="n">
        <v>53.6</v>
      </c>
      <c r="R1434" t="n">
        <v>69.5</v>
      </c>
      <c r="S1434" t="n">
        <v>85.40000000000001</v>
      </c>
      <c r="T1434" t="n">
        <v>67.7</v>
      </c>
      <c r="U1434" t="inlineStr">
        <is>
          <t>31,632</t>
        </is>
      </c>
      <c r="V1434" t="n">
        <v>11.3</v>
      </c>
      <c r="W1434" t="inlineStr">
        <is>
          <t>15%</t>
        </is>
      </c>
      <c r="X1434" t="inlineStr">
        <is>
          <t>41 : 59</t>
        </is>
      </c>
      <c r="Y1434" t="n">
        <v>192</v>
      </c>
      <c r="Z1434" t="n">
        <v>185</v>
      </c>
      <c r="AA1434" t="n">
        <v>59.6</v>
      </c>
      <c r="AB1434" t="inlineStr">
        <is>
          <t>U1433</t>
        </is>
      </c>
      <c r="AC1434" t="inlineStr">
        <is>
          <t>CH</t>
        </is>
      </c>
      <c r="AD1434" t="n">
        <v>46.9</v>
      </c>
      <c r="AE1434" t="n">
        <v>96.90000000000001</v>
      </c>
      <c r="AF1434" t="n">
        <v>11.3</v>
      </c>
      <c r="AG1434" t="inlineStr">
        <is>
          <t>1:11.3</t>
        </is>
      </c>
      <c r="AH1434" t="inlineStr">
        <is>
          <t>15%</t>
        </is>
      </c>
      <c r="AI1434" t="n">
        <v>31.8</v>
      </c>
      <c r="AJ1434" t="n">
        <v>67.22</v>
      </c>
    </row>
    <row r="1435">
      <c r="A1435" t="inlineStr">
        <is>
          <t>Toraighyrov University</t>
        </is>
      </c>
      <c r="B1435" t="inlineStr">
        <is>
          <t>Kazakhstan</t>
        </is>
      </c>
      <c r="C1435" t="inlineStr">
        <is>
          <t>1201-1400</t>
        </is>
      </c>
      <c r="D1435" t="inlineStr"/>
      <c r="E1435" t="n">
        <v>8.5</v>
      </c>
      <c r="F1435" t="n">
        <v>4.8</v>
      </c>
      <c r="G1435" t="n">
        <v>17.8</v>
      </c>
      <c r="H1435" t="n">
        <v>1.2</v>
      </c>
      <c r="I1435" t="n">
        <v>6.8</v>
      </c>
      <c r="J1435" t="n">
        <v>3.1</v>
      </c>
      <c r="K1435" t="n">
        <v>3.9</v>
      </c>
      <c r="L1435" t="n">
        <v>3.3</v>
      </c>
      <c r="M1435" t="n">
        <v>1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n">
        <v>1201</v>
      </c>
      <c r="Z1435" t="inlineStr"/>
      <c r="AA1435" t="inlineStr"/>
      <c r="AB1435" t="inlineStr">
        <is>
          <t>U1434</t>
        </is>
      </c>
      <c r="AC1435" t="inlineStr">
        <is>
          <t>KA</t>
        </is>
      </c>
      <c r="AD1435" t="inlineStr"/>
      <c r="AE1435" t="n">
        <v>1.2</v>
      </c>
      <c r="AF1435" t="inlineStr"/>
      <c r="AG1435" t="inlineStr"/>
      <c r="AH1435" t="inlineStr"/>
      <c r="AI1435" t="n">
        <v>8.5</v>
      </c>
      <c r="AJ1435" t="n">
        <v>13.75</v>
      </c>
    </row>
    <row r="1436">
      <c r="A1436" t="inlineStr">
        <is>
          <t>Toronto Metropolitan University</t>
        </is>
      </c>
      <c r="B1436" t="inlineStr">
        <is>
          <t>Canada</t>
        </is>
      </c>
      <c r="C1436" t="inlineStr">
        <is>
          <t>801-850</t>
        </is>
      </c>
      <c r="D1436" t="inlineStr"/>
      <c r="E1436" t="n">
        <v>8</v>
      </c>
      <c r="F1436" t="n">
        <v>12</v>
      </c>
      <c r="G1436" t="n">
        <v>1.8</v>
      </c>
      <c r="H1436" t="n">
        <v>26.4</v>
      </c>
      <c r="I1436" t="n">
        <v>35.4</v>
      </c>
      <c r="J1436" t="n">
        <v>8.1</v>
      </c>
      <c r="K1436" t="n">
        <v>57</v>
      </c>
      <c r="L1436" t="n">
        <v>15.1</v>
      </c>
      <c r="M1436" t="n">
        <v>3.8</v>
      </c>
      <c r="N1436" t="inlineStr">
        <is>
          <t>601–800</t>
        </is>
      </c>
      <c r="O1436" t="inlineStr">
        <is>
          <t>37.0–41.8</t>
        </is>
      </c>
      <c r="P1436" t="n">
        <v>19.5</v>
      </c>
      <c r="Q1436" t="n">
        <v>32.3</v>
      </c>
      <c r="R1436" t="n">
        <v>57.3</v>
      </c>
      <c r="S1436" t="n">
        <v>70.3</v>
      </c>
      <c r="T1436" t="n">
        <v>62.1</v>
      </c>
      <c r="U1436" t="inlineStr">
        <is>
          <t>39,142</t>
        </is>
      </c>
      <c r="V1436" t="n">
        <v>42.8</v>
      </c>
      <c r="W1436" t="inlineStr">
        <is>
          <t>9%</t>
        </is>
      </c>
      <c r="X1436" t="inlineStr">
        <is>
          <t>55 : 45</t>
        </is>
      </c>
      <c r="Y1436" t="n">
        <v>801</v>
      </c>
      <c r="Z1436" t="n">
        <v>601</v>
      </c>
      <c r="AA1436" t="n">
        <v>39.4</v>
      </c>
      <c r="AB1436" t="inlineStr">
        <is>
          <t>U1435</t>
        </is>
      </c>
      <c r="AC1436" t="inlineStr">
        <is>
          <t>CA</t>
        </is>
      </c>
      <c r="AD1436" t="n">
        <v>39.4</v>
      </c>
      <c r="AE1436" t="n">
        <v>26.4</v>
      </c>
      <c r="AF1436" t="n">
        <v>42.8</v>
      </c>
      <c r="AG1436" t="inlineStr">
        <is>
          <t>1:42.8</t>
        </is>
      </c>
      <c r="AH1436" t="inlineStr">
        <is>
          <t>9%</t>
        </is>
      </c>
      <c r="AI1436" t="n">
        <v>8</v>
      </c>
      <c r="AJ1436" t="n">
        <v>33.34</v>
      </c>
    </row>
    <row r="1437">
      <c r="A1437" t="inlineStr">
        <is>
          <t>Tottori University</t>
        </is>
      </c>
      <c r="B1437" t="inlineStr">
        <is>
          <t>Japan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>
        <is>
          <t>1501+</t>
        </is>
      </c>
      <c r="O1437" t="inlineStr">
        <is>
          <t>9.7–22.7</t>
        </is>
      </c>
      <c r="P1437" t="n">
        <v>28.8</v>
      </c>
      <c r="Q1437" t="n">
        <v>13.4</v>
      </c>
      <c r="R1437" t="n">
        <v>21.3</v>
      </c>
      <c r="S1437" t="n">
        <v>46.7</v>
      </c>
      <c r="T1437" t="n">
        <v>26.6</v>
      </c>
      <c r="U1437" t="inlineStr">
        <is>
          <t>5,998</t>
        </is>
      </c>
      <c r="V1437" t="n">
        <v>8</v>
      </c>
      <c r="W1437" t="inlineStr">
        <is>
          <t>2%</t>
        </is>
      </c>
      <c r="X1437" t="inlineStr">
        <is>
          <t>38 : 62</t>
        </is>
      </c>
      <c r="Y1437" t="inlineStr"/>
      <c r="Z1437" t="n">
        <v>1501</v>
      </c>
      <c r="AA1437" t="n">
        <v>16.2</v>
      </c>
      <c r="AB1437" t="inlineStr">
        <is>
          <t>U1436</t>
        </is>
      </c>
      <c r="AC1437" t="inlineStr">
        <is>
          <t>JA</t>
        </is>
      </c>
      <c r="AD1437" t="n">
        <v>16.2</v>
      </c>
      <c r="AE1437" t="n">
        <v>21.3</v>
      </c>
      <c r="AF1437" t="n">
        <v>8</v>
      </c>
      <c r="AG1437" t="inlineStr">
        <is>
          <t>1:8.0</t>
        </is>
      </c>
      <c r="AH1437" t="inlineStr">
        <is>
          <t>2%</t>
        </is>
      </c>
      <c r="AI1437" t="inlineStr"/>
      <c r="AJ1437" t="n">
        <v>13.3</v>
      </c>
    </row>
    <row r="1438">
      <c r="A1438" t="inlineStr">
        <is>
          <t>Toyama Prefectural University</t>
        </is>
      </c>
      <c r="B1438" t="inlineStr">
        <is>
          <t>Japan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>
        <is>
          <t>1501+</t>
        </is>
      </c>
      <c r="O1438" t="inlineStr">
        <is>
          <t>9.7–22.7</t>
        </is>
      </c>
      <c r="P1438" t="n">
        <v>25</v>
      </c>
      <c r="Q1438" t="n">
        <v>9.5</v>
      </c>
      <c r="R1438" t="n">
        <v>9.5</v>
      </c>
      <c r="S1438" t="n">
        <v>27</v>
      </c>
      <c r="T1438" t="n">
        <v>21.8</v>
      </c>
      <c r="U1438" t="inlineStr">
        <is>
          <t>1,864</t>
        </is>
      </c>
      <c r="V1438" t="n">
        <v>9.5</v>
      </c>
      <c r="W1438" t="inlineStr">
        <is>
          <t>2%</t>
        </is>
      </c>
      <c r="X1438" t="inlineStr">
        <is>
          <t>31 : 69</t>
        </is>
      </c>
      <c r="Y1438" t="inlineStr"/>
      <c r="Z1438" t="n">
        <v>1501</v>
      </c>
      <c r="AA1438" t="n">
        <v>16.2</v>
      </c>
      <c r="AB1438" t="inlineStr">
        <is>
          <t>U1437</t>
        </is>
      </c>
      <c r="AC1438" t="inlineStr">
        <is>
          <t>JA</t>
        </is>
      </c>
      <c r="AD1438" t="n">
        <v>16.2</v>
      </c>
      <c r="AE1438" t="n">
        <v>9.5</v>
      </c>
      <c r="AF1438" t="n">
        <v>9.5</v>
      </c>
      <c r="AG1438" t="inlineStr">
        <is>
          <t>1:9.5</t>
        </is>
      </c>
      <c r="AH1438" t="inlineStr">
        <is>
          <t>2%</t>
        </is>
      </c>
      <c r="AI1438" t="inlineStr"/>
      <c r="AJ1438" t="n">
        <v>6.52</v>
      </c>
    </row>
    <row r="1439">
      <c r="A1439" t="inlineStr">
        <is>
          <t>Toyo University</t>
        </is>
      </c>
      <c r="B1439" t="inlineStr">
        <is>
          <t>Japan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>
        <is>
          <t>1501+</t>
        </is>
      </c>
      <c r="O1439" t="inlineStr">
        <is>
          <t>9.7–22.7</t>
        </is>
      </c>
      <c r="P1439" t="n">
        <v>14.4</v>
      </c>
      <c r="Q1439" t="n">
        <v>9.199999999999999</v>
      </c>
      <c r="R1439" t="n">
        <v>8.699999999999999</v>
      </c>
      <c r="S1439" t="n">
        <v>19.6</v>
      </c>
      <c r="T1439" t="n">
        <v>36</v>
      </c>
      <c r="U1439" t="inlineStr">
        <is>
          <t>30,662</t>
        </is>
      </c>
      <c r="V1439" t="n">
        <v>23.5</v>
      </c>
      <c r="W1439" t="inlineStr">
        <is>
          <t>5%</t>
        </is>
      </c>
      <c r="X1439" t="inlineStr">
        <is>
          <t>42 : 58</t>
        </is>
      </c>
      <c r="Y1439" t="inlineStr"/>
      <c r="Z1439" t="n">
        <v>1501</v>
      </c>
      <c r="AA1439" t="n">
        <v>16.2</v>
      </c>
      <c r="AB1439" t="inlineStr">
        <is>
          <t>U1438</t>
        </is>
      </c>
      <c r="AC1439" t="inlineStr">
        <is>
          <t>JA</t>
        </is>
      </c>
      <c r="AD1439" t="n">
        <v>16.2</v>
      </c>
      <c r="AE1439" t="n">
        <v>8.699999999999999</v>
      </c>
      <c r="AF1439" t="n">
        <v>23.5</v>
      </c>
      <c r="AG1439" t="inlineStr">
        <is>
          <t>1:23.5</t>
        </is>
      </c>
      <c r="AH1439" t="inlineStr">
        <is>
          <t>5%</t>
        </is>
      </c>
      <c r="AI1439" t="inlineStr"/>
      <c r="AJ1439" t="n">
        <v>9.56</v>
      </c>
    </row>
    <row r="1440">
      <c r="A1440" t="inlineStr">
        <is>
          <t>Toyohashi University of Technology (TUT)</t>
        </is>
      </c>
      <c r="B1440" t="inlineStr">
        <is>
          <t>Japan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>
        <is>
          <t>1001–1200</t>
        </is>
      </c>
      <c r="O1440" t="inlineStr">
        <is>
          <t>28.3–32.6</t>
        </is>
      </c>
      <c r="P1440" t="n">
        <v>28.7</v>
      </c>
      <c r="Q1440" t="n">
        <v>24</v>
      </c>
      <c r="R1440" t="n">
        <v>24.7</v>
      </c>
      <c r="S1440" t="n">
        <v>89.8</v>
      </c>
      <c r="T1440" t="n">
        <v>43.5</v>
      </c>
      <c r="U1440" t="inlineStr">
        <is>
          <t>2,034</t>
        </is>
      </c>
      <c r="V1440" t="n">
        <v>10.8</v>
      </c>
      <c r="W1440" t="inlineStr">
        <is>
          <t>15%</t>
        </is>
      </c>
      <c r="X1440" t="inlineStr">
        <is>
          <t>13 : 87</t>
        </is>
      </c>
      <c r="Y1440" t="inlineStr"/>
      <c r="Z1440" t="n">
        <v>1001</v>
      </c>
      <c r="AA1440" t="n">
        <v>30.45</v>
      </c>
      <c r="AB1440" t="inlineStr">
        <is>
          <t>U1439</t>
        </is>
      </c>
      <c r="AC1440" t="inlineStr">
        <is>
          <t>JA</t>
        </is>
      </c>
      <c r="AD1440" t="n">
        <v>30.45</v>
      </c>
      <c r="AE1440" t="n">
        <v>24.7</v>
      </c>
      <c r="AF1440" t="n">
        <v>10.8</v>
      </c>
      <c r="AG1440" t="inlineStr">
        <is>
          <t>1:10.8</t>
        </is>
      </c>
      <c r="AH1440" t="inlineStr">
        <is>
          <t>15%</t>
        </is>
      </c>
      <c r="AI1440" t="inlineStr"/>
      <c r="AJ1440" t="n">
        <v>23.98</v>
      </c>
    </row>
    <row r="1441">
      <c r="A1441" t="inlineStr">
        <is>
          <t>Toyota Technological Institute</t>
        </is>
      </c>
      <c r="B1441" t="inlineStr">
        <is>
          <t>Japan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>
        <is>
          <t>1001–1200</t>
        </is>
      </c>
      <c r="O1441" t="inlineStr">
        <is>
          <t>28.3–32.6</t>
        </is>
      </c>
      <c r="P1441" t="n">
        <v>28.7</v>
      </c>
      <c r="Q1441" t="n">
        <v>16.2</v>
      </c>
      <c r="R1441" t="n">
        <v>38.4</v>
      </c>
      <c r="S1441" t="n">
        <v>57.2</v>
      </c>
      <c r="T1441" t="n">
        <v>33.2</v>
      </c>
      <c r="U1441" t="inlineStr">
        <is>
          <t>503</t>
        </is>
      </c>
      <c r="V1441" t="n">
        <v>9.699999999999999</v>
      </c>
      <c r="W1441" t="inlineStr">
        <is>
          <t>1%</t>
        </is>
      </c>
      <c r="X1441" t="inlineStr">
        <is>
          <t>8 : 92</t>
        </is>
      </c>
      <c r="Y1441" t="inlineStr"/>
      <c r="Z1441" t="n">
        <v>1001</v>
      </c>
      <c r="AA1441" t="n">
        <v>30.45</v>
      </c>
      <c r="AB1441" t="inlineStr">
        <is>
          <t>U1440</t>
        </is>
      </c>
      <c r="AC1441" t="inlineStr">
        <is>
          <t>JA</t>
        </is>
      </c>
      <c r="AD1441" t="n">
        <v>30.45</v>
      </c>
      <c r="AE1441" t="n">
        <v>38.4</v>
      </c>
      <c r="AF1441" t="n">
        <v>9.699999999999999</v>
      </c>
      <c r="AG1441" t="inlineStr">
        <is>
          <t>1:9.7</t>
        </is>
      </c>
      <c r="AH1441" t="inlineStr">
        <is>
          <t>1%</t>
        </is>
      </c>
      <c r="AI1441" t="inlineStr"/>
      <c r="AJ1441" t="n">
        <v>21.55</v>
      </c>
    </row>
    <row r="1442">
      <c r="A1442" t="inlineStr">
        <is>
          <t>Transilvania University of Brașov</t>
        </is>
      </c>
      <c r="B1442" t="inlineStr">
        <is>
          <t>Romania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>
        <is>
          <t>1201–1500</t>
        </is>
      </c>
      <c r="O1442" t="inlineStr">
        <is>
          <t>22.8–28.2</t>
        </is>
      </c>
      <c r="P1442" t="n">
        <v>15.4</v>
      </c>
      <c r="Q1442" t="n">
        <v>11.5</v>
      </c>
      <c r="R1442" t="n">
        <v>49.8</v>
      </c>
      <c r="S1442" t="n">
        <v>18.7</v>
      </c>
      <c r="T1442" t="n">
        <v>36.9</v>
      </c>
      <c r="U1442" t="inlineStr">
        <is>
          <t>20,075</t>
        </is>
      </c>
      <c r="V1442" t="n">
        <v>20.4</v>
      </c>
      <c r="W1442" t="inlineStr">
        <is>
          <t>1%</t>
        </is>
      </c>
      <c r="X1442" t="inlineStr">
        <is>
          <t>52 : 48</t>
        </is>
      </c>
      <c r="Y1442" t="inlineStr"/>
      <c r="Z1442" t="n">
        <v>1201</v>
      </c>
      <c r="AA1442" t="n">
        <v>25.5</v>
      </c>
      <c r="AB1442" t="inlineStr">
        <is>
          <t>U1441</t>
        </is>
      </c>
      <c r="AC1442" t="inlineStr">
        <is>
          <t>RO</t>
        </is>
      </c>
      <c r="AD1442" t="n">
        <v>25.5</v>
      </c>
      <c r="AE1442" t="n">
        <v>49.8</v>
      </c>
      <c r="AF1442" t="n">
        <v>20.4</v>
      </c>
      <c r="AG1442" t="inlineStr">
        <is>
          <t>1:20.4</t>
        </is>
      </c>
      <c r="AH1442" t="inlineStr">
        <is>
          <t>1%</t>
        </is>
      </c>
      <c r="AI1442" t="inlineStr"/>
      <c r="AJ1442" t="n">
        <v>23.43</v>
      </c>
    </row>
    <row r="1443">
      <c r="A1443" t="inlineStr">
        <is>
          <t>Transilvania University of Brasov</t>
        </is>
      </c>
      <c r="B1443" t="inlineStr">
        <is>
          <t>Romania</t>
        </is>
      </c>
      <c r="C1443" t="inlineStr">
        <is>
          <t>1201-1400</t>
        </is>
      </c>
      <c r="D1443" t="inlineStr"/>
      <c r="E1443" t="n">
        <v>6.4</v>
      </c>
      <c r="F1443" t="n">
        <v>5.5</v>
      </c>
      <c r="G1443" t="n">
        <v>5.1</v>
      </c>
      <c r="H1443" t="n">
        <v>3.7</v>
      </c>
      <c r="I1443" t="n">
        <v>5.4</v>
      </c>
      <c r="J1443" t="n">
        <v>2.1</v>
      </c>
      <c r="K1443" t="n">
        <v>48.1</v>
      </c>
      <c r="L1443" t="n">
        <v>4</v>
      </c>
      <c r="M1443" t="n">
        <v>1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n">
        <v>1201</v>
      </c>
      <c r="Z1443" t="inlineStr"/>
      <c r="AA1443" t="inlineStr"/>
      <c r="AB1443" t="inlineStr">
        <is>
          <t>U1442</t>
        </is>
      </c>
      <c r="AC1443" t="inlineStr">
        <is>
          <t>RO</t>
        </is>
      </c>
      <c r="AD1443" t="inlineStr"/>
      <c r="AE1443" t="n">
        <v>3.7</v>
      </c>
      <c r="AF1443" t="inlineStr"/>
      <c r="AG1443" t="inlineStr"/>
      <c r="AH1443" t="inlineStr"/>
      <c r="AI1443" t="n">
        <v>6.4</v>
      </c>
      <c r="AJ1443" t="n">
        <v>14.51</v>
      </c>
    </row>
    <row r="1444">
      <c r="A1444" t="inlineStr">
        <is>
          <t>Tribhuvan University</t>
        </is>
      </c>
      <c r="B1444" t="inlineStr">
        <is>
          <t>Nepal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>
        <is>
          <t>1201–1500</t>
        </is>
      </c>
      <c r="O1444" t="inlineStr">
        <is>
          <t>22.8–28.2</t>
        </is>
      </c>
      <c r="P1444" t="n">
        <v>11.3</v>
      </c>
      <c r="Q1444" t="n">
        <v>8.199999999999999</v>
      </c>
      <c r="R1444" t="n">
        <v>49.5</v>
      </c>
      <c r="S1444" t="n">
        <v>15.9</v>
      </c>
      <c r="T1444" t="n">
        <v>46.7</v>
      </c>
      <c r="U1444" t="inlineStr">
        <is>
          <t>482,541</t>
        </is>
      </c>
      <c r="V1444" t="n">
        <v>30.9</v>
      </c>
      <c r="W1444" t="inlineStr">
        <is>
          <t>0%</t>
        </is>
      </c>
      <c r="X1444" t="inlineStr">
        <is>
          <t>52 : 48</t>
        </is>
      </c>
      <c r="Y1444" t="inlineStr"/>
      <c r="Z1444" t="n">
        <v>1201</v>
      </c>
      <c r="AA1444" t="n">
        <v>25.5</v>
      </c>
      <c r="AB1444" t="inlineStr">
        <is>
          <t>U1443</t>
        </is>
      </c>
      <c r="AC1444" t="inlineStr">
        <is>
          <t>NE</t>
        </is>
      </c>
      <c r="AD1444" t="n">
        <v>25.5</v>
      </c>
      <c r="AE1444" t="n">
        <v>49.5</v>
      </c>
      <c r="AF1444" t="n">
        <v>30.9</v>
      </c>
      <c r="AG1444" t="inlineStr">
        <is>
          <t>1:30.9</t>
        </is>
      </c>
      <c r="AH1444" t="inlineStr">
        <is>
          <t>0%</t>
        </is>
      </c>
      <c r="AI1444" t="inlineStr"/>
      <c r="AJ1444" t="n">
        <v>23.98</v>
      </c>
    </row>
    <row r="1445">
      <c r="A1445" t="inlineStr">
        <is>
          <t>Trinity College Dublin</t>
        </is>
      </c>
      <c r="B1445" t="inlineStr">
        <is>
          <t>Ireland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>
        <is>
          <t>134</t>
        </is>
      </c>
      <c r="O1445" t="inlineStr">
        <is>
          <t>63.2</t>
        </is>
      </c>
      <c r="P1445" t="n">
        <v>44</v>
      </c>
      <c r="Q1445" t="n">
        <v>48.4</v>
      </c>
      <c r="R1445" t="n">
        <v>87.59999999999999</v>
      </c>
      <c r="S1445" t="n">
        <v>76.59999999999999</v>
      </c>
      <c r="T1445" t="n">
        <v>91.40000000000001</v>
      </c>
      <c r="U1445" t="inlineStr">
        <is>
          <t>18,778</t>
        </is>
      </c>
      <c r="V1445" t="n">
        <v>22.2</v>
      </c>
      <c r="W1445" t="inlineStr">
        <is>
          <t>34%</t>
        </is>
      </c>
      <c r="X1445" t="inlineStr">
        <is>
          <t>61 : 39</t>
        </is>
      </c>
      <c r="Y1445" t="inlineStr"/>
      <c r="Z1445" t="n">
        <v>134</v>
      </c>
      <c r="AA1445" t="n">
        <v>63.2</v>
      </c>
      <c r="AB1445" t="inlineStr">
        <is>
          <t>U1444</t>
        </is>
      </c>
      <c r="AC1445" t="inlineStr">
        <is>
          <t>IR</t>
        </is>
      </c>
      <c r="AD1445" t="n">
        <v>63.2</v>
      </c>
      <c r="AE1445" t="n">
        <v>87.59999999999999</v>
      </c>
      <c r="AF1445" t="n">
        <v>22.2</v>
      </c>
      <c r="AG1445" t="inlineStr">
        <is>
          <t>1:22.2</t>
        </is>
      </c>
      <c r="AH1445" t="inlineStr">
        <is>
          <t>34%</t>
        </is>
      </c>
      <c r="AI1445" t="inlineStr"/>
      <c r="AJ1445" t="n">
        <v>67.41</v>
      </c>
    </row>
    <row r="1446">
      <c r="A1446" t="inlineStr">
        <is>
          <t>Trinity College Dublin, The University of Dublin</t>
        </is>
      </c>
      <c r="B1446" t="inlineStr">
        <is>
          <t>Ireland</t>
        </is>
      </c>
      <c r="C1446" t="inlineStr">
        <is>
          <t>87</t>
        </is>
      </c>
      <c r="D1446" t="n">
        <v>62.9</v>
      </c>
      <c r="E1446" t="n">
        <v>69.5</v>
      </c>
      <c r="F1446" t="n">
        <v>47.4</v>
      </c>
      <c r="G1446" t="n">
        <v>20.2</v>
      </c>
      <c r="H1446" t="n">
        <v>58.4</v>
      </c>
      <c r="I1446" t="n">
        <v>99.3</v>
      </c>
      <c r="J1446" t="n">
        <v>88</v>
      </c>
      <c r="K1446" t="n">
        <v>91.3</v>
      </c>
      <c r="L1446" t="n">
        <v>88.59999999999999</v>
      </c>
      <c r="M1446" t="n">
        <v>57.7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n">
        <v>87</v>
      </c>
      <c r="Z1446" t="inlineStr"/>
      <c r="AA1446" t="inlineStr"/>
      <c r="AB1446" t="inlineStr">
        <is>
          <t>U1445</t>
        </is>
      </c>
      <c r="AC1446" t="inlineStr">
        <is>
          <t>IR</t>
        </is>
      </c>
      <c r="AD1446" t="n">
        <v>62.9</v>
      </c>
      <c r="AE1446" t="n">
        <v>58.4</v>
      </c>
      <c r="AF1446" t="inlineStr"/>
      <c r="AG1446" t="inlineStr"/>
      <c r="AH1446" t="inlineStr"/>
      <c r="AI1446" t="n">
        <v>69.5</v>
      </c>
      <c r="AJ1446" t="n">
        <v>31.09</v>
      </c>
    </row>
    <row r="1447">
      <c r="A1447" t="inlineStr">
        <is>
          <t>Tsinghua University</t>
        </is>
      </c>
      <c r="B1447" t="inlineStr">
        <is>
          <t>China</t>
        </is>
      </c>
      <c r="C1447" t="inlineStr">
        <is>
          <t>20</t>
        </is>
      </c>
      <c r="D1447" t="n">
        <v>86.5</v>
      </c>
      <c r="E1447" t="n">
        <v>99.2</v>
      </c>
      <c r="F1447" t="n">
        <v>97.7</v>
      </c>
      <c r="G1447" t="n">
        <v>95</v>
      </c>
      <c r="H1447" t="n">
        <v>99.09999999999999</v>
      </c>
      <c r="I1447" t="n">
        <v>18.1</v>
      </c>
      <c r="J1447" t="n">
        <v>13.4</v>
      </c>
      <c r="K1447" t="n">
        <v>79.2</v>
      </c>
      <c r="L1447" t="n">
        <v>92.3</v>
      </c>
      <c r="M1447" t="n">
        <v>40.4</v>
      </c>
      <c r="N1447" t="inlineStr">
        <is>
          <t>12</t>
        </is>
      </c>
      <c r="O1447" t="inlineStr">
        <is>
          <t>92.4</t>
        </is>
      </c>
      <c r="P1447" t="n">
        <v>95.3</v>
      </c>
      <c r="Q1447" t="n">
        <v>98.09999999999999</v>
      </c>
      <c r="R1447" t="n">
        <v>93.2</v>
      </c>
      <c r="S1447" t="n">
        <v>99.90000000000001</v>
      </c>
      <c r="T1447" t="n">
        <v>51.7</v>
      </c>
      <c r="U1447" t="inlineStr">
        <is>
          <t>38,518</t>
        </is>
      </c>
      <c r="V1447" t="n">
        <v>11.2</v>
      </c>
      <c r="W1447" t="inlineStr">
        <is>
          <t>10%</t>
        </is>
      </c>
      <c r="X1447" t="inlineStr"/>
      <c r="Y1447" t="n">
        <v>20</v>
      </c>
      <c r="Z1447" t="n">
        <v>12</v>
      </c>
      <c r="AA1447" t="n">
        <v>92.40000000000001</v>
      </c>
      <c r="AB1447" t="inlineStr">
        <is>
          <t>U1446</t>
        </is>
      </c>
      <c r="AC1447" t="inlineStr">
        <is>
          <t>CH</t>
        </is>
      </c>
      <c r="AD1447" t="n">
        <v>86.5</v>
      </c>
      <c r="AE1447" t="n">
        <v>99.09999999999999</v>
      </c>
      <c r="AF1447" t="n">
        <v>11.2</v>
      </c>
      <c r="AG1447" t="inlineStr">
        <is>
          <t>1:11.2</t>
        </is>
      </c>
      <c r="AH1447" t="inlineStr">
        <is>
          <t>10%</t>
        </is>
      </c>
      <c r="AI1447" t="n">
        <v>99.2</v>
      </c>
      <c r="AJ1447" t="n">
        <v>87.34</v>
      </c>
    </row>
    <row r="1448">
      <c r="A1448" t="inlineStr">
        <is>
          <t>TU Braunschweig</t>
        </is>
      </c>
      <c r="B1448" t="inlineStr">
        <is>
          <t>Germany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>
        <is>
          <t>501–600</t>
        </is>
      </c>
      <c r="O1448" t="inlineStr">
        <is>
          <t>41.9–45.3</t>
        </is>
      </c>
      <c r="P1448" t="n">
        <v>34.5</v>
      </c>
      <c r="Q1448" t="n">
        <v>24</v>
      </c>
      <c r="R1448" t="n">
        <v>61.5</v>
      </c>
      <c r="S1448" t="n">
        <v>77</v>
      </c>
      <c r="T1448" t="n">
        <v>60.6</v>
      </c>
      <c r="U1448" t="inlineStr">
        <is>
          <t>18,384</t>
        </is>
      </c>
      <c r="V1448" t="n">
        <v>19.6</v>
      </c>
      <c r="W1448" t="inlineStr">
        <is>
          <t>18%</t>
        </is>
      </c>
      <c r="X1448" t="inlineStr">
        <is>
          <t>41 : 59</t>
        </is>
      </c>
      <c r="Y1448" t="inlineStr"/>
      <c r="Z1448" t="n">
        <v>501</v>
      </c>
      <c r="AA1448" t="n">
        <v>43.59999999999999</v>
      </c>
      <c r="AB1448" t="inlineStr">
        <is>
          <t>U1447</t>
        </is>
      </c>
      <c r="AC1448" t="inlineStr">
        <is>
          <t>GE</t>
        </is>
      </c>
      <c r="AD1448" t="n">
        <v>43.59999999999999</v>
      </c>
      <c r="AE1448" t="n">
        <v>61.5</v>
      </c>
      <c r="AF1448" t="n">
        <v>19.6</v>
      </c>
      <c r="AG1448" t="inlineStr">
        <is>
          <t>1:19.6</t>
        </is>
      </c>
      <c r="AH1448" t="inlineStr">
        <is>
          <t>18%</t>
        </is>
      </c>
      <c r="AI1448" t="inlineStr"/>
      <c r="AJ1448" t="n">
        <v>39.26</v>
      </c>
    </row>
    <row r="1449">
      <c r="A1449" t="inlineStr">
        <is>
          <t>TU Dortmund University</t>
        </is>
      </c>
      <c r="B1449" t="inlineStr">
        <is>
          <t>Germany</t>
        </is>
      </c>
      <c r="C1449" t="inlineStr">
        <is>
          <t>801-850</t>
        </is>
      </c>
      <c r="D1449" t="inlineStr"/>
      <c r="E1449" t="n">
        <v>14.1</v>
      </c>
      <c r="F1449" t="n">
        <v>16</v>
      </c>
      <c r="G1449" t="n">
        <v>28.1</v>
      </c>
      <c r="H1449" t="n">
        <v>6.2</v>
      </c>
      <c r="I1449" t="n">
        <v>22.4</v>
      </c>
      <c r="J1449" t="n">
        <v>17.1</v>
      </c>
      <c r="K1449" t="n">
        <v>61.1</v>
      </c>
      <c r="L1449" t="n">
        <v>6.8</v>
      </c>
      <c r="M1449" t="n">
        <v>3.7</v>
      </c>
      <c r="N1449" t="inlineStr">
        <is>
          <t>401–500</t>
        </is>
      </c>
      <c r="O1449" t="inlineStr">
        <is>
          <t>45.4–49.0</t>
        </is>
      </c>
      <c r="P1449" t="n">
        <v>35.7</v>
      </c>
      <c r="Q1449" t="n">
        <v>42.2</v>
      </c>
      <c r="R1449" t="n">
        <v>62.3</v>
      </c>
      <c r="S1449" t="n">
        <v>72</v>
      </c>
      <c r="T1449" t="n">
        <v>57.3</v>
      </c>
      <c r="U1449" t="inlineStr">
        <is>
          <t>19,477</t>
        </is>
      </c>
      <c r="V1449" t="n">
        <v>56</v>
      </c>
      <c r="W1449" t="inlineStr">
        <is>
          <t>15%</t>
        </is>
      </c>
      <c r="X1449" t="inlineStr">
        <is>
          <t>49 : 51</t>
        </is>
      </c>
      <c r="Y1449" t="n">
        <v>801</v>
      </c>
      <c r="Z1449" t="n">
        <v>401</v>
      </c>
      <c r="AA1449" t="n">
        <v>47.2</v>
      </c>
      <c r="AB1449" t="inlineStr">
        <is>
          <t>U1448</t>
        </is>
      </c>
      <c r="AC1449" t="inlineStr">
        <is>
          <t>GE</t>
        </is>
      </c>
      <c r="AD1449" t="n">
        <v>47.2</v>
      </c>
      <c r="AE1449" t="n">
        <v>6.2</v>
      </c>
      <c r="AF1449" t="n">
        <v>56</v>
      </c>
      <c r="AG1449" t="inlineStr">
        <is>
          <t>1:56.0</t>
        </is>
      </c>
      <c r="AH1449" t="inlineStr">
        <is>
          <t>15%</t>
        </is>
      </c>
      <c r="AI1449" t="n">
        <v>14.1</v>
      </c>
      <c r="AJ1449" t="n">
        <v>31.25</v>
      </c>
    </row>
    <row r="1450">
      <c r="A1450" t="inlineStr">
        <is>
          <t>TU Dresden</t>
        </is>
      </c>
      <c r="B1450" t="inlineStr">
        <is>
          <t>Germany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>
        <f>161</f>
        <v/>
      </c>
      <c r="O1450" t="inlineStr">
        <is>
          <t>61.4</t>
        </is>
      </c>
      <c r="P1450" t="n">
        <v>46.6</v>
      </c>
      <c r="Q1450" t="n">
        <v>51.1</v>
      </c>
      <c r="R1450" t="n">
        <v>79.3</v>
      </c>
      <c r="S1450" t="n">
        <v>99.7</v>
      </c>
      <c r="T1450" t="n">
        <v>67.90000000000001</v>
      </c>
      <c r="U1450" t="inlineStr">
        <is>
          <t>29,719</t>
        </is>
      </c>
      <c r="V1450" t="n">
        <v>29.4</v>
      </c>
      <c r="W1450" t="inlineStr">
        <is>
          <t>17%</t>
        </is>
      </c>
      <c r="X1450" t="inlineStr">
        <is>
          <t>45 : 55</t>
        </is>
      </c>
      <c r="Y1450" t="inlineStr"/>
      <c r="Z1450" t="n">
        <v>161</v>
      </c>
      <c r="AA1450" t="n">
        <v>61.4</v>
      </c>
      <c r="AB1450" t="inlineStr">
        <is>
          <t>U1449</t>
        </is>
      </c>
      <c r="AC1450" t="inlineStr">
        <is>
          <t>GE</t>
        </is>
      </c>
      <c r="AD1450" t="n">
        <v>61.4</v>
      </c>
      <c r="AE1450" t="n">
        <v>79.3</v>
      </c>
      <c r="AF1450" t="n">
        <v>29.4</v>
      </c>
      <c r="AG1450" t="inlineStr">
        <is>
          <t>1:29.4</t>
        </is>
      </c>
      <c r="AH1450" t="inlineStr">
        <is>
          <t>17%</t>
        </is>
      </c>
      <c r="AI1450" t="inlineStr"/>
      <c r="AJ1450" t="n">
        <v>60.63</v>
      </c>
    </row>
    <row r="1451">
      <c r="A1451" t="inlineStr">
        <is>
          <t>TU Wien</t>
        </is>
      </c>
      <c r="B1451" t="inlineStr">
        <is>
          <t>Austria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>
        <is>
          <t>251–300</t>
        </is>
      </c>
      <c r="O1451" t="inlineStr">
        <is>
          <t>53.1–55.8</t>
        </is>
      </c>
      <c r="P1451" t="n">
        <v>43.8</v>
      </c>
      <c r="Q1451" t="n">
        <v>44.1</v>
      </c>
      <c r="R1451" t="n">
        <v>57.6</v>
      </c>
      <c r="S1451" t="n">
        <v>96.2</v>
      </c>
      <c r="T1451" t="n">
        <v>86.7</v>
      </c>
      <c r="U1451" t="inlineStr">
        <is>
          <t>11,373</t>
        </is>
      </c>
      <c r="V1451" t="n">
        <v>19</v>
      </c>
      <c r="W1451" t="inlineStr">
        <is>
          <t>31%</t>
        </is>
      </c>
      <c r="X1451" t="inlineStr">
        <is>
          <t>32 : 68</t>
        </is>
      </c>
      <c r="Y1451" t="inlineStr"/>
      <c r="Z1451" t="n">
        <v>251</v>
      </c>
      <c r="AA1451" t="n">
        <v>54.45</v>
      </c>
      <c r="AB1451" t="inlineStr">
        <is>
          <t>U1450</t>
        </is>
      </c>
      <c r="AC1451" t="inlineStr">
        <is>
          <t>AU</t>
        </is>
      </c>
      <c r="AD1451" t="n">
        <v>54.45</v>
      </c>
      <c r="AE1451" t="n">
        <v>57.6</v>
      </c>
      <c r="AF1451" t="n">
        <v>19</v>
      </c>
      <c r="AG1451" t="inlineStr">
        <is>
          <t>1:19.0</t>
        </is>
      </c>
      <c r="AH1451" t="inlineStr">
        <is>
          <t>31%</t>
        </is>
      </c>
      <c r="AI1451" t="inlineStr"/>
      <c r="AJ1451" t="n">
        <v>54.93</v>
      </c>
    </row>
    <row r="1452">
      <c r="A1452" t="inlineStr">
        <is>
          <t>Tufts University</t>
        </is>
      </c>
      <c r="B1452" t="inlineStr">
        <is>
          <t>United States</t>
        </is>
      </c>
      <c r="C1452" t="inlineStr">
        <is>
          <t>344</t>
        </is>
      </c>
      <c r="D1452" t="n">
        <v>32.9</v>
      </c>
      <c r="E1452" t="n">
        <v>16.9</v>
      </c>
      <c r="F1452" t="n">
        <v>7.7</v>
      </c>
      <c r="G1452" t="n">
        <v>53.5</v>
      </c>
      <c r="H1452" t="n">
        <v>45.7</v>
      </c>
      <c r="I1452" t="n">
        <v>23.5</v>
      </c>
      <c r="J1452" t="n">
        <v>38.1</v>
      </c>
      <c r="K1452" t="n">
        <v>60.2</v>
      </c>
      <c r="L1452" t="n">
        <v>56.1</v>
      </c>
      <c r="M1452" t="n">
        <v>81</v>
      </c>
      <c r="N1452">
        <f>191</f>
        <v/>
      </c>
      <c r="O1452" t="inlineStr">
        <is>
          <t>59.2</t>
        </is>
      </c>
      <c r="P1452" t="n">
        <v>51.5</v>
      </c>
      <c r="Q1452" t="n">
        <v>35</v>
      </c>
      <c r="R1452" t="n">
        <v>87.5</v>
      </c>
      <c r="S1452" t="n">
        <v>71.7</v>
      </c>
      <c r="T1452" t="n">
        <v>62.8</v>
      </c>
      <c r="U1452" t="inlineStr">
        <is>
          <t>11,611</t>
        </is>
      </c>
      <c r="V1452" t="n">
        <v>10.5</v>
      </c>
      <c r="W1452" t="inlineStr">
        <is>
          <t>16%</t>
        </is>
      </c>
      <c r="X1452" t="inlineStr">
        <is>
          <t>57 : 43</t>
        </is>
      </c>
      <c r="Y1452" t="n">
        <v>344</v>
      </c>
      <c r="Z1452" t="n">
        <v>191</v>
      </c>
      <c r="AA1452" t="n">
        <v>59.2</v>
      </c>
      <c r="AB1452" t="inlineStr">
        <is>
          <t>U1451</t>
        </is>
      </c>
      <c r="AC1452" t="inlineStr">
        <is>
          <t>UN</t>
        </is>
      </c>
      <c r="AD1452" t="n">
        <v>32.9</v>
      </c>
      <c r="AE1452" t="n">
        <v>45.7</v>
      </c>
      <c r="AF1452" t="n">
        <v>10.5</v>
      </c>
      <c r="AG1452" t="inlineStr">
        <is>
          <t>1:10.5</t>
        </is>
      </c>
      <c r="AH1452" t="inlineStr">
        <is>
          <t>16%</t>
        </is>
      </c>
      <c r="AI1452" t="n">
        <v>16.9</v>
      </c>
      <c r="AJ1452" t="n">
        <v>40.77</v>
      </c>
    </row>
    <row r="1453">
      <c r="A1453" t="inlineStr">
        <is>
          <t>Tula State University</t>
        </is>
      </c>
      <c r="B1453" t="inlineStr">
        <is>
          <t>Russian Federation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>
        <is>
          <t>1501+</t>
        </is>
      </c>
      <c r="O1453" t="inlineStr">
        <is>
          <t>9.7–22.7</t>
        </is>
      </c>
      <c r="P1453" t="n">
        <v>11.6</v>
      </c>
      <c r="Q1453" t="n">
        <v>9</v>
      </c>
      <c r="R1453" t="n">
        <v>5.1</v>
      </c>
      <c r="S1453" t="n">
        <v>17.6</v>
      </c>
      <c r="T1453" t="n">
        <v>19</v>
      </c>
      <c r="U1453" t="inlineStr">
        <is>
          <t>18,428</t>
        </is>
      </c>
      <c r="V1453" t="n">
        <v>35</v>
      </c>
      <c r="W1453" t="inlineStr">
        <is>
          <t>3%</t>
        </is>
      </c>
      <c r="X1453" t="inlineStr">
        <is>
          <t>60 : 40</t>
        </is>
      </c>
      <c r="Y1453" t="inlineStr"/>
      <c r="Z1453" t="n">
        <v>1501</v>
      </c>
      <c r="AA1453" t="n">
        <v>16.2</v>
      </c>
      <c r="AB1453" t="inlineStr">
        <is>
          <t>U1452</t>
        </is>
      </c>
      <c r="AC1453" t="inlineStr">
        <is>
          <t>RU</t>
        </is>
      </c>
      <c r="AD1453" t="n">
        <v>16.2</v>
      </c>
      <c r="AE1453" t="n">
        <v>5.1</v>
      </c>
      <c r="AF1453" t="n">
        <v>35</v>
      </c>
      <c r="AG1453" t="inlineStr">
        <is>
          <t>1:35.0</t>
        </is>
      </c>
      <c r="AH1453" t="inlineStr">
        <is>
          <t>3%</t>
        </is>
      </c>
      <c r="AI1453" t="inlineStr"/>
      <c r="AJ1453" t="n">
        <v>4.25</v>
      </c>
    </row>
    <row r="1454">
      <c r="A1454" t="inlineStr">
        <is>
          <t>Tulane University</t>
        </is>
      </c>
      <c r="B1454" t="inlineStr">
        <is>
          <t>United States</t>
        </is>
      </c>
      <c r="C1454" t="inlineStr">
        <is>
          <t>631-640</t>
        </is>
      </c>
      <c r="D1454" t="inlineStr"/>
      <c r="E1454" t="n">
        <v>9.800000000000001</v>
      </c>
      <c r="F1454" t="n">
        <v>6</v>
      </c>
      <c r="G1454" t="n">
        <v>84.7</v>
      </c>
      <c r="H1454" t="n">
        <v>9.699999999999999</v>
      </c>
      <c r="I1454" t="n">
        <v>9.9</v>
      </c>
      <c r="J1454" t="n">
        <v>10.8</v>
      </c>
      <c r="K1454" t="n">
        <v>75.40000000000001</v>
      </c>
      <c r="L1454" t="n">
        <v>26</v>
      </c>
      <c r="M1454" t="n">
        <v>8</v>
      </c>
      <c r="N1454" t="inlineStr">
        <is>
          <t>401–500</t>
        </is>
      </c>
      <c r="O1454" t="inlineStr">
        <is>
          <t>45.4–49.0</t>
        </is>
      </c>
      <c r="P1454" t="n">
        <v>42.9</v>
      </c>
      <c r="Q1454" t="n">
        <v>24.4</v>
      </c>
      <c r="R1454" t="n">
        <v>73.09999999999999</v>
      </c>
      <c r="S1454" t="n">
        <v>67.8</v>
      </c>
      <c r="T1454" t="n">
        <v>50.7</v>
      </c>
      <c r="U1454" t="inlineStr">
        <is>
          <t>12,217</t>
        </is>
      </c>
      <c r="V1454" t="n">
        <v>7.7</v>
      </c>
      <c r="W1454" t="inlineStr">
        <is>
          <t>9%</t>
        </is>
      </c>
      <c r="X1454" t="inlineStr">
        <is>
          <t>60 : 40</t>
        </is>
      </c>
      <c r="Y1454" t="n">
        <v>631</v>
      </c>
      <c r="Z1454" t="n">
        <v>401</v>
      </c>
      <c r="AA1454" t="n">
        <v>47.2</v>
      </c>
      <c r="AB1454" t="inlineStr">
        <is>
          <t>U1453</t>
        </is>
      </c>
      <c r="AC1454" t="inlineStr">
        <is>
          <t>UN</t>
        </is>
      </c>
      <c r="AD1454" t="n">
        <v>47.2</v>
      </c>
      <c r="AE1454" t="n">
        <v>9.699999999999999</v>
      </c>
      <c r="AF1454" t="n">
        <v>7.7</v>
      </c>
      <c r="AG1454" t="inlineStr">
        <is>
          <t>1:7.7</t>
        </is>
      </c>
      <c r="AH1454" t="inlineStr">
        <is>
          <t>9%</t>
        </is>
      </c>
      <c r="AI1454" t="n">
        <v>9.800000000000001</v>
      </c>
      <c r="AJ1454" t="n">
        <v>21.38</v>
      </c>
    </row>
    <row r="1455">
      <c r="A1455" t="inlineStr">
        <is>
          <t>Tunghai University</t>
        </is>
      </c>
      <c r="B1455" t="inlineStr">
        <is>
          <t>Taiwan</t>
        </is>
      </c>
      <c r="C1455" t="inlineStr">
        <is>
          <t>1201-1400</t>
        </is>
      </c>
      <c r="D1455" t="inlineStr"/>
      <c r="E1455" t="n">
        <v>6.5</v>
      </c>
      <c r="F1455" t="n">
        <v>5.4</v>
      </c>
      <c r="G1455" t="n">
        <v>4.6</v>
      </c>
      <c r="H1455" t="n">
        <v>5.4</v>
      </c>
      <c r="I1455" t="n">
        <v>8.4</v>
      </c>
      <c r="J1455" t="n">
        <v>8.800000000000001</v>
      </c>
      <c r="K1455" t="n">
        <v>24.4</v>
      </c>
      <c r="L1455" t="n">
        <v>13.8</v>
      </c>
      <c r="M1455" t="n">
        <v>7.9</v>
      </c>
      <c r="N1455" t="inlineStr">
        <is>
          <t>1201–1500</t>
        </is>
      </c>
      <c r="O1455" t="inlineStr">
        <is>
          <t>22.8–28.2</t>
        </is>
      </c>
      <c r="P1455" t="n">
        <v>16.5</v>
      </c>
      <c r="Q1455" t="n">
        <v>14.4</v>
      </c>
      <c r="R1455" t="n">
        <v>37.8</v>
      </c>
      <c r="S1455" t="n">
        <v>49.4</v>
      </c>
      <c r="T1455" t="n">
        <v>46.6</v>
      </c>
      <c r="U1455" t="inlineStr">
        <is>
          <t>15,201</t>
        </is>
      </c>
      <c r="V1455" t="n">
        <v>20.4</v>
      </c>
      <c r="W1455" t="inlineStr">
        <is>
          <t>10%</t>
        </is>
      </c>
      <c r="X1455" t="inlineStr">
        <is>
          <t>55 : 45</t>
        </is>
      </c>
      <c r="Y1455" t="n">
        <v>1201</v>
      </c>
      <c r="Z1455" t="n">
        <v>1201</v>
      </c>
      <c r="AA1455" t="n">
        <v>25.5</v>
      </c>
      <c r="AB1455" t="inlineStr">
        <is>
          <t>U1454</t>
        </is>
      </c>
      <c r="AC1455" t="inlineStr">
        <is>
          <t>TA</t>
        </is>
      </c>
      <c r="AD1455" t="n">
        <v>25.5</v>
      </c>
      <c r="AE1455" t="n">
        <v>5.4</v>
      </c>
      <c r="AF1455" t="n">
        <v>20.4</v>
      </c>
      <c r="AG1455" t="inlineStr">
        <is>
          <t>1:20.4</t>
        </is>
      </c>
      <c r="AH1455" t="inlineStr">
        <is>
          <t>10%</t>
        </is>
      </c>
      <c r="AI1455" t="n">
        <v>6.5</v>
      </c>
      <c r="AJ1455" t="n">
        <v>13.85</v>
      </c>
    </row>
    <row r="1456">
      <c r="A1456" t="inlineStr">
        <is>
          <t>Tzu Chi University</t>
        </is>
      </c>
      <c r="B1456" t="inlineStr">
        <is>
          <t>Taiwan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>
        <is>
          <t>1201–1500</t>
        </is>
      </c>
      <c r="O1456" t="inlineStr">
        <is>
          <t>22.8–28.2</t>
        </is>
      </c>
      <c r="P1456" t="n">
        <v>25.3</v>
      </c>
      <c r="Q1456" t="n">
        <v>26</v>
      </c>
      <c r="R1456" t="n">
        <v>18.3</v>
      </c>
      <c r="S1456" t="n">
        <v>65.59999999999999</v>
      </c>
      <c r="T1456" t="n">
        <v>27.1</v>
      </c>
      <c r="U1456" t="inlineStr">
        <is>
          <t>3,050</t>
        </is>
      </c>
      <c r="V1456" t="n">
        <v>8.9</v>
      </c>
      <c r="W1456" t="inlineStr">
        <is>
          <t>8%</t>
        </is>
      </c>
      <c r="X1456" t="inlineStr">
        <is>
          <t>60 : 40</t>
        </is>
      </c>
      <c r="Y1456" t="inlineStr"/>
      <c r="Z1456" t="n">
        <v>1201</v>
      </c>
      <c r="AA1456" t="n">
        <v>25.5</v>
      </c>
      <c r="AB1456" t="inlineStr">
        <is>
          <t>U1455</t>
        </is>
      </c>
      <c r="AC1456" t="inlineStr">
        <is>
          <t>TA</t>
        </is>
      </c>
      <c r="AD1456" t="n">
        <v>25.5</v>
      </c>
      <c r="AE1456" t="n">
        <v>18.3</v>
      </c>
      <c r="AF1456" t="n">
        <v>8.9</v>
      </c>
      <c r="AG1456" t="inlineStr">
        <is>
          <t>1:8.9</t>
        </is>
      </c>
      <c r="AH1456" t="inlineStr">
        <is>
          <t>8%</t>
        </is>
      </c>
      <c r="AI1456" t="inlineStr"/>
      <c r="AJ1456" t="n">
        <v>19.12</v>
      </c>
    </row>
    <row r="1457">
      <c r="A1457" t="inlineStr">
        <is>
          <t>Uşak University</t>
        </is>
      </c>
      <c r="B1457" t="inlineStr">
        <is>
          <t>Turkey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>
        <is>
          <t>1501+</t>
        </is>
      </c>
      <c r="O1457" t="inlineStr">
        <is>
          <t>9.7–22.7</t>
        </is>
      </c>
      <c r="P1457" t="n">
        <v>11.4</v>
      </c>
      <c r="Q1457" t="n">
        <v>10.4</v>
      </c>
      <c r="R1457" t="n">
        <v>14.3</v>
      </c>
      <c r="S1457" t="n">
        <v>19</v>
      </c>
      <c r="T1457" t="n">
        <v>32.1</v>
      </c>
      <c r="U1457" t="inlineStr">
        <is>
          <t>19,043</t>
        </is>
      </c>
      <c r="V1457" t="n">
        <v>27.4</v>
      </c>
      <c r="W1457" t="inlineStr">
        <is>
          <t>11%</t>
        </is>
      </c>
      <c r="X1457" t="inlineStr">
        <is>
          <t>49 : 51</t>
        </is>
      </c>
      <c r="Y1457" t="inlineStr"/>
      <c r="Z1457" t="n">
        <v>1501</v>
      </c>
      <c r="AA1457" t="n">
        <v>16.2</v>
      </c>
      <c r="AB1457" t="inlineStr">
        <is>
          <t>U1456</t>
        </is>
      </c>
      <c r="AC1457" t="inlineStr">
        <is>
          <t>TU</t>
        </is>
      </c>
      <c r="AD1457" t="n">
        <v>16.2</v>
      </c>
      <c r="AE1457" t="n">
        <v>14.3</v>
      </c>
      <c r="AF1457" t="n">
        <v>27.4</v>
      </c>
      <c r="AG1457" t="inlineStr">
        <is>
          <t>1:27.4</t>
        </is>
      </c>
      <c r="AH1457" t="inlineStr">
        <is>
          <t>11%</t>
        </is>
      </c>
      <c r="AI1457" t="inlineStr"/>
      <c r="AJ1457" t="n">
        <v>10.94</v>
      </c>
    </row>
    <row r="1458">
      <c r="A1458" t="inlineStr">
        <is>
          <t>UCL</t>
        </is>
      </c>
      <c r="B1458" t="inlineStr">
        <is>
          <t>United Kingdom</t>
        </is>
      </c>
      <c r="C1458" t="inlineStr">
        <is>
          <t>9</t>
        </is>
      </c>
      <c r="D1458" t="n">
        <v>91.59999999999999</v>
      </c>
      <c r="E1458" t="n">
        <v>99.5</v>
      </c>
      <c r="F1458" t="n">
        <v>98.3</v>
      </c>
      <c r="G1458" t="n">
        <v>95.90000000000001</v>
      </c>
      <c r="H1458" t="n">
        <v>72.2</v>
      </c>
      <c r="I1458" t="n">
        <v>99</v>
      </c>
      <c r="J1458" t="n">
        <v>100</v>
      </c>
      <c r="K1458" t="n">
        <v>99.90000000000001</v>
      </c>
      <c r="L1458" t="n">
        <v>70.3</v>
      </c>
      <c r="M1458" t="n">
        <v>74.8</v>
      </c>
      <c r="N1458" t="inlineStr">
        <is>
          <t>22</t>
        </is>
      </c>
      <c r="O1458" t="inlineStr">
        <is>
          <t>88.1</t>
        </is>
      </c>
      <c r="P1458" t="n">
        <v>78.40000000000001</v>
      </c>
      <c r="Q1458" t="n">
        <v>86.40000000000001</v>
      </c>
      <c r="R1458" t="n">
        <v>98.59999999999999</v>
      </c>
      <c r="S1458" t="n">
        <v>75.2</v>
      </c>
      <c r="T1458" t="n">
        <v>97.90000000000001</v>
      </c>
      <c r="U1458" t="inlineStr">
        <is>
          <t>41,110</t>
        </is>
      </c>
      <c r="V1458" t="n">
        <v>11.3</v>
      </c>
      <c r="W1458" t="inlineStr">
        <is>
          <t>61%</t>
        </is>
      </c>
      <c r="X1458" t="inlineStr">
        <is>
          <t>59 : 41</t>
        </is>
      </c>
      <c r="Y1458" t="n">
        <v>9</v>
      </c>
      <c r="Z1458" t="n">
        <v>22</v>
      </c>
      <c r="AA1458" t="n">
        <v>88.09999999999999</v>
      </c>
      <c r="AB1458" t="inlineStr">
        <is>
          <t>U1457</t>
        </is>
      </c>
      <c r="AC1458" t="inlineStr">
        <is>
          <t>UN</t>
        </is>
      </c>
      <c r="AD1458" t="n">
        <v>91.59999999999999</v>
      </c>
      <c r="AE1458" t="n">
        <v>72.2</v>
      </c>
      <c r="AF1458" t="n">
        <v>11.3</v>
      </c>
      <c r="AG1458" t="inlineStr">
        <is>
          <t>1:11.3</t>
        </is>
      </c>
      <c r="AH1458" t="inlineStr">
        <is>
          <t>61%</t>
        </is>
      </c>
      <c r="AI1458" t="n">
        <v>99.5</v>
      </c>
      <c r="AJ1458" t="n">
        <v>84.23</v>
      </c>
    </row>
    <row r="1459">
      <c r="A1459" t="inlineStr">
        <is>
          <t>UCSI University</t>
        </is>
      </c>
      <c r="B1459" t="inlineStr">
        <is>
          <t>Malaysia</t>
        </is>
      </c>
      <c r="C1459" t="inlineStr">
        <is>
          <t>265</t>
        </is>
      </c>
      <c r="D1459" t="n">
        <v>38.8</v>
      </c>
      <c r="E1459" t="n">
        <v>27</v>
      </c>
      <c r="F1459" t="n">
        <v>65.09999999999999</v>
      </c>
      <c r="G1459" t="n">
        <v>78.09999999999999</v>
      </c>
      <c r="H1459" t="n">
        <v>3.6</v>
      </c>
      <c r="I1459" t="n">
        <v>89.09999999999999</v>
      </c>
      <c r="J1459" t="n">
        <v>95.8</v>
      </c>
      <c r="K1459" t="n">
        <v>37.6</v>
      </c>
      <c r="L1459" t="n">
        <v>10.2</v>
      </c>
      <c r="M1459" t="n">
        <v>27.9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n">
        <v>265</v>
      </c>
      <c r="Z1459" t="inlineStr"/>
      <c r="AA1459" t="inlineStr"/>
      <c r="AB1459" t="inlineStr">
        <is>
          <t>U1458</t>
        </is>
      </c>
      <c r="AC1459" t="inlineStr">
        <is>
          <t>MA</t>
        </is>
      </c>
      <c r="AD1459" t="n">
        <v>38.8</v>
      </c>
      <c r="AE1459" t="n">
        <v>3.6</v>
      </c>
      <c r="AF1459" t="inlineStr"/>
      <c r="AG1459" t="inlineStr"/>
      <c r="AH1459" t="inlineStr"/>
      <c r="AI1459" t="n">
        <v>27</v>
      </c>
      <c r="AJ1459" t="n">
        <v>14.48</v>
      </c>
    </row>
    <row r="1460">
      <c r="A1460" t="inlineStr">
        <is>
          <t>Udayana University</t>
        </is>
      </c>
      <c r="B1460" t="inlineStr">
        <is>
          <t>Indonesia</t>
        </is>
      </c>
      <c r="C1460" t="inlineStr">
        <is>
          <t>1401+</t>
        </is>
      </c>
      <c r="D1460" t="inlineStr"/>
      <c r="E1460" t="n">
        <v>6.4</v>
      </c>
      <c r="F1460" t="n">
        <v>4.7</v>
      </c>
      <c r="G1460" t="n">
        <v>5.7</v>
      </c>
      <c r="H1460" t="n">
        <v>1.4</v>
      </c>
      <c r="I1460" t="n">
        <v>7.4</v>
      </c>
      <c r="J1460" t="n">
        <v>3.4</v>
      </c>
      <c r="K1460" t="n">
        <v>12.3</v>
      </c>
      <c r="L1460" t="n">
        <v>3.7</v>
      </c>
      <c r="M1460" t="n">
        <v>1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n">
        <v>1401</v>
      </c>
      <c r="Z1460" t="inlineStr"/>
      <c r="AA1460" t="inlineStr"/>
      <c r="AB1460" t="inlineStr">
        <is>
          <t>U1459</t>
        </is>
      </c>
      <c r="AC1460" t="inlineStr">
        <is>
          <t>IN</t>
        </is>
      </c>
      <c r="AD1460" t="inlineStr"/>
      <c r="AE1460" t="n">
        <v>1.4</v>
      </c>
      <c r="AF1460" t="inlineStr"/>
      <c r="AG1460" t="inlineStr"/>
      <c r="AH1460" t="inlineStr"/>
      <c r="AI1460" t="n">
        <v>6.4</v>
      </c>
      <c r="AJ1460" t="n">
        <v>13.81</v>
      </c>
    </row>
    <row r="1461">
      <c r="A1461" t="inlineStr">
        <is>
          <t>Ufa State Petroleum Technological University</t>
        </is>
      </c>
      <c r="B1461" t="inlineStr">
        <is>
          <t>Russian Federation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>
        <is>
          <t>1501+</t>
        </is>
      </c>
      <c r="O1461" t="inlineStr">
        <is>
          <t>9.7–22.7</t>
        </is>
      </c>
      <c r="P1461" t="n">
        <v>23</v>
      </c>
      <c r="Q1461" t="n">
        <v>8</v>
      </c>
      <c r="R1461" t="n">
        <v>17.1</v>
      </c>
      <c r="S1461" t="n">
        <v>16.7</v>
      </c>
      <c r="T1461" t="n">
        <v>29.7</v>
      </c>
      <c r="U1461" t="inlineStr">
        <is>
          <t>12,971</t>
        </is>
      </c>
      <c r="V1461" t="n">
        <v>8.199999999999999</v>
      </c>
      <c r="W1461" t="inlineStr">
        <is>
          <t>11%</t>
        </is>
      </c>
      <c r="X1461" t="inlineStr">
        <is>
          <t>38 : 62</t>
        </is>
      </c>
      <c r="Y1461" t="inlineStr"/>
      <c r="Z1461" t="n">
        <v>1501</v>
      </c>
      <c r="AA1461" t="n">
        <v>16.2</v>
      </c>
      <c r="AB1461" t="inlineStr">
        <is>
          <t>U1460</t>
        </is>
      </c>
      <c r="AC1461" t="inlineStr">
        <is>
          <t>RU</t>
        </is>
      </c>
      <c r="AD1461" t="n">
        <v>16.2</v>
      </c>
      <c r="AE1461" t="n">
        <v>17.1</v>
      </c>
      <c r="AF1461" t="n">
        <v>8.199999999999999</v>
      </c>
      <c r="AG1461" t="inlineStr">
        <is>
          <t>1:8.2</t>
        </is>
      </c>
      <c r="AH1461" t="inlineStr">
        <is>
          <t>11%</t>
        </is>
      </c>
      <c r="AI1461" t="inlineStr"/>
      <c r="AJ1461" t="n">
        <v>9.949999999999999</v>
      </c>
    </row>
    <row r="1462">
      <c r="A1462" t="inlineStr">
        <is>
          <t>Ufa University of Science and Technology</t>
        </is>
      </c>
      <c r="B1462" t="inlineStr">
        <is>
          <t>Russian Federation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>
        <is>
          <t>1501+</t>
        </is>
      </c>
      <c r="O1462" t="inlineStr">
        <is>
          <t>9.7–22.7</t>
        </is>
      </c>
      <c r="P1462" t="n">
        <v>19.3</v>
      </c>
      <c r="Q1462" t="n">
        <v>10.2</v>
      </c>
      <c r="R1462" t="n">
        <v>8.1</v>
      </c>
      <c r="S1462" t="n">
        <v>25.6</v>
      </c>
      <c r="T1462" t="n">
        <v>22.7</v>
      </c>
      <c r="U1462" t="inlineStr">
        <is>
          <t>24,187</t>
        </is>
      </c>
      <c r="V1462" t="n">
        <v>12.6</v>
      </c>
      <c r="W1462" t="inlineStr">
        <is>
          <t>5%</t>
        </is>
      </c>
      <c r="X1462" t="inlineStr">
        <is>
          <t>37 : 63</t>
        </is>
      </c>
      <c r="Y1462" t="inlineStr"/>
      <c r="Z1462" t="n">
        <v>1501</v>
      </c>
      <c r="AA1462" t="n">
        <v>16.2</v>
      </c>
      <c r="AB1462" t="inlineStr">
        <is>
          <t>U1461</t>
        </is>
      </c>
      <c r="AC1462" t="inlineStr">
        <is>
          <t>RU</t>
        </is>
      </c>
      <c r="AD1462" t="n">
        <v>16.2</v>
      </c>
      <c r="AE1462" t="n">
        <v>8.1</v>
      </c>
      <c r="AF1462" t="n">
        <v>12.6</v>
      </c>
      <c r="AG1462" t="inlineStr">
        <is>
          <t>1:12.6</t>
        </is>
      </c>
      <c r="AH1462" t="inlineStr">
        <is>
          <t>5%</t>
        </is>
      </c>
      <c r="AI1462" t="inlineStr"/>
      <c r="AJ1462" t="n">
        <v>6.68</v>
      </c>
    </row>
    <row r="1463">
      <c r="A1463" t="inlineStr">
        <is>
          <t>UiT The Arctic University of Norway</t>
        </is>
      </c>
      <c r="B1463" t="inlineStr">
        <is>
          <t>Norway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>
        <is>
          <t>501–600</t>
        </is>
      </c>
      <c r="O1463" t="inlineStr">
        <is>
          <t>41.9–45.3</t>
        </is>
      </c>
      <c r="P1463" t="n">
        <v>27.7</v>
      </c>
      <c r="Q1463" t="n">
        <v>22.1</v>
      </c>
      <c r="R1463" t="n">
        <v>68.8</v>
      </c>
      <c r="S1463" t="n">
        <v>54</v>
      </c>
      <c r="T1463" t="n">
        <v>65.59999999999999</v>
      </c>
      <c r="U1463" t="inlineStr">
        <is>
          <t>15,114</t>
        </is>
      </c>
      <c r="V1463" t="n">
        <v>10.6</v>
      </c>
      <c r="W1463" t="inlineStr">
        <is>
          <t>8%</t>
        </is>
      </c>
      <c r="X1463" t="inlineStr">
        <is>
          <t>57 : 43</t>
        </is>
      </c>
      <c r="Y1463" t="inlineStr"/>
      <c r="Z1463" t="n">
        <v>501</v>
      </c>
      <c r="AA1463" t="n">
        <v>43.59999999999999</v>
      </c>
      <c r="AB1463" t="inlineStr">
        <is>
          <t>U1462</t>
        </is>
      </c>
      <c r="AC1463" t="inlineStr">
        <is>
          <t>NO</t>
        </is>
      </c>
      <c r="AD1463" t="n">
        <v>43.59999999999999</v>
      </c>
      <c r="AE1463" t="n">
        <v>68.8</v>
      </c>
      <c r="AF1463" t="n">
        <v>10.6</v>
      </c>
      <c r="AG1463" t="inlineStr">
        <is>
          <t>1:10.6</t>
        </is>
      </c>
      <c r="AH1463" t="inlineStr">
        <is>
          <t>8%</t>
        </is>
      </c>
      <c r="AI1463" t="inlineStr"/>
      <c r="AJ1463" t="n">
        <v>41.69</v>
      </c>
    </row>
    <row r="1464">
      <c r="A1464" t="inlineStr">
        <is>
          <t>Ulm University</t>
        </is>
      </c>
      <c r="B1464" t="inlineStr">
        <is>
          <t>Germany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>
        <f>193</f>
        <v/>
      </c>
      <c r="O1464" t="inlineStr">
        <is>
          <t>59.0</t>
        </is>
      </c>
      <c r="P1464" t="n">
        <v>40.6</v>
      </c>
      <c r="Q1464" t="n">
        <v>41.2</v>
      </c>
      <c r="R1464" t="n">
        <v>87.90000000000001</v>
      </c>
      <c r="S1464" t="n">
        <v>99.59999999999999</v>
      </c>
      <c r="T1464" t="n">
        <v>63</v>
      </c>
      <c r="U1464" t="inlineStr">
        <is>
          <t>10,301</t>
        </is>
      </c>
      <c r="V1464" t="n">
        <v>26.4</v>
      </c>
      <c r="W1464" t="inlineStr">
        <is>
          <t>13%</t>
        </is>
      </c>
      <c r="X1464" t="inlineStr">
        <is>
          <t>51 : 49</t>
        </is>
      </c>
      <c r="Y1464" t="inlineStr"/>
      <c r="Z1464" t="n">
        <v>193</v>
      </c>
      <c r="AA1464" t="n">
        <v>59</v>
      </c>
      <c r="AB1464" t="inlineStr">
        <is>
          <t>U1463</t>
        </is>
      </c>
      <c r="AC1464" t="inlineStr">
        <is>
          <t>GE</t>
        </is>
      </c>
      <c r="AD1464" t="n">
        <v>59</v>
      </c>
      <c r="AE1464" t="n">
        <v>87.90000000000001</v>
      </c>
      <c r="AF1464" t="n">
        <v>26.4</v>
      </c>
      <c r="AG1464" t="inlineStr">
        <is>
          <t>1:26.4</t>
        </is>
      </c>
      <c r="AH1464" t="inlineStr">
        <is>
          <t>13%</t>
        </is>
      </c>
      <c r="AI1464" t="inlineStr"/>
      <c r="AJ1464" t="n">
        <v>56.86</v>
      </c>
    </row>
    <row r="1465">
      <c r="A1465" t="inlineStr">
        <is>
          <t>Ulsan National Institute of Science and Technology (UNIST)</t>
        </is>
      </c>
      <c r="B1465" t="inlineStr">
        <is>
          <t>South Korea</t>
        </is>
      </c>
      <c r="C1465" t="inlineStr">
        <is>
          <t>280</t>
        </is>
      </c>
      <c r="D1465" t="n">
        <v>38</v>
      </c>
      <c r="E1465" t="n">
        <v>13.6</v>
      </c>
      <c r="F1465" t="n">
        <v>13.5</v>
      </c>
      <c r="G1465" t="n">
        <v>87.90000000000001</v>
      </c>
      <c r="H1465" t="n">
        <v>98.09999999999999</v>
      </c>
      <c r="I1465" t="n">
        <v>29.3</v>
      </c>
      <c r="J1465" t="n">
        <v>9.6</v>
      </c>
      <c r="K1465" t="n">
        <v>24.8</v>
      </c>
      <c r="L1465" t="n">
        <v>3.3</v>
      </c>
      <c r="M1465" t="n">
        <v>16.1</v>
      </c>
      <c r="N1465">
        <f>199</f>
        <v/>
      </c>
      <c r="O1465" t="inlineStr">
        <is>
          <t>58.7</t>
        </is>
      </c>
      <c r="P1465" t="n">
        <v>47.7</v>
      </c>
      <c r="Q1465" t="n">
        <v>40.8</v>
      </c>
      <c r="R1465" t="n">
        <v>85</v>
      </c>
      <c r="S1465" t="n">
        <v>94.59999999999999</v>
      </c>
      <c r="T1465" t="n">
        <v>46.5</v>
      </c>
      <c r="U1465" t="inlineStr">
        <is>
          <t>3,799</t>
        </is>
      </c>
      <c r="V1465" t="n">
        <v>11.8</v>
      </c>
      <c r="W1465" t="inlineStr">
        <is>
          <t>9%</t>
        </is>
      </c>
      <c r="X1465" t="inlineStr">
        <is>
          <t>28 : 72</t>
        </is>
      </c>
      <c r="Y1465" t="n">
        <v>280</v>
      </c>
      <c r="Z1465" t="n">
        <v>199</v>
      </c>
      <c r="AA1465" t="n">
        <v>58.7</v>
      </c>
      <c r="AB1465" t="inlineStr">
        <is>
          <t>U1464</t>
        </is>
      </c>
      <c r="AC1465" t="inlineStr">
        <is>
          <t>SO</t>
        </is>
      </c>
      <c r="AD1465" t="n">
        <v>38</v>
      </c>
      <c r="AE1465" t="n">
        <v>98.09999999999999</v>
      </c>
      <c r="AF1465" t="n">
        <v>11.8</v>
      </c>
      <c r="AG1465" t="inlineStr">
        <is>
          <t>1:11.8</t>
        </is>
      </c>
      <c r="AH1465" t="inlineStr">
        <is>
          <t>9%</t>
        </is>
      </c>
      <c r="AI1465" t="n">
        <v>13.6</v>
      </c>
      <c r="AJ1465" t="n">
        <v>55.75</v>
      </c>
    </row>
    <row r="1466">
      <c r="A1466" t="inlineStr">
        <is>
          <t>Ulster University</t>
        </is>
      </c>
      <c r="B1466" t="inlineStr">
        <is>
          <t>United Kingdom</t>
        </is>
      </c>
      <c r="C1466" t="inlineStr">
        <is>
          <t>559</t>
        </is>
      </c>
      <c r="D1466" t="n">
        <v>22.3</v>
      </c>
      <c r="E1466" t="n">
        <v>8.1</v>
      </c>
      <c r="F1466" t="n">
        <v>11.3</v>
      </c>
      <c r="G1466" t="n">
        <v>9.6</v>
      </c>
      <c r="H1466" t="n">
        <v>11.5</v>
      </c>
      <c r="I1466" t="n">
        <v>99.8</v>
      </c>
      <c r="J1466" t="n">
        <v>77.59999999999999</v>
      </c>
      <c r="K1466" t="n">
        <v>73.40000000000001</v>
      </c>
      <c r="L1466" t="n">
        <v>6.8</v>
      </c>
      <c r="M1466" t="n">
        <v>62.2</v>
      </c>
      <c r="N1466" t="inlineStr">
        <is>
          <t>601–800</t>
        </is>
      </c>
      <c r="O1466" t="inlineStr">
        <is>
          <t>37.0–41.8</t>
        </is>
      </c>
      <c r="P1466" t="n">
        <v>21.3</v>
      </c>
      <c r="Q1466" t="n">
        <v>22.4</v>
      </c>
      <c r="R1466" t="n">
        <v>62</v>
      </c>
      <c r="S1466" t="n">
        <v>50.1</v>
      </c>
      <c r="T1466" t="n">
        <v>82.40000000000001</v>
      </c>
      <c r="U1466" t="inlineStr">
        <is>
          <t>19,825</t>
        </is>
      </c>
      <c r="V1466" t="n">
        <v>20.1</v>
      </c>
      <c r="W1466" t="inlineStr">
        <is>
          <t>10%</t>
        </is>
      </c>
      <c r="X1466" t="inlineStr">
        <is>
          <t>56 : 44</t>
        </is>
      </c>
      <c r="Y1466" t="n">
        <v>559</v>
      </c>
      <c r="Z1466" t="n">
        <v>601</v>
      </c>
      <c r="AA1466" t="n">
        <v>39.4</v>
      </c>
      <c r="AB1466" t="inlineStr">
        <is>
          <t>U1465</t>
        </is>
      </c>
      <c r="AC1466" t="inlineStr">
        <is>
          <t>UN</t>
        </is>
      </c>
      <c r="AD1466" t="n">
        <v>22.3</v>
      </c>
      <c r="AE1466" t="n">
        <v>11.5</v>
      </c>
      <c r="AF1466" t="n">
        <v>20.1</v>
      </c>
      <c r="AG1466" t="inlineStr">
        <is>
          <t>1:20.1</t>
        </is>
      </c>
      <c r="AH1466" t="inlineStr">
        <is>
          <t>10%</t>
        </is>
      </c>
      <c r="AI1466" t="n">
        <v>8.1</v>
      </c>
      <c r="AJ1466" t="n">
        <v>28.54</v>
      </c>
    </row>
    <row r="1467">
      <c r="A1467" t="inlineStr">
        <is>
          <t>Umeå University</t>
        </is>
      </c>
      <c r="B1467" t="inlineStr">
        <is>
          <t>Sweden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>
        <is>
          <t>401–500</t>
        </is>
      </c>
      <c r="O1467" t="inlineStr">
        <is>
          <t>45.4–49.0</t>
        </is>
      </c>
      <c r="P1467" t="n">
        <v>26</v>
      </c>
      <c r="Q1467" t="n">
        <v>33.5</v>
      </c>
      <c r="R1467" t="n">
        <v>80.2</v>
      </c>
      <c r="S1467" t="n">
        <v>60.6</v>
      </c>
      <c r="T1467" t="n">
        <v>64.90000000000001</v>
      </c>
      <c r="U1467" t="inlineStr">
        <is>
          <t>18,773</t>
        </is>
      </c>
      <c r="V1467" t="n">
        <v>13.8</v>
      </c>
      <c r="W1467" t="inlineStr">
        <is>
          <t>12%</t>
        </is>
      </c>
      <c r="X1467" t="inlineStr">
        <is>
          <t>61 : 39</t>
        </is>
      </c>
      <c r="Y1467" t="inlineStr"/>
      <c r="Z1467" t="n">
        <v>401</v>
      </c>
      <c r="AA1467" t="n">
        <v>47.2</v>
      </c>
      <c r="AB1467" t="inlineStr">
        <is>
          <t>U1466</t>
        </is>
      </c>
      <c r="AC1467" t="inlineStr">
        <is>
          <t>SW</t>
        </is>
      </c>
      <c r="AD1467" t="n">
        <v>47.2</v>
      </c>
      <c r="AE1467" t="n">
        <v>80.2</v>
      </c>
      <c r="AF1467" t="n">
        <v>13.8</v>
      </c>
      <c r="AG1467" t="inlineStr">
        <is>
          <t>1:13.8</t>
        </is>
      </c>
      <c r="AH1467" t="inlineStr">
        <is>
          <t>12%</t>
        </is>
      </c>
      <c r="AI1467" t="inlineStr"/>
      <c r="AJ1467" t="n">
        <v>50.95</v>
      </c>
    </row>
    <row r="1468">
      <c r="A1468" t="inlineStr">
        <is>
          <t>Umea University</t>
        </is>
      </c>
      <c r="B1468" t="inlineStr">
        <is>
          <t>Sweden</t>
        </is>
      </c>
      <c r="C1468" t="inlineStr">
        <is>
          <t>456</t>
        </is>
      </c>
      <c r="D1468" t="n">
        <v>26.3</v>
      </c>
      <c r="E1468" t="n">
        <v>19.9</v>
      </c>
      <c r="F1468" t="n">
        <v>11.6</v>
      </c>
      <c r="G1468" t="n">
        <v>71.8</v>
      </c>
      <c r="H1468" t="n">
        <v>15.2</v>
      </c>
      <c r="I1468" t="n">
        <v>51.1</v>
      </c>
      <c r="J1468" t="n">
        <v>21.8</v>
      </c>
      <c r="K1468" t="n">
        <v>78</v>
      </c>
      <c r="L1468" t="n">
        <v>9</v>
      </c>
      <c r="M1468" t="n">
        <v>26.3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n">
        <v>456</v>
      </c>
      <c r="Z1468" t="inlineStr"/>
      <c r="AA1468" t="inlineStr"/>
      <c r="AB1468" t="inlineStr">
        <is>
          <t>U1467</t>
        </is>
      </c>
      <c r="AC1468" t="inlineStr">
        <is>
          <t>SW</t>
        </is>
      </c>
      <c r="AD1468" t="n">
        <v>26.3</v>
      </c>
      <c r="AE1468" t="n">
        <v>15.2</v>
      </c>
      <c r="AF1468" t="inlineStr"/>
      <c r="AG1468" t="inlineStr"/>
      <c r="AH1468" t="inlineStr"/>
      <c r="AI1468" t="n">
        <v>19.9</v>
      </c>
      <c r="AJ1468" t="n">
        <v>17.99</v>
      </c>
    </row>
    <row r="1469">
      <c r="A1469" t="inlineStr">
        <is>
          <t xml:space="preserve">Umm Al-Qura University </t>
        </is>
      </c>
      <c r="B1469" t="inlineStr">
        <is>
          <t>Saudi Arabia</t>
        </is>
      </c>
      <c r="C1469" t="inlineStr">
        <is>
          <t>559</t>
        </is>
      </c>
      <c r="D1469" t="n">
        <v>22.3</v>
      </c>
      <c r="E1469" t="n">
        <v>20.7</v>
      </c>
      <c r="F1469" t="n">
        <v>12.8</v>
      </c>
      <c r="G1469" t="n">
        <v>54.7</v>
      </c>
      <c r="H1469" t="n">
        <v>2.2</v>
      </c>
      <c r="I1469" t="n">
        <v>100</v>
      </c>
      <c r="J1469" t="n">
        <v>16</v>
      </c>
      <c r="K1469" t="n">
        <v>59.7</v>
      </c>
      <c r="L1469" t="n">
        <v>6.7</v>
      </c>
      <c r="M1469" t="n">
        <v>3.1</v>
      </c>
      <c r="N1469" t="inlineStr">
        <is>
          <t>601–800</t>
        </is>
      </c>
      <c r="O1469" t="inlineStr">
        <is>
          <t>37.0–41.8</t>
        </is>
      </c>
      <c r="P1469" t="n">
        <v>33.3</v>
      </c>
      <c r="Q1469" t="n">
        <v>14.4</v>
      </c>
      <c r="R1469" t="n">
        <v>62.2</v>
      </c>
      <c r="S1469" t="n">
        <v>53.2</v>
      </c>
      <c r="T1469" t="n">
        <v>73.09999999999999</v>
      </c>
      <c r="U1469" t="inlineStr">
        <is>
          <t>35,180</t>
        </is>
      </c>
      <c r="V1469" t="n">
        <v>9.6</v>
      </c>
      <c r="W1469" t="inlineStr">
        <is>
          <t>7%</t>
        </is>
      </c>
      <c r="X1469" t="inlineStr">
        <is>
          <t>53 : 47</t>
        </is>
      </c>
      <c r="Y1469" t="n">
        <v>559</v>
      </c>
      <c r="Z1469" t="n">
        <v>601</v>
      </c>
      <c r="AA1469" t="n">
        <v>39.4</v>
      </c>
      <c r="AB1469" t="inlineStr">
        <is>
          <t>U1468</t>
        </is>
      </c>
      <c r="AC1469" t="inlineStr">
        <is>
          <t>SA</t>
        </is>
      </c>
      <c r="AD1469" t="n">
        <v>22.3</v>
      </c>
      <c r="AE1469" t="n">
        <v>2.2</v>
      </c>
      <c r="AF1469" t="n">
        <v>9.6</v>
      </c>
      <c r="AG1469" t="inlineStr">
        <is>
          <t>1:9.6</t>
        </is>
      </c>
      <c r="AH1469" t="inlineStr">
        <is>
          <t>7%</t>
        </is>
      </c>
      <c r="AI1469" t="n">
        <v>20.7</v>
      </c>
      <c r="AJ1469" t="n">
        <v>19.28</v>
      </c>
    </row>
    <row r="1470">
      <c r="A1470" t="inlineStr">
        <is>
          <t>UNESP</t>
        </is>
      </c>
      <c r="B1470" t="inlineStr">
        <is>
          <t>Brazil</t>
        </is>
      </c>
      <c r="C1470" t="inlineStr">
        <is>
          <t>489</t>
        </is>
      </c>
      <c r="D1470" t="n">
        <v>24.5</v>
      </c>
      <c r="E1470" t="n">
        <v>41.1</v>
      </c>
      <c r="F1470" t="n">
        <v>25.8</v>
      </c>
      <c r="G1470" t="n">
        <v>13</v>
      </c>
      <c r="H1470" t="n">
        <v>16.2</v>
      </c>
      <c r="I1470" t="n">
        <v>5.9</v>
      </c>
      <c r="J1470" t="n">
        <v>2.7</v>
      </c>
      <c r="K1470" t="n">
        <v>70.90000000000001</v>
      </c>
      <c r="L1470" t="n">
        <v>1.5</v>
      </c>
      <c r="M1470" t="n">
        <v>14.5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n">
        <v>489</v>
      </c>
      <c r="Z1470" t="inlineStr"/>
      <c r="AA1470" t="inlineStr"/>
      <c r="AB1470" t="inlineStr">
        <is>
          <t>U1469</t>
        </is>
      </c>
      <c r="AC1470" t="inlineStr">
        <is>
          <t>BR</t>
        </is>
      </c>
      <c r="AD1470" t="n">
        <v>24.5</v>
      </c>
      <c r="AE1470" t="n">
        <v>16.2</v>
      </c>
      <c r="AF1470" t="inlineStr"/>
      <c r="AG1470" t="inlineStr"/>
      <c r="AH1470" t="inlineStr"/>
      <c r="AI1470" t="n">
        <v>41.1</v>
      </c>
      <c r="AJ1470" t="n">
        <v>18.3</v>
      </c>
    </row>
    <row r="1471">
      <c r="A1471" t="inlineStr">
        <is>
          <t>UNIR – International University of La Rioja</t>
        </is>
      </c>
      <c r="B1471" t="inlineStr">
        <is>
          <t>Spain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>
        <is>
          <t>1201–1500</t>
        </is>
      </c>
      <c r="O1471" t="inlineStr">
        <is>
          <t>22.8–28.2</t>
        </is>
      </c>
      <c r="P1471" t="n">
        <v>11.9</v>
      </c>
      <c r="Q1471" t="n">
        <v>13.9</v>
      </c>
      <c r="R1471" t="n">
        <v>38</v>
      </c>
      <c r="S1471" t="n">
        <v>15.6</v>
      </c>
      <c r="T1471" t="n">
        <v>58.6</v>
      </c>
      <c r="U1471" t="inlineStr">
        <is>
          <t>35,499</t>
        </is>
      </c>
      <c r="V1471" t="n">
        <v>36</v>
      </c>
      <c r="W1471" t="inlineStr">
        <is>
          <t>37%</t>
        </is>
      </c>
      <c r="X1471" t="inlineStr">
        <is>
          <t>62 : 38</t>
        </is>
      </c>
      <c r="Y1471" t="inlineStr"/>
      <c r="Z1471" t="n">
        <v>1201</v>
      </c>
      <c r="AA1471" t="n">
        <v>25.5</v>
      </c>
      <c r="AB1471" t="inlineStr">
        <is>
          <t>U1470</t>
        </is>
      </c>
      <c r="AC1471" t="inlineStr">
        <is>
          <t>SP</t>
        </is>
      </c>
      <c r="AD1471" t="n">
        <v>25.5</v>
      </c>
      <c r="AE1471" t="n">
        <v>38</v>
      </c>
      <c r="AF1471" t="n">
        <v>36</v>
      </c>
      <c r="AG1471" t="inlineStr">
        <is>
          <t>1:36.0</t>
        </is>
      </c>
      <c r="AH1471" t="inlineStr">
        <is>
          <t>37%</t>
        </is>
      </c>
      <c r="AI1471" t="inlineStr"/>
      <c r="AJ1471" t="n">
        <v>26.36</v>
      </c>
    </row>
    <row r="1472">
      <c r="A1472" t="inlineStr">
        <is>
          <t>Unisinos University</t>
        </is>
      </c>
      <c r="B1472" t="inlineStr">
        <is>
          <t>Brazil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>
        <is>
          <t>1201–1500</t>
        </is>
      </c>
      <c r="O1472" t="inlineStr">
        <is>
          <t>22.8–28.2</t>
        </is>
      </c>
      <c r="P1472" t="n">
        <v>30.1</v>
      </c>
      <c r="Q1472" t="n">
        <v>15.4</v>
      </c>
      <c r="R1472" t="n">
        <v>22.3</v>
      </c>
      <c r="S1472" t="n">
        <v>25.2</v>
      </c>
      <c r="T1472" t="n">
        <v>29.3</v>
      </c>
      <c r="U1472" t="inlineStr">
        <is>
          <t>12,990</t>
        </is>
      </c>
      <c r="V1472" t="n">
        <v>24.3</v>
      </c>
      <c r="W1472" t="inlineStr">
        <is>
          <t>0%</t>
        </is>
      </c>
      <c r="X1472" t="inlineStr">
        <is>
          <t>47 : 53</t>
        </is>
      </c>
      <c r="Y1472" t="inlineStr"/>
      <c r="Z1472" t="n">
        <v>1201</v>
      </c>
      <c r="AA1472" t="n">
        <v>25.5</v>
      </c>
      <c r="AB1472" t="inlineStr">
        <is>
          <t>U1471</t>
        </is>
      </c>
      <c r="AC1472" t="inlineStr">
        <is>
          <t>BR</t>
        </is>
      </c>
      <c r="AD1472" t="n">
        <v>25.5</v>
      </c>
      <c r="AE1472" t="n">
        <v>22.3</v>
      </c>
      <c r="AF1472" t="n">
        <v>24.3</v>
      </c>
      <c r="AG1472" t="inlineStr">
        <is>
          <t>1:24.3</t>
        </is>
      </c>
      <c r="AH1472" t="inlineStr">
        <is>
          <t>0%</t>
        </is>
      </c>
      <c r="AI1472" t="inlineStr"/>
      <c r="AJ1472" t="n">
        <v>15.31</v>
      </c>
    </row>
    <row r="1473">
      <c r="A1473" t="inlineStr">
        <is>
          <t>United Arab Emirates University</t>
        </is>
      </c>
      <c r="B1473" t="inlineStr">
        <is>
          <t>United Arab Emirates</t>
        </is>
      </c>
      <c r="C1473" t="inlineStr">
        <is>
          <t>261</t>
        </is>
      </c>
      <c r="D1473" t="n">
        <v>39.4</v>
      </c>
      <c r="E1473" t="n">
        <v>30.1</v>
      </c>
      <c r="F1473" t="n">
        <v>38.3</v>
      </c>
      <c r="G1473" t="n">
        <v>49.8</v>
      </c>
      <c r="H1473" t="n">
        <v>16.6</v>
      </c>
      <c r="I1473" t="n">
        <v>100</v>
      </c>
      <c r="J1473" t="n">
        <v>34.2</v>
      </c>
      <c r="K1473" t="n">
        <v>86.2</v>
      </c>
      <c r="L1473" t="n">
        <v>82</v>
      </c>
      <c r="M1473" t="n">
        <v>36.6</v>
      </c>
      <c r="N1473" t="inlineStr">
        <is>
          <t>301–350</t>
        </is>
      </c>
      <c r="O1473" t="inlineStr">
        <is>
          <t>51.1–53.0</t>
        </is>
      </c>
      <c r="P1473" t="n">
        <v>27</v>
      </c>
      <c r="Q1473" t="n">
        <v>34.5</v>
      </c>
      <c r="R1473" t="n">
        <v>83.2</v>
      </c>
      <c r="S1473" t="n">
        <v>77.40000000000001</v>
      </c>
      <c r="T1473" t="n">
        <v>89.09999999999999</v>
      </c>
      <c r="U1473" t="inlineStr">
        <is>
          <t>8,147</t>
        </is>
      </c>
      <c r="V1473" t="n">
        <v>12.6</v>
      </c>
      <c r="W1473" t="inlineStr">
        <is>
          <t>18%</t>
        </is>
      </c>
      <c r="X1473" t="inlineStr">
        <is>
          <t>74 : 26</t>
        </is>
      </c>
      <c r="Y1473" t="n">
        <v>261</v>
      </c>
      <c r="Z1473" t="n">
        <v>301</v>
      </c>
      <c r="AA1473" t="n">
        <v>52.05</v>
      </c>
      <c r="AB1473" t="inlineStr">
        <is>
          <t>U1472</t>
        </is>
      </c>
      <c r="AC1473" t="inlineStr">
        <is>
          <t>UN</t>
        </is>
      </c>
      <c r="AD1473" t="n">
        <v>39.4</v>
      </c>
      <c r="AE1473" t="n">
        <v>16.6</v>
      </c>
      <c r="AF1473" t="n">
        <v>12.6</v>
      </c>
      <c r="AG1473" t="inlineStr">
        <is>
          <t>1:12.6</t>
        </is>
      </c>
      <c r="AH1473" t="inlineStr">
        <is>
          <t>18%</t>
        </is>
      </c>
      <c r="AI1473" t="n">
        <v>30.1</v>
      </c>
      <c r="AJ1473" t="n">
        <v>38.05</v>
      </c>
    </row>
    <row r="1474">
      <c r="A1474" t="inlineStr">
        <is>
          <t>United International University</t>
        </is>
      </c>
      <c r="B1474" t="inlineStr">
        <is>
          <t>Bangladesh</t>
        </is>
      </c>
      <c r="C1474" t="inlineStr">
        <is>
          <t>1401+</t>
        </is>
      </c>
      <c r="D1474" t="inlineStr"/>
      <c r="E1474" t="n">
        <v>6.3</v>
      </c>
      <c r="F1474" t="n">
        <v>8.699999999999999</v>
      </c>
      <c r="G1474" t="n">
        <v>3</v>
      </c>
      <c r="H1474" t="n">
        <v>2.5</v>
      </c>
      <c r="I1474" t="inlineStr"/>
      <c r="J1474" t="n">
        <v>1.1</v>
      </c>
      <c r="K1474" t="n">
        <v>8.800000000000001</v>
      </c>
      <c r="L1474" t="n">
        <v>3.9</v>
      </c>
      <c r="M1474" t="n">
        <v>1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n">
        <v>1401</v>
      </c>
      <c r="Z1474" t="inlineStr"/>
      <c r="AA1474" t="inlineStr"/>
      <c r="AB1474" t="inlineStr">
        <is>
          <t>U1473</t>
        </is>
      </c>
      <c r="AC1474" t="inlineStr">
        <is>
          <t>BA</t>
        </is>
      </c>
      <c r="AD1474" t="inlineStr"/>
      <c r="AE1474" t="n">
        <v>2.5</v>
      </c>
      <c r="AF1474" t="inlineStr"/>
      <c r="AG1474" t="inlineStr"/>
      <c r="AH1474" t="inlineStr"/>
      <c r="AI1474" t="n">
        <v>6.3</v>
      </c>
      <c r="AJ1474" t="n">
        <v>14.15</v>
      </c>
    </row>
    <row r="1475">
      <c r="A1475" t="inlineStr">
        <is>
          <t>Universidad Adolfo Ibáñez</t>
        </is>
      </c>
      <c r="B1475" t="inlineStr">
        <is>
          <t>Chile</t>
        </is>
      </c>
      <c r="C1475" t="inlineStr">
        <is>
          <t>576</t>
        </is>
      </c>
      <c r="D1475" t="n">
        <v>21.4</v>
      </c>
      <c r="E1475" t="n">
        <v>20.6</v>
      </c>
      <c r="F1475" t="n">
        <v>57</v>
      </c>
      <c r="G1475" t="n">
        <v>4.7</v>
      </c>
      <c r="H1475" t="n">
        <v>4.6</v>
      </c>
      <c r="I1475" t="n">
        <v>36.9</v>
      </c>
      <c r="J1475" t="n">
        <v>3.9</v>
      </c>
      <c r="K1475" t="n">
        <v>31.5</v>
      </c>
      <c r="L1475" t="n">
        <v>53.3</v>
      </c>
      <c r="M1475" t="n">
        <v>2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n">
        <v>576</v>
      </c>
      <c r="Z1475" t="inlineStr"/>
      <c r="AA1475" t="inlineStr"/>
      <c r="AB1475" t="inlineStr">
        <is>
          <t>U1474</t>
        </is>
      </c>
      <c r="AC1475" t="inlineStr">
        <is>
          <t>CH</t>
        </is>
      </c>
      <c r="AD1475" t="n">
        <v>21.4</v>
      </c>
      <c r="AE1475" t="n">
        <v>4.6</v>
      </c>
      <c r="AF1475" t="inlineStr"/>
      <c r="AG1475" t="inlineStr"/>
      <c r="AH1475" t="inlineStr"/>
      <c r="AI1475" t="n">
        <v>20.6</v>
      </c>
      <c r="AJ1475" t="n">
        <v>14.78</v>
      </c>
    </row>
    <row r="1476">
      <c r="A1476" t="inlineStr">
        <is>
          <t>Universidad Alberto Hurtado</t>
        </is>
      </c>
      <c r="B1476" t="inlineStr">
        <is>
          <t>Chile</t>
        </is>
      </c>
      <c r="C1476" t="inlineStr">
        <is>
          <t>1401+</t>
        </is>
      </c>
      <c r="D1476" t="inlineStr"/>
      <c r="E1476" t="n">
        <v>8.6</v>
      </c>
      <c r="F1476" t="n">
        <v>4.2</v>
      </c>
      <c r="G1476" t="n">
        <v>3.1</v>
      </c>
      <c r="H1476" t="n">
        <v>2.8</v>
      </c>
      <c r="I1476" t="n">
        <v>12.7</v>
      </c>
      <c r="J1476" t="n">
        <v>1.7</v>
      </c>
      <c r="K1476" t="n">
        <v>8.199999999999999</v>
      </c>
      <c r="L1476" t="n">
        <v>2.2</v>
      </c>
      <c r="M1476" t="n">
        <v>1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n">
        <v>1401</v>
      </c>
      <c r="Z1476" t="inlineStr"/>
      <c r="AA1476" t="inlineStr"/>
      <c r="AB1476" t="inlineStr">
        <is>
          <t>U1475</t>
        </is>
      </c>
      <c r="AC1476" t="inlineStr">
        <is>
          <t>CH</t>
        </is>
      </c>
      <c r="AD1476" t="inlineStr"/>
      <c r="AE1476" t="n">
        <v>2.8</v>
      </c>
      <c r="AF1476" t="inlineStr"/>
      <c r="AG1476" t="inlineStr"/>
      <c r="AH1476" t="inlineStr"/>
      <c r="AI1476" t="n">
        <v>8.6</v>
      </c>
      <c r="AJ1476" t="n">
        <v>14.24</v>
      </c>
    </row>
    <row r="1477">
      <c r="A1477" t="inlineStr">
        <is>
          <t>Universidad Anáhuac México</t>
        </is>
      </c>
      <c r="B1477" t="inlineStr">
        <is>
          <t>Mexico</t>
        </is>
      </c>
      <c r="C1477" t="inlineStr">
        <is>
          <t>801-850</t>
        </is>
      </c>
      <c r="D1477" t="inlineStr"/>
      <c r="E1477" t="n">
        <v>13.1</v>
      </c>
      <c r="F1477" t="n">
        <v>20.4</v>
      </c>
      <c r="G1477" t="n">
        <v>50</v>
      </c>
      <c r="H1477" t="n">
        <v>1.1</v>
      </c>
      <c r="I1477" t="n">
        <v>5.3</v>
      </c>
      <c r="J1477" t="n">
        <v>3</v>
      </c>
      <c r="K1477" t="n">
        <v>5.8</v>
      </c>
      <c r="L1477" t="n">
        <v>61.8</v>
      </c>
      <c r="M1477" t="n">
        <v>1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n">
        <v>801</v>
      </c>
      <c r="Z1477" t="inlineStr"/>
      <c r="AA1477" t="inlineStr"/>
      <c r="AB1477" t="inlineStr">
        <is>
          <t>U1476</t>
        </is>
      </c>
      <c r="AC1477" t="inlineStr">
        <is>
          <t>ME</t>
        </is>
      </c>
      <c r="AD1477" t="inlineStr"/>
      <c r="AE1477" t="n">
        <v>1.1</v>
      </c>
      <c r="AF1477" t="inlineStr"/>
      <c r="AG1477" t="inlineStr"/>
      <c r="AH1477" t="inlineStr"/>
      <c r="AI1477" t="n">
        <v>13.1</v>
      </c>
      <c r="AJ1477" t="n">
        <v>13.72</v>
      </c>
    </row>
    <row r="1478">
      <c r="A1478" t="inlineStr">
        <is>
          <t>Universidad Andrés Bello</t>
        </is>
      </c>
      <c r="B1478" t="inlineStr">
        <is>
          <t>Chile</t>
        </is>
      </c>
      <c r="C1478" t="inlineStr">
        <is>
          <t>1001-1200</t>
        </is>
      </c>
      <c r="D1478" t="inlineStr"/>
      <c r="E1478" t="n">
        <v>12.3</v>
      </c>
      <c r="F1478" t="n">
        <v>7.4</v>
      </c>
      <c r="G1478" t="n">
        <v>6.9</v>
      </c>
      <c r="H1478" t="n">
        <v>2.3</v>
      </c>
      <c r="I1478" t="n">
        <v>7.1</v>
      </c>
      <c r="J1478" t="n">
        <v>1.9</v>
      </c>
      <c r="K1478" t="n">
        <v>51.2</v>
      </c>
      <c r="L1478" t="n">
        <v>2.1</v>
      </c>
      <c r="M1478" t="n">
        <v>4</v>
      </c>
      <c r="N1478" t="inlineStr">
        <is>
          <t>1501+</t>
        </is>
      </c>
      <c r="O1478" t="inlineStr">
        <is>
          <t>9.7–22.7</t>
        </is>
      </c>
      <c r="P1478" t="n">
        <v>15.1</v>
      </c>
      <c r="Q1478" t="n">
        <v>10.4</v>
      </c>
      <c r="R1478" t="n">
        <v>33.5</v>
      </c>
      <c r="S1478" t="n">
        <v>20.7</v>
      </c>
      <c r="T1478" t="n">
        <v>50.6</v>
      </c>
      <c r="U1478" t="inlineStr">
        <is>
          <t>46,249</t>
        </is>
      </c>
      <c r="V1478" t="n">
        <v>18.4</v>
      </c>
      <c r="W1478" t="inlineStr">
        <is>
          <t>2%</t>
        </is>
      </c>
      <c r="X1478" t="inlineStr">
        <is>
          <t>53 : 47</t>
        </is>
      </c>
      <c r="Y1478" t="n">
        <v>1001</v>
      </c>
      <c r="Z1478" t="n">
        <v>1501</v>
      </c>
      <c r="AA1478" t="n">
        <v>16.2</v>
      </c>
      <c r="AB1478" t="inlineStr">
        <is>
          <t>U1477</t>
        </is>
      </c>
      <c r="AC1478" t="inlineStr">
        <is>
          <t>CH</t>
        </is>
      </c>
      <c r="AD1478" t="n">
        <v>16.2</v>
      </c>
      <c r="AE1478" t="n">
        <v>2.3</v>
      </c>
      <c r="AF1478" t="n">
        <v>18.4</v>
      </c>
      <c r="AG1478" t="inlineStr">
        <is>
          <t>1:18.4</t>
        </is>
      </c>
      <c r="AH1478" t="inlineStr">
        <is>
          <t>2%</t>
        </is>
      </c>
      <c r="AI1478" t="n">
        <v>12.3</v>
      </c>
      <c r="AJ1478" t="n">
        <v>11.78</v>
      </c>
    </row>
    <row r="1479">
      <c r="A1479" t="inlineStr">
        <is>
          <t>Universidad Austral</t>
        </is>
      </c>
      <c r="B1479" t="inlineStr">
        <is>
          <t>Argentina</t>
        </is>
      </c>
      <c r="C1479" t="inlineStr">
        <is>
          <t>524</t>
        </is>
      </c>
      <c r="D1479" t="n">
        <v>23.4</v>
      </c>
      <c r="E1479" t="n">
        <v>20.9</v>
      </c>
      <c r="F1479" t="n">
        <v>36.2</v>
      </c>
      <c r="G1479" t="n">
        <v>79.7</v>
      </c>
      <c r="H1479" t="n">
        <v>1.9</v>
      </c>
      <c r="I1479" t="n">
        <v>2.7</v>
      </c>
      <c r="J1479" t="n">
        <v>7.5</v>
      </c>
      <c r="K1479" t="n">
        <v>10.2</v>
      </c>
      <c r="L1479" t="n">
        <v>65.90000000000001</v>
      </c>
      <c r="M1479" t="n">
        <v>1.3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n">
        <v>524</v>
      </c>
      <c r="Z1479" t="inlineStr"/>
      <c r="AA1479" t="inlineStr"/>
      <c r="AB1479" t="inlineStr">
        <is>
          <t>U1478</t>
        </is>
      </c>
      <c r="AC1479" t="inlineStr">
        <is>
          <t>AR</t>
        </is>
      </c>
      <c r="AD1479" t="n">
        <v>23.4</v>
      </c>
      <c r="AE1479" t="n">
        <v>1.9</v>
      </c>
      <c r="AF1479" t="inlineStr"/>
      <c r="AG1479" t="inlineStr"/>
      <c r="AH1479" t="inlineStr"/>
      <c r="AI1479" t="n">
        <v>20.9</v>
      </c>
      <c r="AJ1479" t="n">
        <v>13.96</v>
      </c>
    </row>
    <row r="1480">
      <c r="A1480" t="inlineStr">
        <is>
          <t>Universidad Austral de Chile</t>
        </is>
      </c>
      <c r="B1480" t="inlineStr">
        <is>
          <t>Chile</t>
        </is>
      </c>
      <c r="C1480" t="inlineStr">
        <is>
          <t>1001-1200</t>
        </is>
      </c>
      <c r="D1480" t="inlineStr"/>
      <c r="E1480" t="n">
        <v>13.9</v>
      </c>
      <c r="F1480" t="n">
        <v>8</v>
      </c>
      <c r="G1480" t="n">
        <v>3.1</v>
      </c>
      <c r="H1480" t="n">
        <v>7.3</v>
      </c>
      <c r="I1480" t="n">
        <v>15.6</v>
      </c>
      <c r="J1480" t="n">
        <v>1.6</v>
      </c>
      <c r="K1480" t="n">
        <v>45.4</v>
      </c>
      <c r="L1480" t="n">
        <v>3.5</v>
      </c>
      <c r="M1480" t="n">
        <v>5.6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n">
        <v>1001</v>
      </c>
      <c r="Z1480" t="inlineStr"/>
      <c r="AA1480" t="inlineStr"/>
      <c r="AB1480" t="inlineStr">
        <is>
          <t>U1479</t>
        </is>
      </c>
      <c r="AC1480" t="inlineStr">
        <is>
          <t>CH</t>
        </is>
      </c>
      <c r="AD1480" t="inlineStr"/>
      <c r="AE1480" t="n">
        <v>7.3</v>
      </c>
      <c r="AF1480" t="inlineStr"/>
      <c r="AG1480" t="inlineStr"/>
      <c r="AH1480" t="inlineStr"/>
      <c r="AI1480" t="n">
        <v>13.9</v>
      </c>
      <c r="AJ1480" t="n">
        <v>15.6</v>
      </c>
    </row>
    <row r="1481">
      <c r="A1481" t="inlineStr">
        <is>
          <t>Universidad Autónoma Chapingo</t>
        </is>
      </c>
      <c r="B1481" t="inlineStr">
        <is>
          <t>Mexico</t>
        </is>
      </c>
      <c r="C1481" t="inlineStr">
        <is>
          <t>1001-1200</t>
        </is>
      </c>
      <c r="D1481" t="inlineStr"/>
      <c r="E1481" t="n">
        <v>3.7</v>
      </c>
      <c r="F1481" t="n">
        <v>2.5</v>
      </c>
      <c r="G1481" t="n">
        <v>80.2</v>
      </c>
      <c r="H1481" t="n">
        <v>1.4</v>
      </c>
      <c r="I1481" t="n">
        <v>2.6</v>
      </c>
      <c r="J1481" t="n">
        <v>1.3</v>
      </c>
      <c r="K1481" t="n">
        <v>3.8</v>
      </c>
      <c r="L1481" t="n">
        <v>4.8</v>
      </c>
      <c r="M1481" t="n">
        <v>1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n">
        <v>1001</v>
      </c>
      <c r="Z1481" t="inlineStr"/>
      <c r="AA1481" t="inlineStr"/>
      <c r="AB1481" t="inlineStr">
        <is>
          <t>U1480</t>
        </is>
      </c>
      <c r="AC1481" t="inlineStr">
        <is>
          <t>ME</t>
        </is>
      </c>
      <c r="AD1481" t="inlineStr"/>
      <c r="AE1481" t="n">
        <v>1.4</v>
      </c>
      <c r="AF1481" t="inlineStr"/>
      <c r="AG1481" t="inlineStr"/>
      <c r="AH1481" t="inlineStr"/>
      <c r="AI1481" t="n">
        <v>3.7</v>
      </c>
      <c r="AJ1481" t="n">
        <v>13.81</v>
      </c>
    </row>
    <row r="1482">
      <c r="A1482" t="inlineStr">
        <is>
          <t>Universidad Autónoma de Aguascalientes</t>
        </is>
      </c>
      <c r="B1482" t="inlineStr">
        <is>
          <t>Mexico</t>
        </is>
      </c>
      <c r="C1482" t="inlineStr">
        <is>
          <t>1401+</t>
        </is>
      </c>
      <c r="D1482" t="inlineStr"/>
      <c r="E1482" t="n">
        <v>3.1</v>
      </c>
      <c r="F1482" t="n">
        <v>1.6</v>
      </c>
      <c r="G1482" t="n">
        <v>32.5</v>
      </c>
      <c r="H1482" t="n">
        <v>1.2</v>
      </c>
      <c r="I1482" t="inlineStr"/>
      <c r="J1482" t="inlineStr"/>
      <c r="K1482" t="n">
        <v>10.8</v>
      </c>
      <c r="L1482" t="n">
        <v>1.6</v>
      </c>
      <c r="M1482" t="n">
        <v>1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n">
        <v>1401</v>
      </c>
      <c r="Z1482" t="inlineStr"/>
      <c r="AA1482" t="inlineStr"/>
      <c r="AB1482" t="inlineStr">
        <is>
          <t>U1481</t>
        </is>
      </c>
      <c r="AC1482" t="inlineStr">
        <is>
          <t>ME</t>
        </is>
      </c>
      <c r="AD1482" t="inlineStr"/>
      <c r="AE1482" t="n">
        <v>1.2</v>
      </c>
      <c r="AF1482" t="inlineStr"/>
      <c r="AG1482" t="inlineStr"/>
      <c r="AH1482" t="inlineStr"/>
      <c r="AI1482" t="n">
        <v>3.1</v>
      </c>
      <c r="AJ1482" t="n">
        <v>13.75</v>
      </c>
    </row>
    <row r="1483">
      <c r="A1483" t="inlineStr">
        <is>
          <t>Universidad Autónoma de Baja California</t>
        </is>
      </c>
      <c r="B1483" t="inlineStr">
        <is>
          <t>Mexico</t>
        </is>
      </c>
      <c r="C1483" t="inlineStr">
        <is>
          <t>1401+</t>
        </is>
      </c>
      <c r="D1483" t="inlineStr"/>
      <c r="E1483" t="n">
        <v>6.6</v>
      </c>
      <c r="F1483" t="n">
        <v>4.4</v>
      </c>
      <c r="G1483" t="n">
        <v>4.4</v>
      </c>
      <c r="H1483" t="n">
        <v>1.5</v>
      </c>
      <c r="I1483" t="n">
        <v>2.6</v>
      </c>
      <c r="J1483" t="n">
        <v>1.1</v>
      </c>
      <c r="K1483" t="n">
        <v>12.5</v>
      </c>
      <c r="L1483" t="n">
        <v>2.1</v>
      </c>
      <c r="M1483" t="n">
        <v>7.5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n">
        <v>1401</v>
      </c>
      <c r="Z1483" t="inlineStr"/>
      <c r="AA1483" t="inlineStr"/>
      <c r="AB1483" t="inlineStr">
        <is>
          <t>U1482</t>
        </is>
      </c>
      <c r="AC1483" t="inlineStr">
        <is>
          <t>ME</t>
        </is>
      </c>
      <c r="AD1483" t="inlineStr"/>
      <c r="AE1483" t="n">
        <v>1.5</v>
      </c>
      <c r="AF1483" t="inlineStr"/>
      <c r="AG1483" t="inlineStr"/>
      <c r="AH1483" t="inlineStr"/>
      <c r="AI1483" t="n">
        <v>6.6</v>
      </c>
      <c r="AJ1483" t="n">
        <v>13.84</v>
      </c>
    </row>
    <row r="1484">
      <c r="A1484" t="inlineStr">
        <is>
          <t>Universidad Autónoma de Chile</t>
        </is>
      </c>
      <c r="B1484" t="inlineStr">
        <is>
          <t>Chile</t>
        </is>
      </c>
      <c r="C1484" t="inlineStr">
        <is>
          <t>1401+</t>
        </is>
      </c>
      <c r="D1484" t="inlineStr"/>
      <c r="E1484" t="n">
        <v>5.3</v>
      </c>
      <c r="F1484" t="n">
        <v>2</v>
      </c>
      <c r="G1484" t="n">
        <v>4.2</v>
      </c>
      <c r="H1484" t="n">
        <v>3.1</v>
      </c>
      <c r="I1484" t="n">
        <v>12.4</v>
      </c>
      <c r="J1484" t="n">
        <v>1.4</v>
      </c>
      <c r="K1484" t="n">
        <v>32.6</v>
      </c>
      <c r="L1484" t="n">
        <v>2.1</v>
      </c>
      <c r="M1484" t="n">
        <v>2.8</v>
      </c>
      <c r="N1484" t="inlineStr">
        <is>
          <t>1001–1200</t>
        </is>
      </c>
      <c r="O1484" t="inlineStr">
        <is>
          <t>28.3–32.6</t>
        </is>
      </c>
      <c r="P1484" t="n">
        <v>12.5</v>
      </c>
      <c r="Q1484" t="n">
        <v>12.2</v>
      </c>
      <c r="R1484" t="n">
        <v>54.5</v>
      </c>
      <c r="S1484" t="n">
        <v>16.1</v>
      </c>
      <c r="T1484" t="n">
        <v>55.4</v>
      </c>
      <c r="U1484" t="inlineStr">
        <is>
          <t>30,336</t>
        </is>
      </c>
      <c r="V1484" t="n">
        <v>25.5</v>
      </c>
      <c r="W1484" t="inlineStr">
        <is>
          <t>1%</t>
        </is>
      </c>
      <c r="X1484" t="inlineStr">
        <is>
          <t>65 : 35</t>
        </is>
      </c>
      <c r="Y1484" t="n">
        <v>1401</v>
      </c>
      <c r="Z1484" t="n">
        <v>1001</v>
      </c>
      <c r="AA1484" t="n">
        <v>30.45</v>
      </c>
      <c r="AB1484" t="inlineStr">
        <is>
          <t>U1483</t>
        </is>
      </c>
      <c r="AC1484" t="inlineStr">
        <is>
          <t>CH</t>
        </is>
      </c>
      <c r="AD1484" t="n">
        <v>30.45</v>
      </c>
      <c r="AE1484" t="n">
        <v>3.1</v>
      </c>
      <c r="AF1484" t="n">
        <v>25.5</v>
      </c>
      <c r="AG1484" t="inlineStr">
        <is>
          <t>1:25.5</t>
        </is>
      </c>
      <c r="AH1484" t="inlineStr">
        <is>
          <t>1%</t>
        </is>
      </c>
      <c r="AI1484" t="n">
        <v>5.3</v>
      </c>
      <c r="AJ1484" t="n">
        <v>14.12</v>
      </c>
    </row>
    <row r="1485">
      <c r="A1485" t="inlineStr">
        <is>
          <t>Universidad Autónoma de Ciudad Juárez</t>
        </is>
      </c>
      <c r="B1485" t="inlineStr">
        <is>
          <t>Mexico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>
        <is>
          <t>1501+</t>
        </is>
      </c>
      <c r="O1485" t="inlineStr">
        <is>
          <t>9.7–22.7</t>
        </is>
      </c>
      <c r="P1485" t="n">
        <v>15.6</v>
      </c>
      <c r="Q1485" t="n">
        <v>8</v>
      </c>
      <c r="R1485" t="n">
        <v>10.2</v>
      </c>
      <c r="S1485" t="n">
        <v>17.5</v>
      </c>
      <c r="T1485" t="n">
        <v>37.3</v>
      </c>
      <c r="U1485" t="inlineStr">
        <is>
          <t>36,463</t>
        </is>
      </c>
      <c r="V1485" t="n">
        <v>15</v>
      </c>
      <c r="W1485" t="inlineStr">
        <is>
          <t>2%</t>
        </is>
      </c>
      <c r="X1485" t="inlineStr">
        <is>
          <t>56 : 44</t>
        </is>
      </c>
      <c r="Y1485" t="inlineStr"/>
      <c r="Z1485" t="n">
        <v>1501</v>
      </c>
      <c r="AA1485" t="n">
        <v>16.2</v>
      </c>
      <c r="AB1485" t="inlineStr">
        <is>
          <t>U1484</t>
        </is>
      </c>
      <c r="AC1485" t="inlineStr">
        <is>
          <t>ME</t>
        </is>
      </c>
      <c r="AD1485" t="n">
        <v>16.2</v>
      </c>
      <c r="AE1485" t="n">
        <v>10.2</v>
      </c>
      <c r="AF1485" t="n">
        <v>15</v>
      </c>
      <c r="AG1485" t="inlineStr">
        <is>
          <t>1:15.0</t>
        </is>
      </c>
      <c r="AH1485" t="inlineStr">
        <is>
          <t>2%</t>
        </is>
      </c>
      <c r="AI1485" t="inlineStr"/>
      <c r="AJ1485" t="n">
        <v>9.699999999999999</v>
      </c>
    </row>
    <row r="1486">
      <c r="A1486" t="inlineStr">
        <is>
          <t>Universidad Autónoma de Coahuila</t>
        </is>
      </c>
      <c r="B1486" t="inlineStr">
        <is>
          <t>Mexico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>
        <is>
          <t>1501+</t>
        </is>
      </c>
      <c r="O1486" t="inlineStr">
        <is>
          <t>9.7–22.7</t>
        </is>
      </c>
      <c r="P1486" t="n">
        <v>21.4</v>
      </c>
      <c r="Q1486" t="n">
        <v>8</v>
      </c>
      <c r="R1486" t="n">
        <v>12.8</v>
      </c>
      <c r="S1486" t="n">
        <v>18.1</v>
      </c>
      <c r="T1486" t="n">
        <v>34.4</v>
      </c>
      <c r="U1486" t="inlineStr">
        <is>
          <t>27,413</t>
        </is>
      </c>
      <c r="V1486" t="n">
        <v>29.6</v>
      </c>
      <c r="W1486" t="inlineStr">
        <is>
          <t>0%</t>
        </is>
      </c>
      <c r="X1486" t="inlineStr">
        <is>
          <t>58 : 42</t>
        </is>
      </c>
      <c r="Y1486" t="inlineStr"/>
      <c r="Z1486" t="n">
        <v>1501</v>
      </c>
      <c r="AA1486" t="n">
        <v>16.2</v>
      </c>
      <c r="AB1486" t="inlineStr">
        <is>
          <t>U1485</t>
        </is>
      </c>
      <c r="AC1486" t="inlineStr">
        <is>
          <t>ME</t>
        </is>
      </c>
      <c r="AD1486" t="n">
        <v>16.2</v>
      </c>
      <c r="AE1486" t="n">
        <v>12.8</v>
      </c>
      <c r="AF1486" t="n">
        <v>29.6</v>
      </c>
      <c r="AG1486" t="inlineStr">
        <is>
          <t>1:29.6</t>
        </is>
      </c>
      <c r="AH1486" t="inlineStr">
        <is>
          <t>0%</t>
        </is>
      </c>
      <c r="AI1486" t="inlineStr"/>
      <c r="AJ1486" t="n">
        <v>9.779999999999999</v>
      </c>
    </row>
    <row r="1487">
      <c r="A1487" t="inlineStr">
        <is>
          <t>Universidad Autónoma de Guadalajara (UAG)</t>
        </is>
      </c>
      <c r="B1487" t="inlineStr">
        <is>
          <t>Mexico</t>
        </is>
      </c>
      <c r="C1487" t="inlineStr">
        <is>
          <t>1201-1400</t>
        </is>
      </c>
      <c r="D1487" t="inlineStr"/>
      <c r="E1487" t="n">
        <v>6.5</v>
      </c>
      <c r="F1487" t="n">
        <v>3.8</v>
      </c>
      <c r="G1487" t="n">
        <v>19.6</v>
      </c>
      <c r="H1487" t="n">
        <v>1.1</v>
      </c>
      <c r="I1487" t="n">
        <v>37.9</v>
      </c>
      <c r="J1487" t="n">
        <v>23</v>
      </c>
      <c r="K1487" t="n">
        <v>2.1</v>
      </c>
      <c r="L1487" t="n">
        <v>2</v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n">
        <v>1201</v>
      </c>
      <c r="Z1487" t="inlineStr"/>
      <c r="AA1487" t="inlineStr"/>
      <c r="AB1487" t="inlineStr">
        <is>
          <t>U1486</t>
        </is>
      </c>
      <c r="AC1487" t="inlineStr">
        <is>
          <t>ME</t>
        </is>
      </c>
      <c r="AD1487" t="inlineStr"/>
      <c r="AE1487" t="n">
        <v>1.1</v>
      </c>
      <c r="AF1487" t="inlineStr"/>
      <c r="AG1487" t="inlineStr"/>
      <c r="AH1487" t="inlineStr"/>
      <c r="AI1487" t="n">
        <v>6.5</v>
      </c>
      <c r="AJ1487" t="n">
        <v>13.72</v>
      </c>
    </row>
    <row r="1488">
      <c r="A1488" t="inlineStr">
        <is>
          <t>Universidad Autónoma de Madrid</t>
        </is>
      </c>
      <c r="B1488" t="inlineStr">
        <is>
          <t>Spain</t>
        </is>
      </c>
      <c r="C1488" t="inlineStr">
        <is>
          <t>198</t>
        </is>
      </c>
      <c r="D1488" t="n">
        <v>46.3</v>
      </c>
      <c r="E1488" t="n">
        <v>61</v>
      </c>
      <c r="F1488" t="n">
        <v>64.3</v>
      </c>
      <c r="G1488" t="n">
        <v>29.1</v>
      </c>
      <c r="H1488" t="n">
        <v>21</v>
      </c>
      <c r="I1488" t="n">
        <v>7.7</v>
      </c>
      <c r="J1488" t="n">
        <v>10.4</v>
      </c>
      <c r="K1488" t="n">
        <v>92</v>
      </c>
      <c r="L1488" t="n">
        <v>43.1</v>
      </c>
      <c r="M1488" t="n">
        <v>79.59999999999999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n">
        <v>198</v>
      </c>
      <c r="Z1488" t="inlineStr"/>
      <c r="AA1488" t="inlineStr"/>
      <c r="AB1488" t="inlineStr">
        <is>
          <t>U1487</t>
        </is>
      </c>
      <c r="AC1488" t="inlineStr">
        <is>
          <t>SP</t>
        </is>
      </c>
      <c r="AD1488" t="n">
        <v>46.3</v>
      </c>
      <c r="AE1488" t="n">
        <v>21</v>
      </c>
      <c r="AF1488" t="inlineStr"/>
      <c r="AG1488" t="inlineStr"/>
      <c r="AH1488" t="inlineStr"/>
      <c r="AI1488" t="n">
        <v>61</v>
      </c>
      <c r="AJ1488" t="n">
        <v>19.75</v>
      </c>
    </row>
    <row r="1489">
      <c r="A1489" t="inlineStr">
        <is>
          <t>Universidad Autónoma de Nuevo León</t>
        </is>
      </c>
      <c r="B1489" t="inlineStr">
        <is>
          <t>Mexico</t>
        </is>
      </c>
      <c r="C1489" t="inlineStr">
        <is>
          <t>1001-1200</t>
        </is>
      </c>
      <c r="D1489" t="inlineStr"/>
      <c r="E1489" t="n">
        <v>14.5</v>
      </c>
      <c r="F1489" t="n">
        <v>8.5</v>
      </c>
      <c r="G1489" t="n">
        <v>2.3</v>
      </c>
      <c r="H1489" t="n">
        <v>1.8</v>
      </c>
      <c r="I1489" t="n">
        <v>2.9</v>
      </c>
      <c r="J1489" t="n">
        <v>1.1</v>
      </c>
      <c r="K1489" t="n">
        <v>35.9</v>
      </c>
      <c r="L1489" t="n">
        <v>13.4</v>
      </c>
      <c r="M1489" t="n">
        <v>10.6</v>
      </c>
      <c r="N1489" t="inlineStr">
        <is>
          <t>1501+</t>
        </is>
      </c>
      <c r="O1489" t="inlineStr">
        <is>
          <t>9.7–22.7</t>
        </is>
      </c>
      <c r="P1489" t="n">
        <v>13.3</v>
      </c>
      <c r="Q1489" t="n">
        <v>9.1</v>
      </c>
      <c r="R1489" t="n">
        <v>17.1</v>
      </c>
      <c r="S1489" t="n">
        <v>19.8</v>
      </c>
      <c r="T1489" t="n">
        <v>33.4</v>
      </c>
      <c r="U1489" t="inlineStr">
        <is>
          <t>132,850</t>
        </is>
      </c>
      <c r="V1489" t="n">
        <v>48</v>
      </c>
      <c r="W1489" t="inlineStr">
        <is>
          <t>0%</t>
        </is>
      </c>
      <c r="X1489" t="inlineStr">
        <is>
          <t>47 : 53</t>
        </is>
      </c>
      <c r="Y1489" t="n">
        <v>1001</v>
      </c>
      <c r="Z1489" t="n">
        <v>1501</v>
      </c>
      <c r="AA1489" t="n">
        <v>16.2</v>
      </c>
      <c r="AB1489" t="inlineStr">
        <is>
          <t>U1488</t>
        </is>
      </c>
      <c r="AC1489" t="inlineStr">
        <is>
          <t>ME</t>
        </is>
      </c>
      <c r="AD1489" t="n">
        <v>16.2</v>
      </c>
      <c r="AE1489" t="n">
        <v>1.8</v>
      </c>
      <c r="AF1489" t="n">
        <v>48</v>
      </c>
      <c r="AG1489" t="inlineStr">
        <is>
          <t>1:48.0</t>
        </is>
      </c>
      <c r="AH1489" t="inlineStr">
        <is>
          <t>0%</t>
        </is>
      </c>
      <c r="AI1489" t="n">
        <v>14.5</v>
      </c>
      <c r="AJ1489" t="n">
        <v>6.78</v>
      </c>
    </row>
    <row r="1490">
      <c r="A1490" t="inlineStr">
        <is>
          <t>Universidad Autónoma de Querétaro (UAQ)</t>
        </is>
      </c>
      <c r="B1490" t="inlineStr">
        <is>
          <t>Mexico</t>
        </is>
      </c>
      <c r="C1490" t="inlineStr">
        <is>
          <t>1401+</t>
        </is>
      </c>
      <c r="D1490" t="inlineStr"/>
      <c r="E1490" t="n">
        <v>4.4</v>
      </c>
      <c r="F1490" t="n">
        <v>2.4</v>
      </c>
      <c r="G1490" t="n">
        <v>6</v>
      </c>
      <c r="H1490" t="n">
        <v>2.1</v>
      </c>
      <c r="I1490" t="n">
        <v>3.8</v>
      </c>
      <c r="J1490" t="n">
        <v>1.5</v>
      </c>
      <c r="K1490" t="n">
        <v>7.3</v>
      </c>
      <c r="L1490" t="n">
        <v>2</v>
      </c>
      <c r="M1490" t="n">
        <v>1</v>
      </c>
      <c r="N1490" t="inlineStr">
        <is>
          <t>1501+</t>
        </is>
      </c>
      <c r="O1490" t="inlineStr">
        <is>
          <t>9.7–22.7</t>
        </is>
      </c>
      <c r="P1490" t="n">
        <v>19.1</v>
      </c>
      <c r="Q1490" t="n">
        <v>10.5</v>
      </c>
      <c r="R1490" t="n">
        <v>19.1</v>
      </c>
      <c r="S1490" t="n">
        <v>23.7</v>
      </c>
      <c r="T1490" t="n">
        <v>30</v>
      </c>
      <c r="U1490" t="inlineStr">
        <is>
          <t>25,567</t>
        </is>
      </c>
      <c r="V1490" t="n">
        <v>45.2</v>
      </c>
      <c r="W1490" t="inlineStr">
        <is>
          <t>1%</t>
        </is>
      </c>
      <c r="X1490" t="inlineStr">
        <is>
          <t>57 : 43</t>
        </is>
      </c>
      <c r="Y1490" t="n">
        <v>1401</v>
      </c>
      <c r="Z1490" t="n">
        <v>1501</v>
      </c>
      <c r="AA1490" t="n">
        <v>16.2</v>
      </c>
      <c r="AB1490" t="inlineStr">
        <is>
          <t>U1489</t>
        </is>
      </c>
      <c r="AC1490" t="inlineStr">
        <is>
          <t>ME</t>
        </is>
      </c>
      <c r="AD1490" t="n">
        <v>16.2</v>
      </c>
      <c r="AE1490" t="n">
        <v>2.1</v>
      </c>
      <c r="AF1490" t="n">
        <v>45.2</v>
      </c>
      <c r="AG1490" t="inlineStr">
        <is>
          <t>1:45.2</t>
        </is>
      </c>
      <c r="AH1490" t="inlineStr">
        <is>
          <t>1%</t>
        </is>
      </c>
      <c r="AI1490" t="n">
        <v>4.4</v>
      </c>
      <c r="AJ1490" t="n">
        <v>6.79</v>
      </c>
    </row>
    <row r="1491">
      <c r="A1491" t="inlineStr">
        <is>
          <t>Universidad Autónoma de San Luis de Potosí</t>
        </is>
      </c>
      <c r="B1491" t="inlineStr">
        <is>
          <t>Mexico</t>
        </is>
      </c>
      <c r="C1491" t="inlineStr">
        <is>
          <t>1401+</t>
        </is>
      </c>
      <c r="D1491" t="inlineStr"/>
      <c r="E1491" t="n">
        <v>5.9</v>
      </c>
      <c r="F1491" t="n">
        <v>1.8</v>
      </c>
      <c r="G1491" t="n">
        <v>5.4</v>
      </c>
      <c r="H1491" t="n">
        <v>2.4</v>
      </c>
      <c r="I1491" t="n">
        <v>1.6</v>
      </c>
      <c r="J1491" t="n">
        <v>1.3</v>
      </c>
      <c r="K1491" t="n">
        <v>21.4</v>
      </c>
      <c r="L1491" t="n">
        <v>1.6</v>
      </c>
      <c r="M1491" t="n">
        <v>1.1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n">
        <v>1401</v>
      </c>
      <c r="Z1491" t="inlineStr"/>
      <c r="AA1491" t="inlineStr"/>
      <c r="AB1491" t="inlineStr">
        <is>
          <t>U1490</t>
        </is>
      </c>
      <c r="AC1491" t="inlineStr">
        <is>
          <t>ME</t>
        </is>
      </c>
      <c r="AD1491" t="inlineStr"/>
      <c r="AE1491" t="n">
        <v>2.4</v>
      </c>
      <c r="AF1491" t="inlineStr"/>
      <c r="AG1491" t="inlineStr"/>
      <c r="AH1491" t="inlineStr"/>
      <c r="AI1491" t="n">
        <v>5.9</v>
      </c>
      <c r="AJ1491" t="n">
        <v>14.12</v>
      </c>
    </row>
    <row r="1492">
      <c r="A1492" t="inlineStr">
        <is>
          <t>Universidad Autónoma de Yucatán</t>
        </is>
      </c>
      <c r="B1492" t="inlineStr">
        <is>
          <t>Mexico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>
        <is>
          <t>1501+</t>
        </is>
      </c>
      <c r="O1492" t="inlineStr">
        <is>
          <t>9.7–22.7</t>
        </is>
      </c>
      <c r="P1492" t="n">
        <v>14.9</v>
      </c>
      <c r="Q1492" t="n">
        <v>10</v>
      </c>
      <c r="R1492" t="n">
        <v>14.6</v>
      </c>
      <c r="S1492" t="n">
        <v>24.1</v>
      </c>
      <c r="T1492" t="n">
        <v>33.6</v>
      </c>
      <c r="U1492" t="inlineStr">
        <is>
          <t>19,128</t>
        </is>
      </c>
      <c r="V1492" t="n">
        <v>19.6</v>
      </c>
      <c r="W1492" t="inlineStr">
        <is>
          <t>0%</t>
        </is>
      </c>
      <c r="X1492" t="inlineStr">
        <is>
          <t>50 : 50</t>
        </is>
      </c>
      <c r="Y1492" t="inlineStr"/>
      <c r="Z1492" t="n">
        <v>1501</v>
      </c>
      <c r="AA1492" t="n">
        <v>16.2</v>
      </c>
      <c r="AB1492" t="inlineStr">
        <is>
          <t>U1491</t>
        </is>
      </c>
      <c r="AC1492" t="inlineStr">
        <is>
          <t>ME</t>
        </is>
      </c>
      <c r="AD1492" t="n">
        <v>16.2</v>
      </c>
      <c r="AE1492" t="n">
        <v>14.6</v>
      </c>
      <c r="AF1492" t="n">
        <v>19.6</v>
      </c>
      <c r="AG1492" t="inlineStr">
        <is>
          <t>1:19.6</t>
        </is>
      </c>
      <c r="AH1492" t="inlineStr">
        <is>
          <t>0%</t>
        </is>
      </c>
      <c r="AI1492" t="inlineStr"/>
      <c r="AJ1492" t="n">
        <v>11.18</v>
      </c>
    </row>
    <row r="1493">
      <c r="A1493" t="inlineStr">
        <is>
          <t>Universidad Autónoma del Estado de Hidalgo (UAEH)</t>
        </is>
      </c>
      <c r="B1493" t="inlineStr">
        <is>
          <t>Mexico</t>
        </is>
      </c>
      <c r="C1493" t="inlineStr">
        <is>
          <t>1201-1400</t>
        </is>
      </c>
      <c r="D1493" t="inlineStr"/>
      <c r="E1493" t="n">
        <v>3.2</v>
      </c>
      <c r="F1493" t="n">
        <v>6</v>
      </c>
      <c r="G1493" t="n">
        <v>45.2</v>
      </c>
      <c r="H1493" t="n">
        <v>1.4</v>
      </c>
      <c r="I1493" t="n">
        <v>2</v>
      </c>
      <c r="J1493" t="n">
        <v>1.6</v>
      </c>
      <c r="K1493" t="n">
        <v>8.300000000000001</v>
      </c>
      <c r="L1493" t="n">
        <v>2.1</v>
      </c>
      <c r="M1493" t="n">
        <v>5.8</v>
      </c>
      <c r="N1493" t="inlineStr">
        <is>
          <t>1501+</t>
        </is>
      </c>
      <c r="O1493" t="inlineStr">
        <is>
          <t>9.7–22.7</t>
        </is>
      </c>
      <c r="P1493" t="n">
        <v>19.2</v>
      </c>
      <c r="Q1493" t="n">
        <v>9.6</v>
      </c>
      <c r="R1493" t="n">
        <v>11.1</v>
      </c>
      <c r="S1493" t="n">
        <v>18.1</v>
      </c>
      <c r="T1493" t="n">
        <v>26.4</v>
      </c>
      <c r="U1493" t="inlineStr">
        <is>
          <t>38,732</t>
        </is>
      </c>
      <c r="V1493" t="n">
        <v>19.5</v>
      </c>
      <c r="W1493" t="inlineStr">
        <is>
          <t>0%</t>
        </is>
      </c>
      <c r="X1493" t="inlineStr">
        <is>
          <t>58 : 42</t>
        </is>
      </c>
      <c r="Y1493" t="n">
        <v>1201</v>
      </c>
      <c r="Z1493" t="n">
        <v>1501</v>
      </c>
      <c r="AA1493" t="n">
        <v>16.2</v>
      </c>
      <c r="AB1493" t="inlineStr">
        <is>
          <t>U1492</t>
        </is>
      </c>
      <c r="AC1493" t="inlineStr">
        <is>
          <t>ME</t>
        </is>
      </c>
      <c r="AD1493" t="n">
        <v>16.2</v>
      </c>
      <c r="AE1493" t="n">
        <v>1.4</v>
      </c>
      <c r="AF1493" t="n">
        <v>19.5</v>
      </c>
      <c r="AG1493" t="inlineStr">
        <is>
          <t>1:19.5</t>
        </is>
      </c>
      <c r="AH1493" t="inlineStr">
        <is>
          <t>0%</t>
        </is>
      </c>
      <c r="AI1493" t="n">
        <v>3.2</v>
      </c>
      <c r="AJ1493" t="n">
        <v>5.23</v>
      </c>
    </row>
    <row r="1494">
      <c r="A1494" t="inlineStr">
        <is>
          <t>Universidad Autónoma del Estado de México (UAEMex)</t>
        </is>
      </c>
      <c r="B1494" t="inlineStr">
        <is>
          <t>Mexico</t>
        </is>
      </c>
      <c r="C1494" t="inlineStr">
        <is>
          <t>1001-1200</t>
        </is>
      </c>
      <c r="D1494" t="inlineStr"/>
      <c r="E1494" t="n">
        <v>19.3</v>
      </c>
      <c r="F1494" t="n">
        <v>8.199999999999999</v>
      </c>
      <c r="G1494" t="n">
        <v>4.6</v>
      </c>
      <c r="H1494" t="n">
        <v>1.5</v>
      </c>
      <c r="I1494" t="n">
        <v>3</v>
      </c>
      <c r="J1494" t="n">
        <v>1.3</v>
      </c>
      <c r="K1494" t="n">
        <v>16</v>
      </c>
      <c r="L1494" t="n">
        <v>1.8</v>
      </c>
      <c r="M1494" t="n">
        <v>4.9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n">
        <v>1001</v>
      </c>
      <c r="Z1494" t="inlineStr"/>
      <c r="AA1494" t="inlineStr"/>
      <c r="AB1494" t="inlineStr">
        <is>
          <t>U1493</t>
        </is>
      </c>
      <c r="AC1494" t="inlineStr">
        <is>
          <t>ME</t>
        </is>
      </c>
      <c r="AD1494" t="inlineStr"/>
      <c r="AE1494" t="n">
        <v>1.5</v>
      </c>
      <c r="AF1494" t="inlineStr"/>
      <c r="AG1494" t="inlineStr"/>
      <c r="AH1494" t="inlineStr"/>
      <c r="AI1494" t="n">
        <v>19.3</v>
      </c>
      <c r="AJ1494" t="n">
        <v>13.84</v>
      </c>
    </row>
    <row r="1495">
      <c r="A1495" t="inlineStr">
        <is>
          <t>Universidad Autónoma del Estado de Mexico (UAEMex)</t>
        </is>
      </c>
      <c r="B1495" t="inlineStr">
        <is>
          <t>Mexico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>
        <is>
          <t>1501+</t>
        </is>
      </c>
      <c r="O1495" t="inlineStr">
        <is>
          <t>9.7–22.7</t>
        </is>
      </c>
      <c r="P1495" t="n">
        <v>22.2</v>
      </c>
      <c r="Q1495" t="n">
        <v>9.300000000000001</v>
      </c>
      <c r="R1495" t="n">
        <v>7.7</v>
      </c>
      <c r="S1495" t="n">
        <v>17.4</v>
      </c>
      <c r="T1495" t="n">
        <v>26.9</v>
      </c>
      <c r="U1495" t="inlineStr">
        <is>
          <t>66,758</t>
        </is>
      </c>
      <c r="V1495" t="n">
        <v>10.6</v>
      </c>
      <c r="W1495" t="inlineStr">
        <is>
          <t>1%</t>
        </is>
      </c>
      <c r="X1495" t="inlineStr">
        <is>
          <t>59 : 41</t>
        </is>
      </c>
      <c r="Y1495" t="inlineStr"/>
      <c r="Z1495" t="n">
        <v>1501</v>
      </c>
      <c r="AA1495" t="n">
        <v>16.2</v>
      </c>
      <c r="AB1495" t="inlineStr">
        <is>
          <t>U1494</t>
        </is>
      </c>
      <c r="AC1495" t="inlineStr">
        <is>
          <t>ME</t>
        </is>
      </c>
      <c r="AD1495" t="n">
        <v>16.2</v>
      </c>
      <c r="AE1495" t="n">
        <v>7.7</v>
      </c>
      <c r="AF1495" t="n">
        <v>10.6</v>
      </c>
      <c r="AG1495" t="inlineStr">
        <is>
          <t>1:10.6</t>
        </is>
      </c>
      <c r="AH1495" t="inlineStr">
        <is>
          <t>1%</t>
        </is>
      </c>
      <c r="AI1495" t="inlineStr"/>
      <c r="AJ1495" t="n">
        <v>7.11</v>
      </c>
    </row>
    <row r="1496">
      <c r="A1496" t="inlineStr">
        <is>
          <t>Universidad Autónoma del Estado de Morelos (UAEM)</t>
        </is>
      </c>
      <c r="B1496" t="inlineStr">
        <is>
          <t>Mexico</t>
        </is>
      </c>
      <c r="C1496" t="inlineStr">
        <is>
          <t>1401+</t>
        </is>
      </c>
      <c r="D1496" t="inlineStr"/>
      <c r="E1496" t="n">
        <v>3.5</v>
      </c>
      <c r="F1496" t="n">
        <v>1.8</v>
      </c>
      <c r="G1496" t="n">
        <v>15.5</v>
      </c>
      <c r="H1496" t="n">
        <v>1.6</v>
      </c>
      <c r="I1496" t="n">
        <v>2.6</v>
      </c>
      <c r="J1496" t="n">
        <v>1.2</v>
      </c>
      <c r="K1496" t="n">
        <v>17.4</v>
      </c>
      <c r="L1496" t="n">
        <v>1.9</v>
      </c>
      <c r="M1496" t="n">
        <v>1</v>
      </c>
      <c r="N1496" t="inlineStr">
        <is>
          <t>1501+</t>
        </is>
      </c>
      <c r="O1496" t="inlineStr">
        <is>
          <t>9.7–22.7</t>
        </is>
      </c>
      <c r="P1496" t="n">
        <v>17.1</v>
      </c>
      <c r="Q1496" t="n">
        <v>9.1</v>
      </c>
      <c r="R1496" t="n">
        <v>9.1</v>
      </c>
      <c r="S1496" t="n">
        <v>28.8</v>
      </c>
      <c r="T1496" t="n">
        <v>27.4</v>
      </c>
      <c r="U1496" t="inlineStr">
        <is>
          <t>30,889</t>
        </is>
      </c>
      <c r="V1496" t="n">
        <v>17.4</v>
      </c>
      <c r="W1496" t="inlineStr">
        <is>
          <t>0%</t>
        </is>
      </c>
      <c r="X1496" t="inlineStr">
        <is>
          <t>56 : 44</t>
        </is>
      </c>
      <c r="Y1496" t="n">
        <v>1401</v>
      </c>
      <c r="Z1496" t="n">
        <v>1501</v>
      </c>
      <c r="AA1496" t="n">
        <v>16.2</v>
      </c>
      <c r="AB1496" t="inlineStr">
        <is>
          <t>U1495</t>
        </is>
      </c>
      <c r="AC1496" t="inlineStr">
        <is>
          <t>ME</t>
        </is>
      </c>
      <c r="AD1496" t="n">
        <v>16.2</v>
      </c>
      <c r="AE1496" t="n">
        <v>1.6</v>
      </c>
      <c r="AF1496" t="n">
        <v>17.4</v>
      </c>
      <c r="AG1496" t="inlineStr">
        <is>
          <t>1:17.4</t>
        </is>
      </c>
      <c r="AH1496" t="inlineStr">
        <is>
          <t>0%</t>
        </is>
      </c>
      <c r="AI1496" t="n">
        <v>3.5</v>
      </c>
      <c r="AJ1496" t="n">
        <v>5.27</v>
      </c>
    </row>
    <row r="1497">
      <c r="A1497" t="inlineStr">
        <is>
          <t>Universidad Autónoma Metropolitana (UAM)</t>
        </is>
      </c>
      <c r="B1497" t="inlineStr">
        <is>
          <t>Mexico</t>
        </is>
      </c>
      <c r="C1497" t="inlineStr">
        <is>
          <t>951-1000</t>
        </is>
      </c>
      <c r="D1497" t="inlineStr"/>
      <c r="E1497" t="n">
        <v>23.6</v>
      </c>
      <c r="F1497" t="n">
        <v>11.3</v>
      </c>
      <c r="G1497" t="n">
        <v>3.7</v>
      </c>
      <c r="H1497" t="n">
        <v>2.5</v>
      </c>
      <c r="I1497" t="n">
        <v>7.8</v>
      </c>
      <c r="J1497" t="n">
        <v>1.2</v>
      </c>
      <c r="K1497" t="n">
        <v>45.6</v>
      </c>
      <c r="L1497" t="n">
        <v>4.6</v>
      </c>
      <c r="M1497" t="n">
        <v>9.4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n">
        <v>951</v>
      </c>
      <c r="Z1497" t="inlineStr"/>
      <c r="AA1497" t="inlineStr"/>
      <c r="AB1497" t="inlineStr">
        <is>
          <t>U1496</t>
        </is>
      </c>
      <c r="AC1497" t="inlineStr">
        <is>
          <t>ME</t>
        </is>
      </c>
      <c r="AD1497" t="inlineStr"/>
      <c r="AE1497" t="n">
        <v>2.5</v>
      </c>
      <c r="AF1497" t="inlineStr"/>
      <c r="AG1497" t="inlineStr"/>
      <c r="AH1497" t="inlineStr"/>
      <c r="AI1497" t="n">
        <v>23.6</v>
      </c>
      <c r="AJ1497" t="n">
        <v>14.15</v>
      </c>
    </row>
    <row r="1498">
      <c r="A1498" t="inlineStr">
        <is>
          <t>Universidad Autonoma de Yucatan</t>
        </is>
      </c>
      <c r="B1498" t="inlineStr">
        <is>
          <t>Mexico</t>
        </is>
      </c>
      <c r="C1498" t="inlineStr">
        <is>
          <t>1401+</t>
        </is>
      </c>
      <c r="D1498" t="inlineStr"/>
      <c r="E1498" t="n">
        <v>5.5</v>
      </c>
      <c r="F1498" t="n">
        <v>1.5</v>
      </c>
      <c r="G1498" t="n">
        <v>4.9</v>
      </c>
      <c r="H1498" t="n">
        <v>2.4</v>
      </c>
      <c r="I1498" t="n">
        <v>2.2</v>
      </c>
      <c r="J1498" t="n">
        <v>1.1</v>
      </c>
      <c r="K1498" t="n">
        <v>10.1</v>
      </c>
      <c r="L1498" t="n">
        <v>1.6</v>
      </c>
      <c r="M1498" t="n">
        <v>1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n">
        <v>1401</v>
      </c>
      <c r="Z1498" t="inlineStr"/>
      <c r="AA1498" t="inlineStr"/>
      <c r="AB1498" t="inlineStr">
        <is>
          <t>U1497</t>
        </is>
      </c>
      <c r="AC1498" t="inlineStr">
        <is>
          <t>ME</t>
        </is>
      </c>
      <c r="AD1498" t="inlineStr"/>
      <c r="AE1498" t="n">
        <v>2.4</v>
      </c>
      <c r="AF1498" t="inlineStr"/>
      <c r="AG1498" t="inlineStr"/>
      <c r="AH1498" t="inlineStr"/>
      <c r="AI1498" t="n">
        <v>5.5</v>
      </c>
      <c r="AJ1498" t="n">
        <v>14.12</v>
      </c>
    </row>
    <row r="1499">
      <c r="A1499" t="inlineStr">
        <is>
          <t>Universidad Bernardo O'Higgins</t>
        </is>
      </c>
      <c r="B1499" t="inlineStr">
        <is>
          <t>Chile</t>
        </is>
      </c>
      <c r="C1499" t="inlineStr">
        <is>
          <t>1401+</t>
        </is>
      </c>
      <c r="D1499" t="inlineStr"/>
      <c r="E1499" t="n">
        <v>4.6</v>
      </c>
      <c r="F1499" t="n">
        <v>4.3</v>
      </c>
      <c r="G1499" t="n">
        <v>9.9</v>
      </c>
      <c r="H1499" t="n">
        <v>2</v>
      </c>
      <c r="I1499" t="n">
        <v>13.3</v>
      </c>
      <c r="J1499" t="n">
        <v>2.1</v>
      </c>
      <c r="K1499" t="n">
        <v>13.1</v>
      </c>
      <c r="L1499" t="n">
        <v>2.2</v>
      </c>
      <c r="M1499" t="n">
        <v>1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n">
        <v>1401</v>
      </c>
      <c r="Z1499" t="inlineStr"/>
      <c r="AA1499" t="inlineStr"/>
      <c r="AB1499" t="inlineStr">
        <is>
          <t>U1498</t>
        </is>
      </c>
      <c r="AC1499" t="inlineStr">
        <is>
          <t>CH</t>
        </is>
      </c>
      <c r="AD1499" t="inlineStr"/>
      <c r="AE1499" t="n">
        <v>2</v>
      </c>
      <c r="AF1499" t="inlineStr"/>
      <c r="AG1499" t="inlineStr"/>
      <c r="AH1499" t="inlineStr"/>
      <c r="AI1499" t="n">
        <v>4.6</v>
      </c>
      <c r="AJ1499" t="n">
        <v>13.99</v>
      </c>
    </row>
    <row r="1500">
      <c r="A1500" t="inlineStr">
        <is>
          <t>Universidad Carlos III de Madrid (UC3M)</t>
        </is>
      </c>
      <c r="B1500" t="inlineStr">
        <is>
          <t>Spain</t>
        </is>
      </c>
      <c r="C1500" t="inlineStr">
        <is>
          <t>285</t>
        </is>
      </c>
      <c r="D1500" t="n">
        <v>37.2</v>
      </c>
      <c r="E1500" t="n">
        <v>33.5</v>
      </c>
      <c r="F1500" t="n">
        <v>56.3</v>
      </c>
      <c r="G1500" t="n">
        <v>49.5</v>
      </c>
      <c r="H1500" t="n">
        <v>4.1</v>
      </c>
      <c r="I1500" t="n">
        <v>64.8</v>
      </c>
      <c r="J1500" t="n">
        <v>52.3</v>
      </c>
      <c r="K1500" t="n">
        <v>66.3</v>
      </c>
      <c r="L1500" t="n">
        <v>20.7</v>
      </c>
      <c r="M1500" t="n">
        <v>68.3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n">
        <v>285</v>
      </c>
      <c r="Z1500" t="inlineStr"/>
      <c r="AA1500" t="inlineStr"/>
      <c r="AB1500" t="inlineStr">
        <is>
          <t>U1499</t>
        </is>
      </c>
      <c r="AC1500" t="inlineStr">
        <is>
          <t>SP</t>
        </is>
      </c>
      <c r="AD1500" t="n">
        <v>37.2</v>
      </c>
      <c r="AE1500" t="n">
        <v>4.1</v>
      </c>
      <c r="AF1500" t="inlineStr"/>
      <c r="AG1500" t="inlineStr"/>
      <c r="AH1500" t="inlineStr"/>
      <c r="AI1500" t="n">
        <v>33.5</v>
      </c>
      <c r="AJ1500" t="n">
        <v>14.63</v>
      </c>
    </row>
    <row r="1501">
      <c r="A1501" t="inlineStr">
        <is>
          <t>Universidad Católica Andres Bello</t>
        </is>
      </c>
      <c r="B1501" t="inlineStr">
        <is>
          <t>Venezuela</t>
        </is>
      </c>
      <c r="C1501" t="inlineStr">
        <is>
          <t>741-750</t>
        </is>
      </c>
      <c r="D1501" t="inlineStr"/>
      <c r="E1501" t="n">
        <v>28.4</v>
      </c>
      <c r="F1501" t="n">
        <v>50.8</v>
      </c>
      <c r="G1501" t="n">
        <v>4.3</v>
      </c>
      <c r="H1501" t="n">
        <v>1</v>
      </c>
      <c r="I1501" t="n">
        <v>3.5</v>
      </c>
      <c r="J1501" t="n">
        <v>2.7</v>
      </c>
      <c r="K1501" t="inlineStr"/>
      <c r="L1501" t="n">
        <v>18.9</v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n">
        <v>741</v>
      </c>
      <c r="Z1501" t="inlineStr"/>
      <c r="AA1501" t="inlineStr"/>
      <c r="AB1501" t="inlineStr">
        <is>
          <t>U1500</t>
        </is>
      </c>
      <c r="AC1501" t="inlineStr">
        <is>
          <t>VE</t>
        </is>
      </c>
      <c r="AD1501" t="inlineStr"/>
      <c r="AE1501" t="n">
        <v>1</v>
      </c>
      <c r="AF1501" t="inlineStr"/>
      <c r="AG1501" t="inlineStr"/>
      <c r="AH1501" t="inlineStr"/>
      <c r="AI1501" t="n">
        <v>28.4</v>
      </c>
      <c r="AJ1501" t="n">
        <v>13.69</v>
      </c>
    </row>
    <row r="1502">
      <c r="A1502" t="inlineStr">
        <is>
          <t>Universidad Católica Boliviana "San Pablo"</t>
        </is>
      </c>
      <c r="B1502" t="inlineStr">
        <is>
          <t>Bolivia</t>
        </is>
      </c>
      <c r="C1502" t="inlineStr">
        <is>
          <t>1401+</t>
        </is>
      </c>
      <c r="D1502" t="inlineStr"/>
      <c r="E1502" t="n">
        <v>3.9</v>
      </c>
      <c r="F1502" t="n">
        <v>2.9</v>
      </c>
      <c r="G1502" t="n">
        <v>4.2</v>
      </c>
      <c r="H1502" t="n">
        <v>1.1</v>
      </c>
      <c r="I1502" t="n">
        <v>2.3</v>
      </c>
      <c r="J1502" t="n">
        <v>2.7</v>
      </c>
      <c r="K1502" t="n">
        <v>7.7</v>
      </c>
      <c r="L1502" t="n">
        <v>26.2</v>
      </c>
      <c r="M1502" t="n">
        <v>1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n">
        <v>1401</v>
      </c>
      <c r="Z1502" t="inlineStr"/>
      <c r="AA1502" t="inlineStr"/>
      <c r="AB1502" t="inlineStr">
        <is>
          <t>U1501</t>
        </is>
      </c>
      <c r="AC1502" t="inlineStr">
        <is>
          <t>BO</t>
        </is>
      </c>
      <c r="AD1502" t="inlineStr"/>
      <c r="AE1502" t="n">
        <v>1.1</v>
      </c>
      <c r="AF1502" t="inlineStr"/>
      <c r="AG1502" t="inlineStr"/>
      <c r="AH1502" t="inlineStr"/>
      <c r="AI1502" t="n">
        <v>3.9</v>
      </c>
      <c r="AJ1502" t="n">
        <v>13.72</v>
      </c>
    </row>
    <row r="1503">
      <c r="A1503" t="inlineStr">
        <is>
          <t xml:space="preserve">Universidad Católica de Colombia </t>
        </is>
      </c>
      <c r="B1503" t="inlineStr">
        <is>
          <t>Colombia</t>
        </is>
      </c>
      <c r="C1503" t="inlineStr">
        <is>
          <t>1401+</t>
        </is>
      </c>
      <c r="D1503" t="inlineStr"/>
      <c r="E1503" t="n">
        <v>6.1</v>
      </c>
      <c r="F1503" t="n">
        <v>3.2</v>
      </c>
      <c r="G1503" t="n">
        <v>5.1</v>
      </c>
      <c r="H1503" t="n">
        <v>1.6</v>
      </c>
      <c r="I1503" t="n">
        <v>3.3</v>
      </c>
      <c r="J1503" t="n">
        <v>1.1</v>
      </c>
      <c r="K1503" t="n">
        <v>5</v>
      </c>
      <c r="L1503" t="n">
        <v>2.3</v>
      </c>
      <c r="M1503" t="n">
        <v>1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n">
        <v>1401</v>
      </c>
      <c r="Z1503" t="inlineStr"/>
      <c r="AA1503" t="inlineStr"/>
      <c r="AB1503" t="inlineStr">
        <is>
          <t>U1502</t>
        </is>
      </c>
      <c r="AC1503" t="inlineStr">
        <is>
          <t>CO</t>
        </is>
      </c>
      <c r="AD1503" t="inlineStr"/>
      <c r="AE1503" t="n">
        <v>1.6</v>
      </c>
      <c r="AF1503" t="inlineStr"/>
      <c r="AG1503" t="inlineStr"/>
      <c r="AH1503" t="inlineStr"/>
      <c r="AI1503" t="n">
        <v>6.1</v>
      </c>
      <c r="AJ1503" t="n">
        <v>13.87</v>
      </c>
    </row>
    <row r="1504">
      <c r="A1504" t="inlineStr">
        <is>
          <t>Universidad Católica de la Santísima Concepción</t>
        </is>
      </c>
      <c r="B1504" t="inlineStr">
        <is>
          <t>Chile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>
        <is>
          <t>1501+</t>
        </is>
      </c>
      <c r="O1504" t="inlineStr">
        <is>
          <t>9.7–22.7</t>
        </is>
      </c>
      <c r="P1504" t="n">
        <v>13.2</v>
      </c>
      <c r="Q1504" t="n">
        <v>14.9</v>
      </c>
      <c r="R1504" t="n">
        <v>22.9</v>
      </c>
      <c r="S1504" t="n">
        <v>16.9</v>
      </c>
      <c r="T1504" t="n">
        <v>48.9</v>
      </c>
      <c r="U1504" t="inlineStr">
        <is>
          <t>9,879</t>
        </is>
      </c>
      <c r="V1504" t="n">
        <v>22.9</v>
      </c>
      <c r="W1504" t="inlineStr">
        <is>
          <t>0%</t>
        </is>
      </c>
      <c r="X1504" t="inlineStr">
        <is>
          <t>56 : 44</t>
        </is>
      </c>
      <c r="Y1504" t="inlineStr"/>
      <c r="Z1504" t="n">
        <v>1501</v>
      </c>
      <c r="AA1504" t="n">
        <v>16.2</v>
      </c>
      <c r="AB1504" t="inlineStr">
        <is>
          <t>U1503</t>
        </is>
      </c>
      <c r="AC1504" t="inlineStr">
        <is>
          <t>CH</t>
        </is>
      </c>
      <c r="AD1504" t="n">
        <v>16.2</v>
      </c>
      <c r="AE1504" t="n">
        <v>22.9</v>
      </c>
      <c r="AF1504" t="n">
        <v>22.9</v>
      </c>
      <c r="AG1504" t="inlineStr">
        <is>
          <t>1:22.9</t>
        </is>
      </c>
      <c r="AH1504" t="inlineStr">
        <is>
          <t>0%</t>
        </is>
      </c>
      <c r="AI1504" t="inlineStr"/>
      <c r="AJ1504" t="n">
        <v>19.97</v>
      </c>
    </row>
    <row r="1505">
      <c r="A1505" t="inlineStr">
        <is>
          <t>Universidad Católica de La Santísima Concepción - UCSC</t>
        </is>
      </c>
      <c r="B1505" t="inlineStr">
        <is>
          <t>Chile</t>
        </is>
      </c>
      <c r="C1505" t="inlineStr">
        <is>
          <t>1401+</t>
        </is>
      </c>
      <c r="D1505" t="inlineStr"/>
      <c r="E1505" t="n">
        <v>3.4</v>
      </c>
      <c r="F1505" t="n">
        <v>2.1</v>
      </c>
      <c r="G1505" t="n">
        <v>8.199999999999999</v>
      </c>
      <c r="H1505" t="n">
        <v>2.8</v>
      </c>
      <c r="I1505" t="n">
        <v>5.2</v>
      </c>
      <c r="J1505" t="n">
        <v>1.1</v>
      </c>
      <c r="K1505" t="n">
        <v>28.3</v>
      </c>
      <c r="L1505" t="n">
        <v>2</v>
      </c>
      <c r="M1505" t="n">
        <v>1.2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n">
        <v>1401</v>
      </c>
      <c r="Z1505" t="inlineStr"/>
      <c r="AA1505" t="inlineStr"/>
      <c r="AB1505" t="inlineStr">
        <is>
          <t>U1504</t>
        </is>
      </c>
      <c r="AC1505" t="inlineStr">
        <is>
          <t>CH</t>
        </is>
      </c>
      <c r="AD1505" t="inlineStr"/>
      <c r="AE1505" t="n">
        <v>2.8</v>
      </c>
      <c r="AF1505" t="inlineStr"/>
      <c r="AG1505" t="inlineStr"/>
      <c r="AH1505" t="inlineStr"/>
      <c r="AI1505" t="n">
        <v>3.4</v>
      </c>
      <c r="AJ1505" t="n">
        <v>14.24</v>
      </c>
    </row>
    <row r="1506">
      <c r="A1506" t="inlineStr">
        <is>
          <t>Universidad Católica de Santiago de Guayaquil</t>
        </is>
      </c>
      <c r="B1506" t="inlineStr">
        <is>
          <t>Ecuador</t>
        </is>
      </c>
      <c r="C1506" t="inlineStr">
        <is>
          <t>1401+</t>
        </is>
      </c>
      <c r="D1506" t="inlineStr"/>
      <c r="E1506" t="n">
        <v>4.5</v>
      </c>
      <c r="F1506" t="n">
        <v>3.4</v>
      </c>
      <c r="G1506" t="n">
        <v>1.3</v>
      </c>
      <c r="H1506" t="n">
        <v>1.5</v>
      </c>
      <c r="I1506" t="n">
        <v>16.7</v>
      </c>
      <c r="J1506" t="n">
        <v>1.2</v>
      </c>
      <c r="K1506" t="n">
        <v>10.3</v>
      </c>
      <c r="L1506" t="n">
        <v>16.6</v>
      </c>
      <c r="M1506" t="n">
        <v>1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n">
        <v>1401</v>
      </c>
      <c r="Z1506" t="inlineStr"/>
      <c r="AA1506" t="inlineStr"/>
      <c r="AB1506" t="inlineStr">
        <is>
          <t>U1505</t>
        </is>
      </c>
      <c r="AC1506" t="inlineStr">
        <is>
          <t>EC</t>
        </is>
      </c>
      <c r="AD1506" t="inlineStr"/>
      <c r="AE1506" t="n">
        <v>1.5</v>
      </c>
      <c r="AF1506" t="inlineStr"/>
      <c r="AG1506" t="inlineStr"/>
      <c r="AH1506" t="inlineStr"/>
      <c r="AI1506" t="n">
        <v>4.5</v>
      </c>
      <c r="AJ1506" t="n">
        <v>13.84</v>
      </c>
    </row>
    <row r="1507">
      <c r="A1507" t="inlineStr">
        <is>
          <t>Universidad Católica de Temuco</t>
        </is>
      </c>
      <c r="B1507" t="inlineStr">
        <is>
          <t>Chile</t>
        </is>
      </c>
      <c r="C1507" t="inlineStr">
        <is>
          <t>1401+</t>
        </is>
      </c>
      <c r="D1507" t="inlineStr"/>
      <c r="E1507" t="n">
        <v>4.1</v>
      </c>
      <c r="F1507" t="n">
        <v>1.4</v>
      </c>
      <c r="G1507" t="n">
        <v>2</v>
      </c>
      <c r="H1507" t="n">
        <v>4.8</v>
      </c>
      <c r="I1507" t="n">
        <v>35.1</v>
      </c>
      <c r="J1507" t="inlineStr"/>
      <c r="K1507" t="n">
        <v>14.3</v>
      </c>
      <c r="L1507" t="n">
        <v>2</v>
      </c>
      <c r="M1507" t="n">
        <v>1.1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n">
        <v>1401</v>
      </c>
      <c r="Z1507" t="inlineStr"/>
      <c r="AA1507" t="inlineStr"/>
      <c r="AB1507" t="inlineStr">
        <is>
          <t>U1506</t>
        </is>
      </c>
      <c r="AC1507" t="inlineStr">
        <is>
          <t>CH</t>
        </is>
      </c>
      <c r="AD1507" t="inlineStr"/>
      <c r="AE1507" t="n">
        <v>4.8</v>
      </c>
      <c r="AF1507" t="inlineStr"/>
      <c r="AG1507" t="inlineStr"/>
      <c r="AH1507" t="inlineStr"/>
      <c r="AI1507" t="n">
        <v>4.1</v>
      </c>
      <c r="AJ1507" t="n">
        <v>14.84</v>
      </c>
    </row>
    <row r="1508">
      <c r="A1508" t="inlineStr">
        <is>
          <t>Universidad Católica del Maule</t>
        </is>
      </c>
      <c r="B1508" t="inlineStr">
        <is>
          <t>Chile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>
        <is>
          <t>1501+</t>
        </is>
      </c>
      <c r="O1508" t="inlineStr">
        <is>
          <t>9.7–22.7</t>
        </is>
      </c>
      <c r="P1508" t="n">
        <v>13.4</v>
      </c>
      <c r="Q1508" t="n">
        <v>13.4</v>
      </c>
      <c r="R1508" t="n">
        <v>19.3</v>
      </c>
      <c r="S1508" t="n">
        <v>15.8</v>
      </c>
      <c r="T1508" t="n">
        <v>57.5</v>
      </c>
      <c r="U1508" t="inlineStr">
        <is>
          <t>10,891</t>
        </is>
      </c>
      <c r="V1508" t="n">
        <v>21.1</v>
      </c>
      <c r="W1508" t="inlineStr">
        <is>
          <t>3%</t>
        </is>
      </c>
      <c r="X1508" t="inlineStr">
        <is>
          <t>58 : 42</t>
        </is>
      </c>
      <c r="Y1508" t="inlineStr"/>
      <c r="Z1508" t="n">
        <v>1501</v>
      </c>
      <c r="AA1508" t="n">
        <v>16.2</v>
      </c>
      <c r="AB1508" t="inlineStr">
        <is>
          <t>U1507</t>
        </is>
      </c>
      <c r="AC1508" t="inlineStr">
        <is>
          <t>CH</t>
        </is>
      </c>
      <c r="AD1508" t="n">
        <v>16.2</v>
      </c>
      <c r="AE1508" t="n">
        <v>19.3</v>
      </c>
      <c r="AF1508" t="n">
        <v>21.1</v>
      </c>
      <c r="AG1508" t="inlineStr">
        <is>
          <t>1:21.1</t>
        </is>
      </c>
      <c r="AH1508" t="inlineStr">
        <is>
          <t>3%</t>
        </is>
      </c>
      <c r="AI1508" t="inlineStr"/>
      <c r="AJ1508" t="n">
        <v>20.17</v>
      </c>
    </row>
    <row r="1509">
      <c r="A1509" t="inlineStr">
        <is>
          <t>Universidad Católica del Norte</t>
        </is>
      </c>
      <c r="B1509" t="inlineStr">
        <is>
          <t>Chile</t>
        </is>
      </c>
      <c r="C1509" t="inlineStr">
        <is>
          <t>1201-1400</t>
        </is>
      </c>
      <c r="D1509" t="inlineStr"/>
      <c r="E1509" t="n">
        <v>4.5</v>
      </c>
      <c r="F1509" t="n">
        <v>2.3</v>
      </c>
      <c r="G1509" t="n">
        <v>6.7</v>
      </c>
      <c r="H1509" t="n">
        <v>5.9</v>
      </c>
      <c r="I1509" t="n">
        <v>13.5</v>
      </c>
      <c r="J1509" t="n">
        <v>3.8</v>
      </c>
      <c r="K1509" t="n">
        <v>46.2</v>
      </c>
      <c r="L1509" t="n">
        <v>2</v>
      </c>
      <c r="M1509" t="n">
        <v>8.5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n">
        <v>1201</v>
      </c>
      <c r="Z1509" t="inlineStr"/>
      <c r="AA1509" t="inlineStr"/>
      <c r="AB1509" t="inlineStr">
        <is>
          <t>U1508</t>
        </is>
      </c>
      <c r="AC1509" t="inlineStr">
        <is>
          <t>CH</t>
        </is>
      </c>
      <c r="AD1509" t="inlineStr"/>
      <c r="AE1509" t="n">
        <v>5.9</v>
      </c>
      <c r="AF1509" t="inlineStr"/>
      <c r="AG1509" t="inlineStr"/>
      <c r="AH1509" t="inlineStr"/>
      <c r="AI1509" t="n">
        <v>4.5</v>
      </c>
      <c r="AJ1509" t="n">
        <v>15.18</v>
      </c>
    </row>
    <row r="1510">
      <c r="A1510" t="inlineStr">
        <is>
          <t>Universidad Católica del Uruguay (UCU)</t>
        </is>
      </c>
      <c r="B1510" t="inlineStr">
        <is>
          <t>Uruguay</t>
        </is>
      </c>
      <c r="C1510" t="inlineStr">
        <is>
          <t>901-950</t>
        </is>
      </c>
      <c r="D1510" t="inlineStr"/>
      <c r="E1510" t="n">
        <v>12.5</v>
      </c>
      <c r="F1510" t="n">
        <v>12.8</v>
      </c>
      <c r="G1510" t="n">
        <v>64.40000000000001</v>
      </c>
      <c r="H1510" t="n">
        <v>1.2</v>
      </c>
      <c r="I1510" t="n">
        <v>9.5</v>
      </c>
      <c r="J1510" t="n">
        <v>2.8</v>
      </c>
      <c r="K1510" t="n">
        <v>6.4</v>
      </c>
      <c r="L1510" t="n">
        <v>15.1</v>
      </c>
      <c r="M1510" t="n">
        <v>1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n">
        <v>901</v>
      </c>
      <c r="Z1510" t="inlineStr"/>
      <c r="AA1510" t="inlineStr"/>
      <c r="AB1510" t="inlineStr">
        <is>
          <t>U1509</t>
        </is>
      </c>
      <c r="AC1510" t="inlineStr">
        <is>
          <t>UR</t>
        </is>
      </c>
      <c r="AD1510" t="inlineStr"/>
      <c r="AE1510" t="n">
        <v>1.2</v>
      </c>
      <c r="AF1510" t="inlineStr"/>
      <c r="AG1510" t="inlineStr"/>
      <c r="AH1510" t="inlineStr"/>
      <c r="AI1510" t="n">
        <v>12.5</v>
      </c>
      <c r="AJ1510" t="n">
        <v>13.75</v>
      </c>
    </row>
    <row r="1511">
      <c r="A1511" t="inlineStr">
        <is>
          <t>Universidad Católica San Antonio de Murcia (UCAM)</t>
        </is>
      </c>
      <c r="B1511" t="inlineStr">
        <is>
          <t>Spain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>
        <is>
          <t>1201–1500</t>
        </is>
      </c>
      <c r="O1511" t="inlineStr">
        <is>
          <t>22.8–28.2</t>
        </is>
      </c>
      <c r="P1511" t="n">
        <v>16.7</v>
      </c>
      <c r="Q1511" t="n">
        <v>14.3</v>
      </c>
      <c r="R1511" t="n">
        <v>33.9</v>
      </c>
      <c r="S1511" t="n">
        <v>25.3</v>
      </c>
      <c r="T1511" t="n">
        <v>54.2</v>
      </c>
      <c r="U1511" t="inlineStr">
        <is>
          <t>13,125</t>
        </is>
      </c>
      <c r="V1511" t="n">
        <v>19.5</v>
      </c>
      <c r="W1511" t="inlineStr">
        <is>
          <t>15%</t>
        </is>
      </c>
      <c r="X1511" t="inlineStr">
        <is>
          <t>53 : 47</t>
        </is>
      </c>
      <c r="Y1511" t="inlineStr"/>
      <c r="Z1511" t="n">
        <v>1201</v>
      </c>
      <c r="AA1511" t="n">
        <v>25.5</v>
      </c>
      <c r="AB1511" t="inlineStr">
        <is>
          <t>U1510</t>
        </is>
      </c>
      <c r="AC1511" t="inlineStr">
        <is>
          <t>SP</t>
        </is>
      </c>
      <c r="AD1511" t="n">
        <v>25.5</v>
      </c>
      <c r="AE1511" t="n">
        <v>33.9</v>
      </c>
      <c r="AF1511" t="n">
        <v>19.5</v>
      </c>
      <c r="AG1511" t="inlineStr">
        <is>
          <t>1:19.5</t>
        </is>
      </c>
      <c r="AH1511" t="inlineStr">
        <is>
          <t>15%</t>
        </is>
      </c>
      <c r="AI1511" t="inlineStr"/>
      <c r="AJ1511" t="n">
        <v>24.27</v>
      </c>
    </row>
    <row r="1512">
      <c r="A1512" t="inlineStr">
        <is>
          <t>Universidad Central de Chile</t>
        </is>
      </c>
      <c r="B1512" t="inlineStr">
        <is>
          <t>Chile</t>
        </is>
      </c>
      <c r="C1512" t="inlineStr">
        <is>
          <t>1401+</t>
        </is>
      </c>
      <c r="D1512" t="inlineStr"/>
      <c r="E1512" t="n">
        <v>4.4</v>
      </c>
      <c r="F1512" t="n">
        <v>2.4</v>
      </c>
      <c r="G1512" t="n">
        <v>3</v>
      </c>
      <c r="H1512" t="n">
        <v>1.7</v>
      </c>
      <c r="I1512" t="n">
        <v>4.6</v>
      </c>
      <c r="J1512" t="n">
        <v>1.8</v>
      </c>
      <c r="K1512" t="n">
        <v>9.4</v>
      </c>
      <c r="L1512" t="n">
        <v>2</v>
      </c>
      <c r="M1512" t="n">
        <v>1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n">
        <v>1401</v>
      </c>
      <c r="Z1512" t="inlineStr"/>
      <c r="AA1512" t="inlineStr"/>
      <c r="AB1512" t="inlineStr">
        <is>
          <t>U1511</t>
        </is>
      </c>
      <c r="AC1512" t="inlineStr">
        <is>
          <t>CH</t>
        </is>
      </c>
      <c r="AD1512" t="inlineStr"/>
      <c r="AE1512" t="n">
        <v>1.7</v>
      </c>
      <c r="AF1512" t="inlineStr"/>
      <c r="AG1512" t="inlineStr"/>
      <c r="AH1512" t="inlineStr"/>
      <c r="AI1512" t="n">
        <v>4.4</v>
      </c>
      <c r="AJ1512" t="n">
        <v>13.9</v>
      </c>
    </row>
    <row r="1513">
      <c r="A1513" t="inlineStr">
        <is>
          <t>Universidad Central de Venezuela</t>
        </is>
      </c>
      <c r="B1513" t="inlineStr">
        <is>
          <t>Venezuela</t>
        </is>
      </c>
      <c r="C1513" t="inlineStr">
        <is>
          <t>691-700</t>
        </is>
      </c>
      <c r="D1513" t="inlineStr"/>
      <c r="E1513" t="n">
        <v>21</v>
      </c>
      <c r="F1513" t="n">
        <v>40.6</v>
      </c>
      <c r="G1513" t="n">
        <v>27.1</v>
      </c>
      <c r="H1513" t="n">
        <v>1.1</v>
      </c>
      <c r="I1513" t="n">
        <v>2.6</v>
      </c>
      <c r="J1513" t="n">
        <v>1.4</v>
      </c>
      <c r="K1513" t="n">
        <v>21.5</v>
      </c>
      <c r="L1513" t="n">
        <v>51.4</v>
      </c>
      <c r="M1513" t="n">
        <v>1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n">
        <v>691</v>
      </c>
      <c r="Z1513" t="inlineStr"/>
      <c r="AA1513" t="inlineStr"/>
      <c r="AB1513" t="inlineStr">
        <is>
          <t>U1512</t>
        </is>
      </c>
      <c r="AC1513" t="inlineStr">
        <is>
          <t>VE</t>
        </is>
      </c>
      <c r="AD1513" t="inlineStr"/>
      <c r="AE1513" t="n">
        <v>1.1</v>
      </c>
      <c r="AF1513" t="inlineStr"/>
      <c r="AG1513" t="inlineStr"/>
      <c r="AH1513" t="inlineStr"/>
      <c r="AI1513" t="n">
        <v>21</v>
      </c>
      <c r="AJ1513" t="n">
        <v>13.72</v>
      </c>
    </row>
    <row r="1514">
      <c r="A1514" t="inlineStr">
        <is>
          <t>Universidad Central del Ecuador</t>
        </is>
      </c>
      <c r="B1514" t="inlineStr">
        <is>
          <t>Ecuador</t>
        </is>
      </c>
      <c r="C1514" t="inlineStr">
        <is>
          <t>1201-1400</t>
        </is>
      </c>
      <c r="D1514" t="inlineStr"/>
      <c r="E1514" t="n">
        <v>8.1</v>
      </c>
      <c r="F1514" t="n">
        <v>3.6</v>
      </c>
      <c r="G1514" t="n">
        <v>11.3</v>
      </c>
      <c r="H1514" t="n">
        <v>1.2</v>
      </c>
      <c r="I1514" t="inlineStr"/>
      <c r="J1514" t="inlineStr"/>
      <c r="K1514" t="n">
        <v>10.1</v>
      </c>
      <c r="L1514" t="n">
        <v>20.9</v>
      </c>
      <c r="M1514" t="n">
        <v>1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n">
        <v>1201</v>
      </c>
      <c r="Z1514" t="inlineStr"/>
      <c r="AA1514" t="inlineStr"/>
      <c r="AB1514" t="inlineStr">
        <is>
          <t>U1513</t>
        </is>
      </c>
      <c r="AC1514" t="inlineStr">
        <is>
          <t>EC</t>
        </is>
      </c>
      <c r="AD1514" t="inlineStr"/>
      <c r="AE1514" t="n">
        <v>1.2</v>
      </c>
      <c r="AF1514" t="inlineStr"/>
      <c r="AG1514" t="inlineStr"/>
      <c r="AH1514" t="inlineStr"/>
      <c r="AI1514" t="n">
        <v>8.1</v>
      </c>
      <c r="AJ1514" t="n">
        <v>13.75</v>
      </c>
    </row>
    <row r="1515">
      <c r="A1515" t="inlineStr">
        <is>
          <t>Universidad Central "Marta Abreu" de Las Villas</t>
        </is>
      </c>
      <c r="B1515" t="inlineStr">
        <is>
          <t>Cuba</t>
        </is>
      </c>
      <c r="C1515" t="inlineStr">
        <is>
          <t>901-950</t>
        </is>
      </c>
      <c r="D1515" t="inlineStr"/>
      <c r="E1515" t="n">
        <v>5.3</v>
      </c>
      <c r="F1515" t="n">
        <v>1.4</v>
      </c>
      <c r="G1515" t="n">
        <v>99.7</v>
      </c>
      <c r="H1515" t="n">
        <v>1.2</v>
      </c>
      <c r="I1515" t="n">
        <v>1.1</v>
      </c>
      <c r="J1515" t="n">
        <v>1.2</v>
      </c>
      <c r="K1515" t="n">
        <v>17.4</v>
      </c>
      <c r="L1515" t="n">
        <v>21.8</v>
      </c>
      <c r="M1515" t="n">
        <v>1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n">
        <v>901</v>
      </c>
      <c r="Z1515" t="inlineStr"/>
      <c r="AA1515" t="inlineStr"/>
      <c r="AB1515" t="inlineStr">
        <is>
          <t>U1514</t>
        </is>
      </c>
      <c r="AC1515" t="inlineStr">
        <is>
          <t>CU</t>
        </is>
      </c>
      <c r="AD1515" t="inlineStr"/>
      <c r="AE1515" t="n">
        <v>1.2</v>
      </c>
      <c r="AF1515" t="inlineStr"/>
      <c r="AG1515" t="inlineStr"/>
      <c r="AH1515" t="inlineStr"/>
      <c r="AI1515" t="n">
        <v>5.3</v>
      </c>
      <c r="AJ1515" t="n">
        <v>13.75</v>
      </c>
    </row>
    <row r="1516">
      <c r="A1516" t="inlineStr">
        <is>
          <t>Universidad de Alcalá</t>
        </is>
      </c>
      <c r="B1516" t="inlineStr">
        <is>
          <t>Spain</t>
        </is>
      </c>
      <c r="C1516" t="inlineStr">
        <is>
          <t>621-630</t>
        </is>
      </c>
      <c r="D1516" t="inlineStr"/>
      <c r="E1516" t="n">
        <v>9.699999999999999</v>
      </c>
      <c r="F1516" t="n">
        <v>5.8</v>
      </c>
      <c r="G1516" t="n">
        <v>60</v>
      </c>
      <c r="H1516" t="n">
        <v>5.6</v>
      </c>
      <c r="I1516" t="n">
        <v>10.6</v>
      </c>
      <c r="J1516" t="n">
        <v>44.9</v>
      </c>
      <c r="K1516" t="n">
        <v>77.09999999999999</v>
      </c>
      <c r="L1516" t="n">
        <v>7.7</v>
      </c>
      <c r="M1516" t="n">
        <v>59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n">
        <v>621</v>
      </c>
      <c r="Z1516" t="inlineStr"/>
      <c r="AA1516" t="inlineStr"/>
      <c r="AB1516" t="inlineStr">
        <is>
          <t>U1515</t>
        </is>
      </c>
      <c r="AC1516" t="inlineStr">
        <is>
          <t>SP</t>
        </is>
      </c>
      <c r="AD1516" t="inlineStr"/>
      <c r="AE1516" t="n">
        <v>5.6</v>
      </c>
      <c r="AF1516" t="inlineStr"/>
      <c r="AG1516" t="inlineStr"/>
      <c r="AH1516" t="inlineStr"/>
      <c r="AI1516" t="n">
        <v>9.699999999999999</v>
      </c>
      <c r="AJ1516" t="n">
        <v>15.09</v>
      </c>
    </row>
    <row r="1517">
      <c r="A1517" t="inlineStr">
        <is>
          <t>Universidad de Antioquia</t>
        </is>
      </c>
      <c r="B1517" t="inlineStr">
        <is>
          <t>Colombia</t>
        </is>
      </c>
      <c r="C1517" t="inlineStr">
        <is>
          <t>791-800</t>
        </is>
      </c>
      <c r="D1517" t="inlineStr"/>
      <c r="E1517" t="n">
        <v>29.1</v>
      </c>
      <c r="F1517" t="n">
        <v>20.8</v>
      </c>
      <c r="G1517" t="n">
        <v>4.1</v>
      </c>
      <c r="H1517" t="n">
        <v>4.3</v>
      </c>
      <c r="I1517" t="n">
        <v>3.7</v>
      </c>
      <c r="J1517" t="n">
        <v>1.2</v>
      </c>
      <c r="K1517" t="n">
        <v>48.1</v>
      </c>
      <c r="L1517" t="n">
        <v>20.4</v>
      </c>
      <c r="M1517" t="n">
        <v>2.9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n">
        <v>791</v>
      </c>
      <c r="Z1517" t="inlineStr"/>
      <c r="AA1517" t="inlineStr"/>
      <c r="AB1517" t="inlineStr">
        <is>
          <t>U1516</t>
        </is>
      </c>
      <c r="AC1517" t="inlineStr">
        <is>
          <t>CO</t>
        </is>
      </c>
      <c r="AD1517" t="inlineStr"/>
      <c r="AE1517" t="n">
        <v>4.3</v>
      </c>
      <c r="AF1517" t="inlineStr"/>
      <c r="AG1517" t="inlineStr"/>
      <c r="AH1517" t="inlineStr"/>
      <c r="AI1517" t="n">
        <v>29.1</v>
      </c>
      <c r="AJ1517" t="n">
        <v>14.69</v>
      </c>
    </row>
    <row r="1518">
      <c r="A1518" t="inlineStr">
        <is>
          <t>Universidad de Belgrano</t>
        </is>
      </c>
      <c r="B1518" t="inlineStr">
        <is>
          <t>Argentina</t>
        </is>
      </c>
      <c r="C1518" t="inlineStr">
        <is>
          <t>781-790</t>
        </is>
      </c>
      <c r="D1518" t="inlineStr"/>
      <c r="E1518" t="n">
        <v>9.4</v>
      </c>
      <c r="F1518" t="n">
        <v>12.7</v>
      </c>
      <c r="G1518" t="n">
        <v>86.59999999999999</v>
      </c>
      <c r="H1518" t="n">
        <v>1</v>
      </c>
      <c r="I1518" t="n">
        <v>5.4</v>
      </c>
      <c r="J1518" t="n">
        <v>24.1</v>
      </c>
      <c r="K1518" t="n">
        <v>2.5</v>
      </c>
      <c r="L1518" t="n">
        <v>37.4</v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n">
        <v>781</v>
      </c>
      <c r="Z1518" t="inlineStr"/>
      <c r="AA1518" t="inlineStr"/>
      <c r="AB1518" t="inlineStr">
        <is>
          <t>U1517</t>
        </is>
      </c>
      <c r="AC1518" t="inlineStr">
        <is>
          <t>AR</t>
        </is>
      </c>
      <c r="AD1518" t="inlineStr"/>
      <c r="AE1518" t="n">
        <v>1</v>
      </c>
      <c r="AF1518" t="inlineStr"/>
      <c r="AG1518" t="inlineStr"/>
      <c r="AH1518" t="inlineStr"/>
      <c r="AI1518" t="n">
        <v>9.4</v>
      </c>
      <c r="AJ1518" t="n">
        <v>13.69</v>
      </c>
    </row>
    <row r="1519">
      <c r="A1519" t="inlineStr">
        <is>
          <t>Universidad de Buenos Aires (UBA)</t>
        </is>
      </c>
      <c r="B1519" t="inlineStr">
        <is>
          <t>Argentina</t>
        </is>
      </c>
      <c r="C1519" t="inlineStr">
        <is>
          <t>71</t>
        </is>
      </c>
      <c r="D1519" t="n">
        <v>67.59999999999999</v>
      </c>
      <c r="E1519" t="n">
        <v>94.09999999999999</v>
      </c>
      <c r="F1519" t="n">
        <v>94.09999999999999</v>
      </c>
      <c r="G1519" t="n">
        <v>71.7</v>
      </c>
      <c r="H1519" t="n">
        <v>1.6</v>
      </c>
      <c r="I1519" t="n">
        <v>63.9</v>
      </c>
      <c r="J1519" t="n">
        <v>64.59999999999999</v>
      </c>
      <c r="K1519" t="n">
        <v>73.40000000000001</v>
      </c>
      <c r="L1519" t="n">
        <v>99.8</v>
      </c>
      <c r="M1519" t="n">
        <v>51.8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n">
        <v>71</v>
      </c>
      <c r="Z1519" t="inlineStr"/>
      <c r="AA1519" t="inlineStr"/>
      <c r="AB1519" t="inlineStr">
        <is>
          <t>U1518</t>
        </is>
      </c>
      <c r="AC1519" t="inlineStr">
        <is>
          <t>AR</t>
        </is>
      </c>
      <c r="AD1519" t="n">
        <v>67.59999999999999</v>
      </c>
      <c r="AE1519" t="n">
        <v>1.6</v>
      </c>
      <c r="AF1519" t="inlineStr"/>
      <c r="AG1519" t="inlineStr"/>
      <c r="AH1519" t="inlineStr"/>
      <c r="AI1519" t="n">
        <v>94.09999999999999</v>
      </c>
      <c r="AJ1519" t="n">
        <v>13.87</v>
      </c>
    </row>
    <row r="1520">
      <c r="A1520" t="inlineStr">
        <is>
          <t>Universidad de Córdoba - Colombia</t>
        </is>
      </c>
      <c r="B1520" t="inlineStr">
        <is>
          <t>Colombia</t>
        </is>
      </c>
      <c r="C1520" t="inlineStr">
        <is>
          <t>1401+</t>
        </is>
      </c>
      <c r="D1520" t="inlineStr"/>
      <c r="E1520" t="n">
        <v>11.8</v>
      </c>
      <c r="F1520" t="n">
        <v>2.4</v>
      </c>
      <c r="G1520" t="n">
        <v>2.9</v>
      </c>
      <c r="H1520" t="n">
        <v>1.4</v>
      </c>
      <c r="I1520" t="inlineStr"/>
      <c r="J1520" t="inlineStr"/>
      <c r="K1520" t="n">
        <v>5.3</v>
      </c>
      <c r="L1520" t="n">
        <v>1.9</v>
      </c>
      <c r="M1520" t="n">
        <v>1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n">
        <v>1401</v>
      </c>
      <c r="Z1520" t="inlineStr"/>
      <c r="AA1520" t="inlineStr"/>
      <c r="AB1520" t="inlineStr">
        <is>
          <t>U1519</t>
        </is>
      </c>
      <c r="AC1520" t="inlineStr">
        <is>
          <t>CO</t>
        </is>
      </c>
      <c r="AD1520" t="inlineStr"/>
      <c r="AE1520" t="n">
        <v>1.4</v>
      </c>
      <c r="AF1520" t="inlineStr"/>
      <c r="AG1520" t="inlineStr"/>
      <c r="AH1520" t="inlineStr"/>
      <c r="AI1520" t="n">
        <v>11.8</v>
      </c>
      <c r="AJ1520" t="n">
        <v>13.81</v>
      </c>
    </row>
    <row r="1521">
      <c r="A1521" t="inlineStr">
        <is>
          <t>Universidad de Córdoba - España</t>
        </is>
      </c>
      <c r="B1521" t="inlineStr">
        <is>
          <t>Spain</t>
        </is>
      </c>
      <c r="C1521" t="inlineStr">
        <is>
          <t>951-1000</t>
        </is>
      </c>
      <c r="D1521" t="inlineStr"/>
      <c r="E1521" t="n">
        <v>10.6</v>
      </c>
      <c r="F1521" t="n">
        <v>3.9</v>
      </c>
      <c r="G1521" t="n">
        <v>26.5</v>
      </c>
      <c r="H1521" t="n">
        <v>12</v>
      </c>
      <c r="I1521" t="inlineStr"/>
      <c r="J1521" t="inlineStr"/>
      <c r="K1521" t="n">
        <v>84.2</v>
      </c>
      <c r="L1521" t="n">
        <v>4.8</v>
      </c>
      <c r="M1521" t="n">
        <v>5.6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n">
        <v>951</v>
      </c>
      <c r="Z1521" t="inlineStr"/>
      <c r="AA1521" t="inlineStr"/>
      <c r="AB1521" t="inlineStr">
        <is>
          <t>U1520</t>
        </is>
      </c>
      <c r="AC1521" t="inlineStr">
        <is>
          <t>SP</t>
        </is>
      </c>
      <c r="AD1521" t="inlineStr"/>
      <c r="AE1521" t="n">
        <v>12</v>
      </c>
      <c r="AF1521" t="inlineStr"/>
      <c r="AG1521" t="inlineStr"/>
      <c r="AH1521" t="inlineStr"/>
      <c r="AI1521" t="n">
        <v>10.6</v>
      </c>
      <c r="AJ1521" t="n">
        <v>17.02</v>
      </c>
    </row>
    <row r="1522">
      <c r="A1522" t="inlineStr">
        <is>
          <t>Universidad de Caldas</t>
        </is>
      </c>
      <c r="B1522" t="inlineStr">
        <is>
          <t>Colombia</t>
        </is>
      </c>
      <c r="C1522" t="inlineStr">
        <is>
          <t>1401+</t>
        </is>
      </c>
      <c r="D1522" t="inlineStr"/>
      <c r="E1522" t="n">
        <v>4.9</v>
      </c>
      <c r="F1522" t="n">
        <v>2.4</v>
      </c>
      <c r="G1522" t="n">
        <v>3.5</v>
      </c>
      <c r="H1522" t="n">
        <v>1.5</v>
      </c>
      <c r="I1522" t="inlineStr"/>
      <c r="J1522" t="inlineStr"/>
      <c r="K1522" t="n">
        <v>6.5</v>
      </c>
      <c r="L1522" t="n">
        <v>2.1</v>
      </c>
      <c r="M1522" t="n">
        <v>1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n">
        <v>1401</v>
      </c>
      <c r="Z1522" t="inlineStr"/>
      <c r="AA1522" t="inlineStr"/>
      <c r="AB1522" t="inlineStr">
        <is>
          <t>U1521</t>
        </is>
      </c>
      <c r="AC1522" t="inlineStr">
        <is>
          <t>CO</t>
        </is>
      </c>
      <c r="AD1522" t="inlineStr"/>
      <c r="AE1522" t="n">
        <v>1.5</v>
      </c>
      <c r="AF1522" t="inlineStr"/>
      <c r="AG1522" t="inlineStr"/>
      <c r="AH1522" t="inlineStr"/>
      <c r="AI1522" t="n">
        <v>4.9</v>
      </c>
      <c r="AJ1522" t="n">
        <v>13.84</v>
      </c>
    </row>
    <row r="1523">
      <c r="A1523" t="inlineStr">
        <is>
          <t>Universidad de Carabobo</t>
        </is>
      </c>
      <c r="B1523" t="inlineStr">
        <is>
          <t>Venezuela</t>
        </is>
      </c>
      <c r="C1523" t="inlineStr">
        <is>
          <t>1401+</t>
        </is>
      </c>
      <c r="D1523" t="inlineStr"/>
      <c r="E1523" t="n">
        <v>4.7</v>
      </c>
      <c r="F1523" t="n">
        <v>6.1</v>
      </c>
      <c r="G1523" t="n">
        <v>17.4</v>
      </c>
      <c r="H1523" t="n">
        <v>1</v>
      </c>
      <c r="I1523" t="inlineStr"/>
      <c r="J1523" t="inlineStr"/>
      <c r="K1523" t="n">
        <v>3.1</v>
      </c>
      <c r="L1523" t="n">
        <v>5.4</v>
      </c>
      <c r="M1523" t="n">
        <v>1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n">
        <v>1401</v>
      </c>
      <c r="Z1523" t="inlineStr"/>
      <c r="AA1523" t="inlineStr"/>
      <c r="AB1523" t="inlineStr">
        <is>
          <t>U1522</t>
        </is>
      </c>
      <c r="AC1523" t="inlineStr">
        <is>
          <t>VE</t>
        </is>
      </c>
      <c r="AD1523" t="inlineStr"/>
      <c r="AE1523" t="n">
        <v>1</v>
      </c>
      <c r="AF1523" t="inlineStr"/>
      <c r="AG1523" t="inlineStr"/>
      <c r="AH1523" t="inlineStr"/>
      <c r="AI1523" t="n">
        <v>4.7</v>
      </c>
      <c r="AJ1523" t="n">
        <v>13.69</v>
      </c>
    </row>
    <row r="1524">
      <c r="A1524" t="inlineStr">
        <is>
          <t>Universidad de Cartagena</t>
        </is>
      </c>
      <c r="B1524" t="inlineStr">
        <is>
          <t>Colombia</t>
        </is>
      </c>
      <c r="C1524" t="inlineStr">
        <is>
          <t>1401+</t>
        </is>
      </c>
      <c r="D1524" t="inlineStr"/>
      <c r="E1524" t="n">
        <v>4.8</v>
      </c>
      <c r="F1524" t="n">
        <v>2.7</v>
      </c>
      <c r="G1524" t="n">
        <v>4</v>
      </c>
      <c r="H1524" t="n">
        <v>3.2</v>
      </c>
      <c r="I1524" t="n">
        <v>2.2</v>
      </c>
      <c r="J1524" t="n">
        <v>1.1</v>
      </c>
      <c r="K1524" t="n">
        <v>11</v>
      </c>
      <c r="L1524" t="n">
        <v>2.1</v>
      </c>
      <c r="M1524" t="n">
        <v>1.2</v>
      </c>
      <c r="N1524" t="inlineStr">
        <is>
          <t>1201–1500</t>
        </is>
      </c>
      <c r="O1524" t="inlineStr">
        <is>
          <t>22.8–28.2</t>
        </is>
      </c>
      <c r="P1524" t="n">
        <v>13.8</v>
      </c>
      <c r="Q1524" t="n">
        <v>9.1</v>
      </c>
      <c r="R1524" t="n">
        <v>56.8</v>
      </c>
      <c r="S1524" t="n">
        <v>17.2</v>
      </c>
      <c r="T1524" t="n">
        <v>41.2</v>
      </c>
      <c r="U1524" t="inlineStr">
        <is>
          <t>21,749</t>
        </is>
      </c>
      <c r="V1524" t="n">
        <v>21.3</v>
      </c>
      <c r="W1524" t="inlineStr">
        <is>
          <t>1%</t>
        </is>
      </c>
      <c r="X1524" t="inlineStr">
        <is>
          <t>59 : 41</t>
        </is>
      </c>
      <c r="Y1524" t="n">
        <v>1401</v>
      </c>
      <c r="Z1524" t="n">
        <v>1201</v>
      </c>
      <c r="AA1524" t="n">
        <v>25.5</v>
      </c>
      <c r="AB1524" t="inlineStr">
        <is>
          <t>U1523</t>
        </is>
      </c>
      <c r="AC1524" t="inlineStr">
        <is>
          <t>CO</t>
        </is>
      </c>
      <c r="AD1524" t="n">
        <v>25.5</v>
      </c>
      <c r="AE1524" t="n">
        <v>3.2</v>
      </c>
      <c r="AF1524" t="n">
        <v>21.3</v>
      </c>
      <c r="AG1524" t="inlineStr">
        <is>
          <t>1:21.3</t>
        </is>
      </c>
      <c r="AH1524" t="inlineStr">
        <is>
          <t>1%</t>
        </is>
      </c>
      <c r="AI1524" t="n">
        <v>4.8</v>
      </c>
      <c r="AJ1524" t="n">
        <v>9.1</v>
      </c>
    </row>
    <row r="1525">
      <c r="A1525" t="inlineStr">
        <is>
          <t>Universidad de Castilla-La Mancha</t>
        </is>
      </c>
      <c r="B1525" t="inlineStr">
        <is>
          <t>Spain</t>
        </is>
      </c>
      <c r="C1525" t="inlineStr">
        <is>
          <t>1001-1200</t>
        </is>
      </c>
      <c r="D1525" t="inlineStr"/>
      <c r="E1525" t="n">
        <v>7.9</v>
      </c>
      <c r="F1525" t="n">
        <v>2.1</v>
      </c>
      <c r="G1525" t="n">
        <v>16.9</v>
      </c>
      <c r="H1525" t="n">
        <v>9.699999999999999</v>
      </c>
      <c r="I1525" t="n">
        <v>2.1</v>
      </c>
      <c r="J1525" t="n">
        <v>5.2</v>
      </c>
      <c r="K1525" t="n">
        <v>71.59999999999999</v>
      </c>
      <c r="L1525" t="n">
        <v>4.9</v>
      </c>
      <c r="M1525" t="n">
        <v>8.800000000000001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n">
        <v>1001</v>
      </c>
      <c r="Z1525" t="inlineStr"/>
      <c r="AA1525" t="inlineStr"/>
      <c r="AB1525" t="inlineStr">
        <is>
          <t>U1524</t>
        </is>
      </c>
      <c r="AC1525" t="inlineStr">
        <is>
          <t>SP</t>
        </is>
      </c>
      <c r="AD1525" t="inlineStr"/>
      <c r="AE1525" t="n">
        <v>9.699999999999999</v>
      </c>
      <c r="AF1525" t="inlineStr"/>
      <c r="AG1525" t="inlineStr"/>
      <c r="AH1525" t="inlineStr"/>
      <c r="AI1525" t="n">
        <v>7.9</v>
      </c>
      <c r="AJ1525" t="n">
        <v>16.33</v>
      </c>
    </row>
    <row r="1526">
      <c r="A1526" t="inlineStr">
        <is>
          <t>Universidad de Chile</t>
        </is>
      </c>
      <c r="B1526" t="inlineStr">
        <is>
          <t>Chile</t>
        </is>
      </c>
      <c r="C1526" t="inlineStr">
        <is>
          <t>139</t>
        </is>
      </c>
      <c r="D1526" t="n">
        <v>53.7</v>
      </c>
      <c r="E1526" t="n">
        <v>82.8</v>
      </c>
      <c r="F1526" t="n">
        <v>90</v>
      </c>
      <c r="G1526" t="n">
        <v>8</v>
      </c>
      <c r="H1526" t="n">
        <v>11.2</v>
      </c>
      <c r="I1526" t="n">
        <v>8.5</v>
      </c>
      <c r="J1526" t="n">
        <v>4.5</v>
      </c>
      <c r="K1526" t="n">
        <v>77.09999999999999</v>
      </c>
      <c r="L1526" t="n">
        <v>96.09999999999999</v>
      </c>
      <c r="M1526" t="n">
        <v>64.09999999999999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n">
        <v>139</v>
      </c>
      <c r="Z1526" t="inlineStr"/>
      <c r="AA1526" t="inlineStr"/>
      <c r="AB1526" t="inlineStr">
        <is>
          <t>U1525</t>
        </is>
      </c>
      <c r="AC1526" t="inlineStr">
        <is>
          <t>CH</t>
        </is>
      </c>
      <c r="AD1526" t="n">
        <v>53.7</v>
      </c>
      <c r="AE1526" t="n">
        <v>11.2</v>
      </c>
      <c r="AF1526" t="inlineStr"/>
      <c r="AG1526" t="inlineStr"/>
      <c r="AH1526" t="inlineStr"/>
      <c r="AI1526" t="n">
        <v>82.8</v>
      </c>
      <c r="AJ1526" t="n">
        <v>16.78</v>
      </c>
    </row>
    <row r="1527">
      <c r="A1527" t="inlineStr">
        <is>
          <t>Universidad de Concepción</t>
        </is>
      </c>
      <c r="B1527" t="inlineStr">
        <is>
          <t>Chile</t>
        </is>
      </c>
      <c r="C1527" t="inlineStr">
        <is>
          <t>631-640</t>
        </is>
      </c>
      <c r="D1527" t="inlineStr"/>
      <c r="E1527" t="n">
        <v>26.2</v>
      </c>
      <c r="F1527" t="n">
        <v>22.4</v>
      </c>
      <c r="G1527" t="n">
        <v>14.8</v>
      </c>
      <c r="H1527" t="n">
        <v>6.7</v>
      </c>
      <c r="I1527" t="n">
        <v>10.6</v>
      </c>
      <c r="J1527" t="n">
        <v>1.7</v>
      </c>
      <c r="K1527" t="n">
        <v>61.1</v>
      </c>
      <c r="L1527" t="n">
        <v>12.5</v>
      </c>
      <c r="M1527" t="n">
        <v>45.9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n">
        <v>631</v>
      </c>
      <c r="Z1527" t="inlineStr"/>
      <c r="AA1527" t="inlineStr"/>
      <c r="AB1527" t="inlineStr">
        <is>
          <t>U1526</t>
        </is>
      </c>
      <c r="AC1527" t="inlineStr">
        <is>
          <t>CH</t>
        </is>
      </c>
      <c r="AD1527" t="inlineStr"/>
      <c r="AE1527" t="n">
        <v>6.7</v>
      </c>
      <c r="AF1527" t="inlineStr"/>
      <c r="AG1527" t="inlineStr"/>
      <c r="AH1527" t="inlineStr"/>
      <c r="AI1527" t="n">
        <v>26.2</v>
      </c>
      <c r="AJ1527" t="n">
        <v>15.42</v>
      </c>
    </row>
    <row r="1528">
      <c r="A1528" t="inlineStr">
        <is>
          <t>Universidad de Costa Rica</t>
        </is>
      </c>
      <c r="B1528" t="inlineStr">
        <is>
          <t>Costa Rica</t>
        </is>
      </c>
      <c r="C1528" t="inlineStr">
        <is>
          <t>497</t>
        </is>
      </c>
      <c r="D1528" t="n">
        <v>24.2</v>
      </c>
      <c r="E1528" t="n">
        <v>35.4</v>
      </c>
      <c r="F1528" t="n">
        <v>24.3</v>
      </c>
      <c r="G1528" t="n">
        <v>32.3</v>
      </c>
      <c r="H1528" t="n">
        <v>1.6</v>
      </c>
      <c r="I1528" t="n">
        <v>2.4</v>
      </c>
      <c r="J1528" t="n">
        <v>2</v>
      </c>
      <c r="K1528" t="n">
        <v>45.5</v>
      </c>
      <c r="L1528" t="n">
        <v>81.59999999999999</v>
      </c>
      <c r="M1528" t="n">
        <v>16.9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n">
        <v>497</v>
      </c>
      <c r="Z1528" t="inlineStr"/>
      <c r="AA1528" t="inlineStr"/>
      <c r="AB1528" t="inlineStr">
        <is>
          <t>U1527</t>
        </is>
      </c>
      <c r="AC1528" t="inlineStr">
        <is>
          <t>CO</t>
        </is>
      </c>
      <c r="AD1528" t="n">
        <v>24.2</v>
      </c>
      <c r="AE1528" t="n">
        <v>1.6</v>
      </c>
      <c r="AF1528" t="inlineStr"/>
      <c r="AG1528" t="inlineStr"/>
      <c r="AH1528" t="inlineStr"/>
      <c r="AI1528" t="n">
        <v>35.4</v>
      </c>
      <c r="AJ1528" t="n">
        <v>13.87</v>
      </c>
    </row>
    <row r="1529">
      <c r="A1529" t="inlineStr">
        <is>
          <t>Universidad de Cuenca</t>
        </is>
      </c>
      <c r="B1529" t="inlineStr">
        <is>
          <t>Ecuador</t>
        </is>
      </c>
      <c r="C1529" t="inlineStr">
        <is>
          <t>1401+</t>
        </is>
      </c>
      <c r="D1529" t="inlineStr"/>
      <c r="E1529" t="n">
        <v>7.2</v>
      </c>
      <c r="F1529" t="n">
        <v>2.2</v>
      </c>
      <c r="G1529" t="n">
        <v>4.9</v>
      </c>
      <c r="H1529" t="n">
        <v>2</v>
      </c>
      <c r="I1529" t="n">
        <v>2.2</v>
      </c>
      <c r="J1529" t="n">
        <v>1.4</v>
      </c>
      <c r="K1529" t="n">
        <v>24.4</v>
      </c>
      <c r="L1529" t="n">
        <v>7.8</v>
      </c>
      <c r="M1529" t="n">
        <v>2.7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n">
        <v>1401</v>
      </c>
      <c r="Z1529" t="inlineStr"/>
      <c r="AA1529" t="inlineStr"/>
      <c r="AB1529" t="inlineStr">
        <is>
          <t>U1528</t>
        </is>
      </c>
      <c r="AC1529" t="inlineStr">
        <is>
          <t>EC</t>
        </is>
      </c>
      <c r="AD1529" t="inlineStr"/>
      <c r="AE1529" t="n">
        <v>2</v>
      </c>
      <c r="AF1529" t="inlineStr"/>
      <c r="AG1529" t="inlineStr"/>
      <c r="AH1529" t="inlineStr"/>
      <c r="AI1529" t="n">
        <v>7.2</v>
      </c>
      <c r="AJ1529" t="n">
        <v>13.99</v>
      </c>
    </row>
    <row r="1530">
      <c r="A1530" t="inlineStr">
        <is>
          <t>Universidad de Guadalajara (UDG)</t>
        </is>
      </c>
      <c r="B1530" t="inlineStr">
        <is>
          <t>Mexico</t>
        </is>
      </c>
      <c r="C1530" t="inlineStr">
        <is>
          <t>1001-1200</t>
        </is>
      </c>
      <c r="D1530" t="inlineStr"/>
      <c r="E1530" t="n">
        <v>18.9</v>
      </c>
      <c r="F1530" t="n">
        <v>7.5</v>
      </c>
      <c r="G1530" t="n">
        <v>17.1</v>
      </c>
      <c r="H1530" t="n">
        <v>1.2</v>
      </c>
      <c r="I1530" t="n">
        <v>2.2</v>
      </c>
      <c r="J1530" t="n">
        <v>1.1</v>
      </c>
      <c r="K1530" t="n">
        <v>47.1</v>
      </c>
      <c r="L1530" t="n">
        <v>5.8</v>
      </c>
      <c r="M1530" t="n">
        <v>6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n">
        <v>1001</v>
      </c>
      <c r="Z1530" t="inlineStr"/>
      <c r="AA1530" t="inlineStr"/>
      <c r="AB1530" t="inlineStr">
        <is>
          <t>U1529</t>
        </is>
      </c>
      <c r="AC1530" t="inlineStr">
        <is>
          <t>ME</t>
        </is>
      </c>
      <c r="AD1530" t="inlineStr"/>
      <c r="AE1530" t="n">
        <v>1.2</v>
      </c>
      <c r="AF1530" t="inlineStr"/>
      <c r="AG1530" t="inlineStr"/>
      <c r="AH1530" t="inlineStr"/>
      <c r="AI1530" t="n">
        <v>18.9</v>
      </c>
      <c r="AJ1530" t="n">
        <v>13.75</v>
      </c>
    </row>
    <row r="1531">
      <c r="A1531" t="inlineStr">
        <is>
          <t>Universidad de Guanajuato</t>
        </is>
      </c>
      <c r="B1531" t="inlineStr">
        <is>
          <t>Mexico</t>
        </is>
      </c>
      <c r="C1531" t="inlineStr">
        <is>
          <t>1401+</t>
        </is>
      </c>
      <c r="D1531" t="inlineStr"/>
      <c r="E1531" t="n">
        <v>7.1</v>
      </c>
      <c r="F1531" t="n">
        <v>2.1</v>
      </c>
      <c r="G1531" t="n">
        <v>5</v>
      </c>
      <c r="H1531" t="n">
        <v>2.8</v>
      </c>
      <c r="I1531" t="n">
        <v>5.9</v>
      </c>
      <c r="J1531" t="n">
        <v>1.3</v>
      </c>
      <c r="K1531" t="n">
        <v>22.9</v>
      </c>
      <c r="L1531" t="n">
        <v>6.8</v>
      </c>
      <c r="M1531" t="n">
        <v>1.1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n">
        <v>1401</v>
      </c>
      <c r="Z1531" t="inlineStr"/>
      <c r="AA1531" t="inlineStr"/>
      <c r="AB1531" t="inlineStr">
        <is>
          <t>U1530</t>
        </is>
      </c>
      <c r="AC1531" t="inlineStr">
        <is>
          <t>ME</t>
        </is>
      </c>
      <c r="AD1531" t="inlineStr"/>
      <c r="AE1531" t="n">
        <v>2.8</v>
      </c>
      <c r="AF1531" t="inlineStr"/>
      <c r="AG1531" t="inlineStr"/>
      <c r="AH1531" t="inlineStr"/>
      <c r="AI1531" t="n">
        <v>7.1</v>
      </c>
      <c r="AJ1531" t="n">
        <v>14.24</v>
      </c>
    </row>
    <row r="1532">
      <c r="A1532" t="inlineStr">
        <is>
          <t>Universidad de La Frontera (UFRO)</t>
        </is>
      </c>
      <c r="B1532" t="inlineStr">
        <is>
          <t>Chile</t>
        </is>
      </c>
      <c r="C1532" t="inlineStr">
        <is>
          <t>1001-1200</t>
        </is>
      </c>
      <c r="D1532" t="inlineStr"/>
      <c r="E1532" t="n">
        <v>10.3</v>
      </c>
      <c r="F1532" t="n">
        <v>3</v>
      </c>
      <c r="G1532" t="n">
        <v>4.1</v>
      </c>
      <c r="H1532" t="n">
        <v>9.300000000000001</v>
      </c>
      <c r="I1532" t="n">
        <v>6</v>
      </c>
      <c r="J1532" t="n">
        <v>1.2</v>
      </c>
      <c r="K1532" t="n">
        <v>53.3</v>
      </c>
      <c r="L1532" t="n">
        <v>2.3</v>
      </c>
      <c r="M1532" t="n">
        <v>1.5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n">
        <v>1001</v>
      </c>
      <c r="Z1532" t="inlineStr"/>
      <c r="AA1532" t="inlineStr"/>
      <c r="AB1532" t="inlineStr">
        <is>
          <t>U1531</t>
        </is>
      </c>
      <c r="AC1532" t="inlineStr">
        <is>
          <t>CH</t>
        </is>
      </c>
      <c r="AD1532" t="inlineStr"/>
      <c r="AE1532" t="n">
        <v>9.300000000000001</v>
      </c>
      <c r="AF1532" t="inlineStr"/>
      <c r="AG1532" t="inlineStr"/>
      <c r="AH1532" t="inlineStr"/>
      <c r="AI1532" t="n">
        <v>10.3</v>
      </c>
      <c r="AJ1532" t="n">
        <v>16.21</v>
      </c>
    </row>
    <row r="1533">
      <c r="A1533" t="inlineStr">
        <is>
          <t>Universidad de La Habana</t>
        </is>
      </c>
      <c r="B1533" t="inlineStr">
        <is>
          <t>Cuba</t>
        </is>
      </c>
      <c r="C1533" t="inlineStr">
        <is>
          <t>691-700</t>
        </is>
      </c>
      <c r="D1533" t="inlineStr"/>
      <c r="E1533" t="n">
        <v>17</v>
      </c>
      <c r="F1533" t="n">
        <v>10.6</v>
      </c>
      <c r="G1533" t="n">
        <v>72.8</v>
      </c>
      <c r="H1533" t="n">
        <v>1.5</v>
      </c>
      <c r="I1533" t="n">
        <v>1.8</v>
      </c>
      <c r="J1533" t="n">
        <v>3.7</v>
      </c>
      <c r="K1533" t="n">
        <v>17.8</v>
      </c>
      <c r="L1533" t="n">
        <v>76.5</v>
      </c>
      <c r="M1533" t="n">
        <v>1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n">
        <v>691</v>
      </c>
      <c r="Z1533" t="inlineStr"/>
      <c r="AA1533" t="inlineStr"/>
      <c r="AB1533" t="inlineStr">
        <is>
          <t>U1532</t>
        </is>
      </c>
      <c r="AC1533" t="inlineStr">
        <is>
          <t>CU</t>
        </is>
      </c>
      <c r="AD1533" t="inlineStr"/>
      <c r="AE1533" t="n">
        <v>1.5</v>
      </c>
      <c r="AF1533" t="inlineStr"/>
      <c r="AG1533" t="inlineStr"/>
      <c r="AH1533" t="inlineStr"/>
      <c r="AI1533" t="n">
        <v>17</v>
      </c>
      <c r="AJ1533" t="n">
        <v>13.84</v>
      </c>
    </row>
    <row r="1534">
      <c r="A1534" t="inlineStr">
        <is>
          <t>Universidad de la República (Udelar)</t>
        </is>
      </c>
      <c r="B1534" t="inlineStr">
        <is>
          <t>Uruguay</t>
        </is>
      </c>
      <c r="C1534" t="inlineStr">
        <is>
          <t>661-670</t>
        </is>
      </c>
      <c r="D1534" t="inlineStr"/>
      <c r="E1534" t="n">
        <v>27.1</v>
      </c>
      <c r="F1534" t="n">
        <v>13.7</v>
      </c>
      <c r="G1534" t="n">
        <v>14.2</v>
      </c>
      <c r="H1534" t="n">
        <v>1.6</v>
      </c>
      <c r="I1534" t="n">
        <v>7.9</v>
      </c>
      <c r="J1534" t="n">
        <v>2.3</v>
      </c>
      <c r="K1534" t="n">
        <v>62.4</v>
      </c>
      <c r="L1534" t="n">
        <v>87.7</v>
      </c>
      <c r="M1534" t="n">
        <v>2.6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n">
        <v>661</v>
      </c>
      <c r="Z1534" t="inlineStr"/>
      <c r="AA1534" t="inlineStr"/>
      <c r="AB1534" t="inlineStr">
        <is>
          <t>U1533</t>
        </is>
      </c>
      <c r="AC1534" t="inlineStr">
        <is>
          <t>UR</t>
        </is>
      </c>
      <c r="AD1534" t="inlineStr"/>
      <c r="AE1534" t="n">
        <v>1.6</v>
      </c>
      <c r="AF1534" t="inlineStr"/>
      <c r="AG1534" t="inlineStr"/>
      <c r="AH1534" t="inlineStr"/>
      <c r="AI1534" t="n">
        <v>27.1</v>
      </c>
      <c r="AJ1534" t="n">
        <v>13.87</v>
      </c>
    </row>
    <row r="1535">
      <c r="A1535" t="inlineStr">
        <is>
          <t>Universidad de La Sabana</t>
        </is>
      </c>
      <c r="B1535" t="inlineStr">
        <is>
          <t>Colombia</t>
        </is>
      </c>
      <c r="C1535" t="inlineStr">
        <is>
          <t>951-1000</t>
        </is>
      </c>
      <c r="D1535" t="inlineStr"/>
      <c r="E1535" t="n">
        <v>21</v>
      </c>
      <c r="F1535" t="n">
        <v>25.5</v>
      </c>
      <c r="G1535" t="n">
        <v>14.2</v>
      </c>
      <c r="H1535" t="n">
        <v>2</v>
      </c>
      <c r="I1535" t="n">
        <v>3.9</v>
      </c>
      <c r="J1535" t="n">
        <v>1.8</v>
      </c>
      <c r="K1535" t="n">
        <v>13.1</v>
      </c>
      <c r="L1535" t="n">
        <v>10.5</v>
      </c>
      <c r="M1535" t="n">
        <v>1.1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n">
        <v>951</v>
      </c>
      <c r="Z1535" t="inlineStr"/>
      <c r="AA1535" t="inlineStr"/>
      <c r="AB1535" t="inlineStr">
        <is>
          <t>U1534</t>
        </is>
      </c>
      <c r="AC1535" t="inlineStr">
        <is>
          <t>CO</t>
        </is>
      </c>
      <c r="AD1535" t="inlineStr"/>
      <c r="AE1535" t="n">
        <v>2</v>
      </c>
      <c r="AF1535" t="inlineStr"/>
      <c r="AG1535" t="inlineStr"/>
      <c r="AH1535" t="inlineStr"/>
      <c r="AI1535" t="n">
        <v>21</v>
      </c>
      <c r="AJ1535" t="n">
        <v>13.99</v>
      </c>
    </row>
    <row r="1536">
      <c r="A1536" t="inlineStr">
        <is>
          <t>Universidad de La Salle</t>
        </is>
      </c>
      <c r="B1536" t="inlineStr">
        <is>
          <t>Colombia</t>
        </is>
      </c>
      <c r="C1536" t="inlineStr">
        <is>
          <t>1401+</t>
        </is>
      </c>
      <c r="D1536" t="inlineStr"/>
      <c r="E1536" t="n">
        <v>6</v>
      </c>
      <c r="F1536" t="n">
        <v>3.9</v>
      </c>
      <c r="G1536" t="n">
        <v>6.4</v>
      </c>
      <c r="H1536" t="n">
        <v>1.3</v>
      </c>
      <c r="I1536" t="n">
        <v>2.9</v>
      </c>
      <c r="J1536" t="n">
        <v>1.3</v>
      </c>
      <c r="K1536" t="n">
        <v>5</v>
      </c>
      <c r="L1536" t="n">
        <v>2.2</v>
      </c>
      <c r="M1536" t="n">
        <v>1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n">
        <v>1401</v>
      </c>
      <c r="Z1536" t="inlineStr"/>
      <c r="AA1536" t="inlineStr"/>
      <c r="AB1536" t="inlineStr">
        <is>
          <t>U1535</t>
        </is>
      </c>
      <c r="AC1536" t="inlineStr">
        <is>
          <t>CO</t>
        </is>
      </c>
      <c r="AD1536" t="inlineStr"/>
      <c r="AE1536" t="n">
        <v>1.3</v>
      </c>
      <c r="AF1536" t="inlineStr"/>
      <c r="AG1536" t="inlineStr"/>
      <c r="AH1536" t="inlineStr"/>
      <c r="AI1536" t="n">
        <v>6</v>
      </c>
      <c r="AJ1536" t="n">
        <v>13.78</v>
      </c>
    </row>
    <row r="1537">
      <c r="A1537" t="inlineStr">
        <is>
          <t>Universidad de La Serena</t>
        </is>
      </c>
      <c r="B1537" t="inlineStr">
        <is>
          <t>Chile</t>
        </is>
      </c>
      <c r="C1537" t="inlineStr">
        <is>
          <t>1401+</t>
        </is>
      </c>
      <c r="D1537" t="inlineStr"/>
      <c r="E1537" t="n">
        <v>4</v>
      </c>
      <c r="F1537" t="n">
        <v>2.6</v>
      </c>
      <c r="G1537" t="n">
        <v>3.3</v>
      </c>
      <c r="H1537" t="n">
        <v>5.6</v>
      </c>
      <c r="I1537" t="n">
        <v>4.4</v>
      </c>
      <c r="J1537" t="n">
        <v>1.3</v>
      </c>
      <c r="K1537" t="n">
        <v>14.7</v>
      </c>
      <c r="L1537" t="n">
        <v>2.1</v>
      </c>
      <c r="M1537" t="n">
        <v>1.1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n">
        <v>1401</v>
      </c>
      <c r="Z1537" t="inlineStr"/>
      <c r="AA1537" t="inlineStr"/>
      <c r="AB1537" t="inlineStr">
        <is>
          <t>U1536</t>
        </is>
      </c>
      <c r="AC1537" t="inlineStr">
        <is>
          <t>CH</t>
        </is>
      </c>
      <c r="AD1537" t="inlineStr"/>
      <c r="AE1537" t="n">
        <v>5.6</v>
      </c>
      <c r="AF1537" t="inlineStr"/>
      <c r="AG1537" t="inlineStr"/>
      <c r="AH1537" t="inlineStr"/>
      <c r="AI1537" t="n">
        <v>4</v>
      </c>
      <c r="AJ1537" t="n">
        <v>15.09</v>
      </c>
    </row>
    <row r="1538">
      <c r="A1538" t="inlineStr">
        <is>
          <t>Universidad de Las Américas (UDLA) Ecuador</t>
        </is>
      </c>
      <c r="B1538" t="inlineStr">
        <is>
          <t>Ecuador</t>
        </is>
      </c>
      <c r="C1538" t="inlineStr">
        <is>
          <t>1201-1400</t>
        </is>
      </c>
      <c r="D1538" t="inlineStr"/>
      <c r="E1538" t="n">
        <v>8.300000000000001</v>
      </c>
      <c r="F1538" t="n">
        <v>3.8</v>
      </c>
      <c r="G1538" t="n">
        <v>13.3</v>
      </c>
      <c r="H1538" t="n">
        <v>1.7</v>
      </c>
      <c r="I1538" t="n">
        <v>19.2</v>
      </c>
      <c r="J1538" t="n">
        <v>2.5</v>
      </c>
      <c r="K1538" t="n">
        <v>15.7</v>
      </c>
      <c r="L1538" t="n">
        <v>4.9</v>
      </c>
      <c r="M1538" t="n">
        <v>1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n">
        <v>1201</v>
      </c>
      <c r="Z1538" t="inlineStr"/>
      <c r="AA1538" t="inlineStr"/>
      <c r="AB1538" t="inlineStr">
        <is>
          <t>U1537</t>
        </is>
      </c>
      <c r="AC1538" t="inlineStr">
        <is>
          <t>EC</t>
        </is>
      </c>
      <c r="AD1538" t="inlineStr"/>
      <c r="AE1538" t="n">
        <v>1.7</v>
      </c>
      <c r="AF1538" t="inlineStr"/>
      <c r="AG1538" t="inlineStr"/>
      <c r="AH1538" t="inlineStr"/>
      <c r="AI1538" t="n">
        <v>8.300000000000001</v>
      </c>
      <c r="AJ1538" t="n">
        <v>13.9</v>
      </c>
    </row>
    <row r="1539">
      <c r="A1539" t="inlineStr">
        <is>
          <t>Universidad de las Américas Puebla (UDLAP)</t>
        </is>
      </c>
      <c r="B1539" t="inlineStr">
        <is>
          <t>Mexico</t>
        </is>
      </c>
      <c r="C1539" t="inlineStr">
        <is>
          <t>1001-1200</t>
        </is>
      </c>
      <c r="D1539" t="inlineStr"/>
      <c r="E1539" t="n">
        <v>7.9</v>
      </c>
      <c r="F1539" t="n">
        <v>9.1</v>
      </c>
      <c r="G1539" t="n">
        <v>44.2</v>
      </c>
      <c r="H1539" t="n">
        <v>1.9</v>
      </c>
      <c r="I1539" t="n">
        <v>21.5</v>
      </c>
      <c r="J1539" t="n">
        <v>7.4</v>
      </c>
      <c r="K1539" t="n">
        <v>6.9</v>
      </c>
      <c r="L1539" t="n">
        <v>3.8</v>
      </c>
      <c r="M1539" t="n">
        <v>1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n">
        <v>1001</v>
      </c>
      <c r="Z1539" t="inlineStr"/>
      <c r="AA1539" t="inlineStr"/>
      <c r="AB1539" t="inlineStr">
        <is>
          <t>U1538</t>
        </is>
      </c>
      <c r="AC1539" t="inlineStr">
        <is>
          <t>ME</t>
        </is>
      </c>
      <c r="AD1539" t="inlineStr"/>
      <c r="AE1539" t="n">
        <v>1.9</v>
      </c>
      <c r="AF1539" t="inlineStr"/>
      <c r="AG1539" t="inlineStr"/>
      <c r="AH1539" t="inlineStr"/>
      <c r="AI1539" t="n">
        <v>7.9</v>
      </c>
      <c r="AJ1539" t="n">
        <v>13.96</v>
      </c>
    </row>
    <row r="1540">
      <c r="A1540" t="inlineStr">
        <is>
          <t>Universidad de las Fuerzas Armadas ESPE (Ex - Escuela Politécnica del Ejército)</t>
        </is>
      </c>
      <c r="B1540" t="inlineStr">
        <is>
          <t>Ecuador</t>
        </is>
      </c>
      <c r="C1540" t="inlineStr">
        <is>
          <t>1401+</t>
        </is>
      </c>
      <c r="D1540" t="inlineStr"/>
      <c r="E1540" t="n">
        <v>6.1</v>
      </c>
      <c r="F1540" t="n">
        <v>3.9</v>
      </c>
      <c r="G1540" t="n">
        <v>10.6</v>
      </c>
      <c r="H1540" t="n">
        <v>1.3</v>
      </c>
      <c r="I1540" t="n">
        <v>2.7</v>
      </c>
      <c r="J1540" t="n">
        <v>1.1</v>
      </c>
      <c r="K1540" t="n">
        <v>11</v>
      </c>
      <c r="L1540" t="n">
        <v>4.5</v>
      </c>
      <c r="M1540" t="n">
        <v>1.1</v>
      </c>
      <c r="N1540" t="inlineStr">
        <is>
          <t>1501+</t>
        </is>
      </c>
      <c r="O1540" t="inlineStr">
        <is>
          <t>9.7–22.7</t>
        </is>
      </c>
      <c r="P1540" t="n">
        <v>15.9</v>
      </c>
      <c r="Q1540" t="n">
        <v>8.6</v>
      </c>
      <c r="R1540" t="n">
        <v>11.6</v>
      </c>
      <c r="S1540" t="n">
        <v>16.3</v>
      </c>
      <c r="T1540" t="n">
        <v>40.6</v>
      </c>
      <c r="U1540" t="inlineStr">
        <is>
          <t>19,314</t>
        </is>
      </c>
      <c r="V1540" t="n">
        <v>14.5</v>
      </c>
      <c r="W1540" t="inlineStr">
        <is>
          <t>1%</t>
        </is>
      </c>
      <c r="X1540" t="inlineStr">
        <is>
          <t>39 : 61</t>
        </is>
      </c>
      <c r="Y1540" t="n">
        <v>1401</v>
      </c>
      <c r="Z1540" t="n">
        <v>1501</v>
      </c>
      <c r="AA1540" t="n">
        <v>16.2</v>
      </c>
      <c r="AB1540" t="inlineStr">
        <is>
          <t>U1539</t>
        </is>
      </c>
      <c r="AC1540" t="inlineStr">
        <is>
          <t>EC</t>
        </is>
      </c>
      <c r="AD1540" t="n">
        <v>16.2</v>
      </c>
      <c r="AE1540" t="n">
        <v>1.3</v>
      </c>
      <c r="AF1540" t="n">
        <v>14.5</v>
      </c>
      <c r="AG1540" t="inlineStr">
        <is>
          <t>1:14.5</t>
        </is>
      </c>
      <c r="AH1540" t="inlineStr">
        <is>
          <t>1%</t>
        </is>
      </c>
      <c r="AI1540" t="n">
        <v>6.1</v>
      </c>
      <c r="AJ1540" t="n">
        <v>8.109999999999999</v>
      </c>
    </row>
    <row r="1541">
      <c r="A1541" t="inlineStr">
        <is>
          <t>Universidad de León</t>
        </is>
      </c>
      <c r="B1541" t="inlineStr">
        <is>
          <t>Spain</t>
        </is>
      </c>
      <c r="C1541" t="inlineStr">
        <is>
          <t>951-1000</t>
        </is>
      </c>
      <c r="D1541" t="inlineStr"/>
      <c r="E1541" t="n">
        <v>6.7</v>
      </c>
      <c r="F1541" t="n">
        <v>3.6</v>
      </c>
      <c r="G1541" t="n">
        <v>51.6</v>
      </c>
      <c r="H1541" t="n">
        <v>4.5</v>
      </c>
      <c r="I1541" t="n">
        <v>2.3</v>
      </c>
      <c r="J1541" t="n">
        <v>7.2</v>
      </c>
      <c r="K1541" t="n">
        <v>44.9</v>
      </c>
      <c r="L1541" t="n">
        <v>2.8</v>
      </c>
      <c r="M1541" t="n">
        <v>38.5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n">
        <v>951</v>
      </c>
      <c r="Z1541" t="inlineStr"/>
      <c r="AA1541" t="inlineStr"/>
      <c r="AB1541" t="inlineStr">
        <is>
          <t>U1540</t>
        </is>
      </c>
      <c r="AC1541" t="inlineStr">
        <is>
          <t>SP</t>
        </is>
      </c>
      <c r="AD1541" t="inlineStr"/>
      <c r="AE1541" t="n">
        <v>4.5</v>
      </c>
      <c r="AF1541" t="inlineStr"/>
      <c r="AG1541" t="inlineStr"/>
      <c r="AH1541" t="inlineStr"/>
      <c r="AI1541" t="n">
        <v>6.7</v>
      </c>
      <c r="AJ1541" t="n">
        <v>14.75</v>
      </c>
    </row>
    <row r="1542">
      <c r="A1542" t="inlineStr">
        <is>
          <t>Universidad de Lima</t>
        </is>
      </c>
      <c r="B1542" t="inlineStr">
        <is>
          <t>Peru</t>
        </is>
      </c>
      <c r="C1542" t="inlineStr">
        <is>
          <t>1001-1200</t>
        </is>
      </c>
      <c r="D1542" t="inlineStr"/>
      <c r="E1542" t="n">
        <v>9.6</v>
      </c>
      <c r="F1542" t="n">
        <v>26.2</v>
      </c>
      <c r="G1542" t="n">
        <v>3.8</v>
      </c>
      <c r="H1542" t="n">
        <v>1.2</v>
      </c>
      <c r="I1542" t="n">
        <v>3.2</v>
      </c>
      <c r="J1542" t="n">
        <v>2.1</v>
      </c>
      <c r="K1542" t="n">
        <v>8.699999999999999</v>
      </c>
      <c r="L1542" t="n">
        <v>20.9</v>
      </c>
      <c r="M1542" t="n">
        <v>1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n">
        <v>1001</v>
      </c>
      <c r="Z1542" t="inlineStr"/>
      <c r="AA1542" t="inlineStr"/>
      <c r="AB1542" t="inlineStr">
        <is>
          <t>U1541</t>
        </is>
      </c>
      <c r="AC1542" t="inlineStr">
        <is>
          <t>PE</t>
        </is>
      </c>
      <c r="AD1542" t="inlineStr"/>
      <c r="AE1542" t="n">
        <v>1.2</v>
      </c>
      <c r="AF1542" t="inlineStr"/>
      <c r="AG1542" t="inlineStr"/>
      <c r="AH1542" t="inlineStr"/>
      <c r="AI1542" t="n">
        <v>9.6</v>
      </c>
      <c r="AJ1542" t="n">
        <v>13.75</v>
      </c>
    </row>
    <row r="1543">
      <c r="A1543" t="inlineStr">
        <is>
          <t>Universidad de los Andes</t>
        </is>
      </c>
      <c r="B1543" t="inlineStr">
        <is>
          <t>Colombia</t>
        </is>
      </c>
      <c r="C1543" t="inlineStr">
        <is>
          <t>179</t>
        </is>
      </c>
      <c r="D1543" t="n">
        <v>48.7</v>
      </c>
      <c r="E1543" t="n">
        <v>67.7</v>
      </c>
      <c r="F1543" t="n">
        <v>88.40000000000001</v>
      </c>
      <c r="G1543" t="n">
        <v>14.2</v>
      </c>
      <c r="H1543" t="n">
        <v>5.9</v>
      </c>
      <c r="I1543" t="n">
        <v>22.8</v>
      </c>
      <c r="J1543" t="n">
        <v>1.9</v>
      </c>
      <c r="K1543" t="n">
        <v>55.2</v>
      </c>
      <c r="L1543" t="n">
        <v>98.2</v>
      </c>
      <c r="M1543" t="n">
        <v>80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n">
        <v>179</v>
      </c>
      <c r="Z1543" t="inlineStr"/>
      <c r="AA1543" t="inlineStr"/>
      <c r="AB1543" t="inlineStr">
        <is>
          <t>U1542</t>
        </is>
      </c>
      <c r="AC1543" t="inlineStr">
        <is>
          <t>CO</t>
        </is>
      </c>
      <c r="AD1543" t="n">
        <v>48.7</v>
      </c>
      <c r="AE1543" t="n">
        <v>5.9</v>
      </c>
      <c r="AF1543" t="inlineStr"/>
      <c r="AG1543" t="inlineStr"/>
      <c r="AH1543" t="inlineStr"/>
      <c r="AI1543" t="n">
        <v>67.7</v>
      </c>
      <c r="AJ1543" t="n">
        <v>15.18</v>
      </c>
    </row>
    <row r="1544">
      <c r="A1544" t="inlineStr">
        <is>
          <t>Universidad de los Andes - Chile</t>
        </is>
      </c>
      <c r="B1544" t="inlineStr">
        <is>
          <t>Chile</t>
        </is>
      </c>
      <c r="C1544" t="inlineStr">
        <is>
          <t>951-1000</t>
        </is>
      </c>
      <c r="D1544" t="inlineStr"/>
      <c r="E1544" t="n">
        <v>16.4</v>
      </c>
      <c r="F1544" t="n">
        <v>18.1</v>
      </c>
      <c r="G1544" t="n">
        <v>8.4</v>
      </c>
      <c r="H1544" t="n">
        <v>2.8</v>
      </c>
      <c r="I1544" t="n">
        <v>12.2</v>
      </c>
      <c r="J1544" t="n">
        <v>2</v>
      </c>
      <c r="K1544" t="n">
        <v>22.6</v>
      </c>
      <c r="L1544" t="n">
        <v>38.6</v>
      </c>
      <c r="M1544" t="n">
        <v>1.2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n">
        <v>951</v>
      </c>
      <c r="Z1544" t="inlineStr"/>
      <c r="AA1544" t="inlineStr"/>
      <c r="AB1544" t="inlineStr">
        <is>
          <t>U1543</t>
        </is>
      </c>
      <c r="AC1544" t="inlineStr">
        <is>
          <t>CH</t>
        </is>
      </c>
      <c r="AD1544" t="inlineStr"/>
      <c r="AE1544" t="n">
        <v>2.8</v>
      </c>
      <c r="AF1544" t="inlineStr"/>
      <c r="AG1544" t="inlineStr"/>
      <c r="AH1544" t="inlineStr"/>
      <c r="AI1544" t="n">
        <v>16.4</v>
      </c>
      <c r="AJ1544" t="n">
        <v>14.24</v>
      </c>
    </row>
    <row r="1545">
      <c r="A1545" t="inlineStr">
        <is>
          <t>Universidad de Los Andes - (ULA) Mérida</t>
        </is>
      </c>
      <c r="B1545" t="inlineStr">
        <is>
          <t>Venezuela</t>
        </is>
      </c>
      <c r="C1545" t="inlineStr">
        <is>
          <t>1001-1200</t>
        </is>
      </c>
      <c r="D1545" t="inlineStr"/>
      <c r="E1545" t="n">
        <v>14.6</v>
      </c>
      <c r="F1545" t="n">
        <v>8.5</v>
      </c>
      <c r="G1545" t="n">
        <v>25.4</v>
      </c>
      <c r="H1545" t="n">
        <v>1.2</v>
      </c>
      <c r="I1545" t="n">
        <v>1.3</v>
      </c>
      <c r="J1545" t="n">
        <v>1.6</v>
      </c>
      <c r="K1545" t="n">
        <v>15.5</v>
      </c>
      <c r="L1545" t="n">
        <v>18.8</v>
      </c>
      <c r="M1545" t="n">
        <v>1.3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n">
        <v>1001</v>
      </c>
      <c r="Z1545" t="inlineStr"/>
      <c r="AA1545" t="inlineStr"/>
      <c r="AB1545" t="inlineStr">
        <is>
          <t>U1544</t>
        </is>
      </c>
      <c r="AC1545" t="inlineStr">
        <is>
          <t>VE</t>
        </is>
      </c>
      <c r="AD1545" t="inlineStr"/>
      <c r="AE1545" t="n">
        <v>1.2</v>
      </c>
      <c r="AF1545" t="inlineStr"/>
      <c r="AG1545" t="inlineStr"/>
      <c r="AH1545" t="inlineStr"/>
      <c r="AI1545" t="n">
        <v>14.6</v>
      </c>
      <c r="AJ1545" t="n">
        <v>13.75</v>
      </c>
    </row>
    <row r="1546">
      <c r="A1546" t="inlineStr">
        <is>
          <t>Universidad de Medellín</t>
        </is>
      </c>
      <c r="B1546" t="inlineStr">
        <is>
          <t>Colombia</t>
        </is>
      </c>
      <c r="C1546" t="inlineStr">
        <is>
          <t>1401+</t>
        </is>
      </c>
      <c r="D1546" t="inlineStr"/>
      <c r="E1546" t="n">
        <v>6.5</v>
      </c>
      <c r="F1546" t="n">
        <v>3.2</v>
      </c>
      <c r="G1546" t="n">
        <v>7.9</v>
      </c>
      <c r="H1546" t="n">
        <v>2.2</v>
      </c>
      <c r="I1546" t="n">
        <v>2.7</v>
      </c>
      <c r="J1546" t="n">
        <v>1.8</v>
      </c>
      <c r="K1546" t="n">
        <v>5.9</v>
      </c>
      <c r="L1546" t="n">
        <v>7.8</v>
      </c>
      <c r="M1546" t="n">
        <v>1.1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n">
        <v>1401</v>
      </c>
      <c r="Z1546" t="inlineStr"/>
      <c r="AA1546" t="inlineStr"/>
      <c r="AB1546" t="inlineStr">
        <is>
          <t>U1545</t>
        </is>
      </c>
      <c r="AC1546" t="inlineStr">
        <is>
          <t>CO</t>
        </is>
      </c>
      <c r="AD1546" t="inlineStr"/>
      <c r="AE1546" t="n">
        <v>2.2</v>
      </c>
      <c r="AF1546" t="inlineStr"/>
      <c r="AG1546" t="inlineStr"/>
      <c r="AH1546" t="inlineStr"/>
      <c r="AI1546" t="n">
        <v>6.5</v>
      </c>
      <c r="AJ1546" t="n">
        <v>14.06</v>
      </c>
    </row>
    <row r="1547">
      <c r="A1547" t="inlineStr">
        <is>
          <t>Universidad de Monterrey (UDEM)</t>
        </is>
      </c>
      <c r="B1547" t="inlineStr">
        <is>
          <t>Mexico</t>
        </is>
      </c>
      <c r="C1547" t="inlineStr">
        <is>
          <t>1201-1400</t>
        </is>
      </c>
      <c r="D1547" t="inlineStr"/>
      <c r="E1547" t="n">
        <v>12.5</v>
      </c>
      <c r="F1547" t="n">
        <v>13</v>
      </c>
      <c r="G1547" t="n">
        <v>7.5</v>
      </c>
      <c r="H1547" t="n">
        <v>1.5</v>
      </c>
      <c r="I1547" t="n">
        <v>13.7</v>
      </c>
      <c r="J1547" t="n">
        <v>3.7</v>
      </c>
      <c r="K1547" t="n">
        <v>4.4</v>
      </c>
      <c r="L1547" t="n">
        <v>4.8</v>
      </c>
      <c r="M1547" t="n">
        <v>1.3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n">
        <v>1201</v>
      </c>
      <c r="Z1547" t="inlineStr"/>
      <c r="AA1547" t="inlineStr"/>
      <c r="AB1547" t="inlineStr">
        <is>
          <t>U1546</t>
        </is>
      </c>
      <c r="AC1547" t="inlineStr">
        <is>
          <t>ME</t>
        </is>
      </c>
      <c r="AD1547" t="inlineStr"/>
      <c r="AE1547" t="n">
        <v>1.5</v>
      </c>
      <c r="AF1547" t="inlineStr"/>
      <c r="AG1547" t="inlineStr"/>
      <c r="AH1547" t="inlineStr"/>
      <c r="AI1547" t="n">
        <v>12.5</v>
      </c>
      <c r="AJ1547" t="n">
        <v>13.84</v>
      </c>
    </row>
    <row r="1548">
      <c r="A1548" t="inlineStr">
        <is>
          <t>Universidad de Montevideo (UM)</t>
        </is>
      </c>
      <c r="B1548" t="inlineStr">
        <is>
          <t>Uruguay</t>
        </is>
      </c>
      <c r="C1548" t="inlineStr">
        <is>
          <t>741-750</t>
        </is>
      </c>
      <c r="D1548" t="inlineStr"/>
      <c r="E1548" t="n">
        <v>18.6</v>
      </c>
      <c r="F1548" t="n">
        <v>16.1</v>
      </c>
      <c r="G1548" t="n">
        <v>79.7</v>
      </c>
      <c r="H1548" t="n">
        <v>1.1</v>
      </c>
      <c r="I1548" t="n">
        <v>21.5</v>
      </c>
      <c r="J1548" t="n">
        <v>3.1</v>
      </c>
      <c r="K1548" t="n">
        <v>3</v>
      </c>
      <c r="L1548" t="n">
        <v>6.5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n">
        <v>741</v>
      </c>
      <c r="Z1548" t="inlineStr"/>
      <c r="AA1548" t="inlineStr"/>
      <c r="AB1548" t="inlineStr">
        <is>
          <t>U1547</t>
        </is>
      </c>
      <c r="AC1548" t="inlineStr">
        <is>
          <t>UR</t>
        </is>
      </c>
      <c r="AD1548" t="inlineStr"/>
      <c r="AE1548" t="n">
        <v>1.1</v>
      </c>
      <c r="AF1548" t="inlineStr"/>
      <c r="AG1548" t="inlineStr"/>
      <c r="AH1548" t="inlineStr"/>
      <c r="AI1548" t="n">
        <v>18.6</v>
      </c>
      <c r="AJ1548" t="n">
        <v>13.72</v>
      </c>
    </row>
    <row r="1549">
      <c r="A1549" t="inlineStr">
        <is>
          <t>Universidad de Oriente Santiago de Cuba</t>
        </is>
      </c>
      <c r="B1549" t="inlineStr">
        <is>
          <t>Cuba</t>
        </is>
      </c>
      <c r="C1549" t="inlineStr">
        <is>
          <t>1201-1400</t>
        </is>
      </c>
      <c r="D1549" t="inlineStr"/>
      <c r="E1549" t="n">
        <v>8.4</v>
      </c>
      <c r="F1549" t="n">
        <v>5.2</v>
      </c>
      <c r="G1549" t="n">
        <v>29.8</v>
      </c>
      <c r="H1549" t="n">
        <v>1.1</v>
      </c>
      <c r="I1549" t="inlineStr"/>
      <c r="J1549" t="inlineStr"/>
      <c r="K1549" t="n">
        <v>7.3</v>
      </c>
      <c r="L1549" t="n">
        <v>5</v>
      </c>
      <c r="M1549" t="n">
        <v>1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n">
        <v>1201</v>
      </c>
      <c r="Z1549" t="inlineStr"/>
      <c r="AA1549" t="inlineStr"/>
      <c r="AB1549" t="inlineStr">
        <is>
          <t>U1548</t>
        </is>
      </c>
      <c r="AC1549" t="inlineStr">
        <is>
          <t>CU</t>
        </is>
      </c>
      <c r="AD1549" t="inlineStr"/>
      <c r="AE1549" t="n">
        <v>1.1</v>
      </c>
      <c r="AF1549" t="inlineStr"/>
      <c r="AG1549" t="inlineStr"/>
      <c r="AH1549" t="inlineStr"/>
      <c r="AI1549" t="n">
        <v>8.4</v>
      </c>
      <c r="AJ1549" t="n">
        <v>13.72</v>
      </c>
    </row>
    <row r="1550">
      <c r="A1550" t="inlineStr">
        <is>
          <t>Universidad de Oviedo</t>
        </is>
      </c>
      <c r="B1550" t="inlineStr">
        <is>
          <t>Spain</t>
        </is>
      </c>
      <c r="C1550" t="inlineStr">
        <is>
          <t>1001-1200</t>
        </is>
      </c>
      <c r="D1550" t="inlineStr"/>
      <c r="E1550" t="n">
        <v>12.5</v>
      </c>
      <c r="F1550" t="n">
        <v>3.7</v>
      </c>
      <c r="G1550" t="n">
        <v>20</v>
      </c>
      <c r="H1550" t="n">
        <v>6.5</v>
      </c>
      <c r="I1550" t="n">
        <v>4.1</v>
      </c>
      <c r="J1550" t="n">
        <v>1.7</v>
      </c>
      <c r="K1550" t="n">
        <v>70.7</v>
      </c>
      <c r="L1550" t="n">
        <v>8.5</v>
      </c>
      <c r="M1550" t="n">
        <v>5.1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n">
        <v>1001</v>
      </c>
      <c r="Z1550" t="inlineStr"/>
      <c r="AA1550" t="inlineStr"/>
      <c r="AB1550" t="inlineStr">
        <is>
          <t>U1549</t>
        </is>
      </c>
      <c r="AC1550" t="inlineStr">
        <is>
          <t>SP</t>
        </is>
      </c>
      <c r="AD1550" t="inlineStr"/>
      <c r="AE1550" t="n">
        <v>6.5</v>
      </c>
      <c r="AF1550" t="inlineStr"/>
      <c r="AG1550" t="inlineStr"/>
      <c r="AH1550" t="inlineStr"/>
      <c r="AI1550" t="n">
        <v>12.5</v>
      </c>
      <c r="AJ1550" t="n">
        <v>15.36</v>
      </c>
    </row>
    <row r="1551">
      <c r="A1551" t="inlineStr">
        <is>
          <t>Universidad de Palermo (UP)</t>
        </is>
      </c>
      <c r="B1551" t="inlineStr">
        <is>
          <t>Argentina</t>
        </is>
      </c>
      <c r="C1551" t="inlineStr">
        <is>
          <t>621-630</t>
        </is>
      </c>
      <c r="D1551" t="inlineStr"/>
      <c r="E1551" t="n">
        <v>10.2</v>
      </c>
      <c r="F1551" t="n">
        <v>9.800000000000001</v>
      </c>
      <c r="G1551" t="n">
        <v>92.8</v>
      </c>
      <c r="H1551" t="n">
        <v>1</v>
      </c>
      <c r="I1551" t="n">
        <v>35.6</v>
      </c>
      <c r="J1551" t="n">
        <v>91.90000000000001</v>
      </c>
      <c r="K1551" t="n">
        <v>2.6</v>
      </c>
      <c r="L1551" t="n">
        <v>7.8</v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n">
        <v>621</v>
      </c>
      <c r="Z1551" t="inlineStr"/>
      <c r="AA1551" t="inlineStr"/>
      <c r="AB1551" t="inlineStr">
        <is>
          <t>U1550</t>
        </is>
      </c>
      <c r="AC1551" t="inlineStr">
        <is>
          <t>AR</t>
        </is>
      </c>
      <c r="AD1551" t="inlineStr"/>
      <c r="AE1551" t="n">
        <v>1</v>
      </c>
      <c r="AF1551" t="inlineStr"/>
      <c r="AG1551" t="inlineStr"/>
      <c r="AH1551" t="inlineStr"/>
      <c r="AI1551" t="n">
        <v>10.2</v>
      </c>
      <c r="AJ1551" t="n">
        <v>13.69</v>
      </c>
    </row>
    <row r="1552">
      <c r="A1552" t="inlineStr">
        <is>
          <t>Universidad de Panama</t>
        </is>
      </c>
      <c r="B1552" t="inlineStr">
        <is>
          <t>Panama</t>
        </is>
      </c>
      <c r="C1552" t="inlineStr">
        <is>
          <t>1201-1400</t>
        </is>
      </c>
      <c r="D1552" t="inlineStr"/>
      <c r="E1552" t="n">
        <v>6.6</v>
      </c>
      <c r="F1552" t="n">
        <v>5.5</v>
      </c>
      <c r="G1552" t="n">
        <v>2.9</v>
      </c>
      <c r="H1552" t="n">
        <v>1.1</v>
      </c>
      <c r="I1552" t="n">
        <v>4.6</v>
      </c>
      <c r="J1552" t="n">
        <v>2.7</v>
      </c>
      <c r="K1552" t="n">
        <v>9</v>
      </c>
      <c r="L1552" t="n">
        <v>49.1</v>
      </c>
      <c r="M1552" t="n">
        <v>1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n">
        <v>1201</v>
      </c>
      <c r="Z1552" t="inlineStr"/>
      <c r="AA1552" t="inlineStr"/>
      <c r="AB1552" t="inlineStr">
        <is>
          <t>U1551</t>
        </is>
      </c>
      <c r="AC1552" t="inlineStr">
        <is>
          <t>PA</t>
        </is>
      </c>
      <c r="AD1552" t="inlineStr"/>
      <c r="AE1552" t="n">
        <v>1.1</v>
      </c>
      <c r="AF1552" t="inlineStr"/>
      <c r="AG1552" t="inlineStr"/>
      <c r="AH1552" t="inlineStr"/>
      <c r="AI1552" t="n">
        <v>6.6</v>
      </c>
      <c r="AJ1552" t="n">
        <v>13.72</v>
      </c>
    </row>
    <row r="1553">
      <c r="A1553" t="inlineStr">
        <is>
          <t>Universidad de Piura</t>
        </is>
      </c>
      <c r="B1553" t="inlineStr">
        <is>
          <t>Peru</t>
        </is>
      </c>
      <c r="C1553" t="inlineStr">
        <is>
          <t>1201-1400</t>
        </is>
      </c>
      <c r="D1553" t="inlineStr"/>
      <c r="E1553" t="n">
        <v>7.5</v>
      </c>
      <c r="F1553" t="n">
        <v>10.7</v>
      </c>
      <c r="G1553" t="n">
        <v>5</v>
      </c>
      <c r="H1553" t="n">
        <v>1.2</v>
      </c>
      <c r="I1553" t="n">
        <v>5.7</v>
      </c>
      <c r="J1553" t="n">
        <v>1.1</v>
      </c>
      <c r="K1553" t="n">
        <v>3.3</v>
      </c>
      <c r="L1553" t="n">
        <v>12.5</v>
      </c>
      <c r="M1553" t="n">
        <v>1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n">
        <v>1201</v>
      </c>
      <c r="Z1553" t="inlineStr"/>
      <c r="AA1553" t="inlineStr"/>
      <c r="AB1553" t="inlineStr">
        <is>
          <t>U1552</t>
        </is>
      </c>
      <c r="AC1553" t="inlineStr">
        <is>
          <t>PE</t>
        </is>
      </c>
      <c r="AD1553" t="inlineStr"/>
      <c r="AE1553" t="n">
        <v>1.2</v>
      </c>
      <c r="AF1553" t="inlineStr"/>
      <c r="AG1553" t="inlineStr"/>
      <c r="AH1553" t="inlineStr"/>
      <c r="AI1553" t="n">
        <v>7.5</v>
      </c>
      <c r="AJ1553" t="n">
        <v>13.75</v>
      </c>
    </row>
    <row r="1554">
      <c r="A1554" t="inlineStr">
        <is>
          <t>Universidad de Puerto Rico</t>
        </is>
      </c>
      <c r="B1554" t="inlineStr">
        <is>
          <t>Puerto Rico</t>
        </is>
      </c>
      <c r="C1554" t="inlineStr">
        <is>
          <t>1001-1200</t>
        </is>
      </c>
      <c r="D1554" t="inlineStr"/>
      <c r="E1554" t="n">
        <v>10.2</v>
      </c>
      <c r="F1554" t="n">
        <v>6.8</v>
      </c>
      <c r="G1554" t="n">
        <v>14.4</v>
      </c>
      <c r="H1554" t="n">
        <v>2</v>
      </c>
      <c r="I1554" t="n">
        <v>1.3</v>
      </c>
      <c r="J1554" t="n">
        <v>1.5</v>
      </c>
      <c r="K1554" t="n">
        <v>39.4</v>
      </c>
      <c r="L1554" t="n">
        <v>62.2</v>
      </c>
      <c r="M1554" t="n">
        <v>2.3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n">
        <v>1001</v>
      </c>
      <c r="Z1554" t="inlineStr"/>
      <c r="AA1554" t="inlineStr"/>
      <c r="AB1554" t="inlineStr">
        <is>
          <t>U1553</t>
        </is>
      </c>
      <c r="AC1554" t="inlineStr">
        <is>
          <t>PU</t>
        </is>
      </c>
      <c r="AD1554" t="inlineStr"/>
      <c r="AE1554" t="n">
        <v>2</v>
      </c>
      <c r="AF1554" t="inlineStr"/>
      <c r="AG1554" t="inlineStr"/>
      <c r="AH1554" t="inlineStr"/>
      <c r="AI1554" t="n">
        <v>10.2</v>
      </c>
      <c r="AJ1554" t="n">
        <v>13.99</v>
      </c>
    </row>
    <row r="1555">
      <c r="A1555" t="inlineStr">
        <is>
          <t>Universidad de San Andrés - UdeSA</t>
        </is>
      </c>
      <c r="B1555" t="inlineStr">
        <is>
          <t>Argentina</t>
        </is>
      </c>
      <c r="C1555" t="inlineStr">
        <is>
          <t>951-1000</t>
        </is>
      </c>
      <c r="D1555" t="inlineStr"/>
      <c r="E1555" t="n">
        <v>7.7</v>
      </c>
      <c r="F1555" t="n">
        <v>19.7</v>
      </c>
      <c r="G1555" t="n">
        <v>46</v>
      </c>
      <c r="H1555" t="n">
        <v>2.2</v>
      </c>
      <c r="I1555" t="n">
        <v>7.5</v>
      </c>
      <c r="J1555" t="n">
        <v>4.1</v>
      </c>
      <c r="K1555" t="n">
        <v>13.2</v>
      </c>
      <c r="L1555" t="n">
        <v>29.8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n">
        <v>951</v>
      </c>
      <c r="Z1555" t="inlineStr"/>
      <c r="AA1555" t="inlineStr"/>
      <c r="AB1555" t="inlineStr">
        <is>
          <t>U1554</t>
        </is>
      </c>
      <c r="AC1555" t="inlineStr">
        <is>
          <t>AR</t>
        </is>
      </c>
      <c r="AD1555" t="inlineStr"/>
      <c r="AE1555" t="n">
        <v>2.2</v>
      </c>
      <c r="AF1555" t="inlineStr"/>
      <c r="AG1555" t="inlineStr"/>
      <c r="AH1555" t="inlineStr"/>
      <c r="AI1555" t="n">
        <v>7.7</v>
      </c>
      <c r="AJ1555" t="n">
        <v>14.06</v>
      </c>
    </row>
    <row r="1556">
      <c r="A1556" t="inlineStr">
        <is>
          <t>Universidad de San Carlos de Guatemala - USAC</t>
        </is>
      </c>
      <c r="B1556" t="inlineStr">
        <is>
          <t>Guatemala</t>
        </is>
      </c>
      <c r="C1556" t="inlineStr">
        <is>
          <t>1201-1400</t>
        </is>
      </c>
      <c r="D1556" t="inlineStr"/>
      <c r="E1556" t="n">
        <v>10.2</v>
      </c>
      <c r="F1556" t="n">
        <v>3.9</v>
      </c>
      <c r="G1556" t="n">
        <v>4.7</v>
      </c>
      <c r="H1556" t="n">
        <v>1</v>
      </c>
      <c r="I1556" t="inlineStr"/>
      <c r="J1556" t="inlineStr"/>
      <c r="K1556" t="n">
        <v>9.4</v>
      </c>
      <c r="L1556" t="n">
        <v>56</v>
      </c>
      <c r="M1556" t="n">
        <v>1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n">
        <v>1201</v>
      </c>
      <c r="Z1556" t="inlineStr"/>
      <c r="AA1556" t="inlineStr"/>
      <c r="AB1556" t="inlineStr">
        <is>
          <t>U1555</t>
        </is>
      </c>
      <c r="AC1556" t="inlineStr">
        <is>
          <t>GU</t>
        </is>
      </c>
      <c r="AD1556" t="inlineStr"/>
      <c r="AE1556" t="n">
        <v>1</v>
      </c>
      <c r="AF1556" t="inlineStr"/>
      <c r="AG1556" t="inlineStr"/>
      <c r="AH1556" t="inlineStr"/>
      <c r="AI1556" t="n">
        <v>10.2</v>
      </c>
      <c r="AJ1556" t="n">
        <v>13.69</v>
      </c>
    </row>
    <row r="1557">
      <c r="A1557" t="inlineStr">
        <is>
          <t>Universidad de Santander - UDES</t>
        </is>
      </c>
      <c r="B1557" t="inlineStr">
        <is>
          <t>Colombia</t>
        </is>
      </c>
      <c r="C1557" t="inlineStr">
        <is>
          <t>1401+</t>
        </is>
      </c>
      <c r="D1557" t="inlineStr"/>
      <c r="E1557" t="n">
        <v>3.3</v>
      </c>
      <c r="F1557" t="n">
        <v>2.3</v>
      </c>
      <c r="G1557" t="n">
        <v>8</v>
      </c>
      <c r="H1557" t="n">
        <v>1.3</v>
      </c>
      <c r="I1557" t="n">
        <v>3.7</v>
      </c>
      <c r="J1557" t="n">
        <v>1.9</v>
      </c>
      <c r="K1557" t="n">
        <v>11.9</v>
      </c>
      <c r="L1557" t="n">
        <v>2.2</v>
      </c>
      <c r="M1557" t="n">
        <v>1.1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n">
        <v>1401</v>
      </c>
      <c r="Z1557" t="inlineStr"/>
      <c r="AA1557" t="inlineStr"/>
      <c r="AB1557" t="inlineStr">
        <is>
          <t>U1556</t>
        </is>
      </c>
      <c r="AC1557" t="inlineStr">
        <is>
          <t>CO</t>
        </is>
      </c>
      <c r="AD1557" t="inlineStr"/>
      <c r="AE1557" t="n">
        <v>1.3</v>
      </c>
      <c r="AF1557" t="inlineStr"/>
      <c r="AG1557" t="inlineStr"/>
      <c r="AH1557" t="inlineStr"/>
      <c r="AI1557" t="n">
        <v>3.3</v>
      </c>
      <c r="AJ1557" t="n">
        <v>13.78</v>
      </c>
    </row>
    <row r="1558">
      <c r="A1558" t="inlineStr">
        <is>
          <t>Universidad de Santiago de Chile (USACH)</t>
        </is>
      </c>
      <c r="B1558" t="inlineStr">
        <is>
          <t>Chile</t>
        </is>
      </c>
      <c r="C1558" t="inlineStr">
        <is>
          <t>461</t>
        </is>
      </c>
      <c r="D1558" t="n">
        <v>26.1</v>
      </c>
      <c r="E1558" t="n">
        <v>43.4</v>
      </c>
      <c r="F1558" t="n">
        <v>55</v>
      </c>
      <c r="G1558" t="n">
        <v>7.2</v>
      </c>
      <c r="H1558" t="n">
        <v>4.2</v>
      </c>
      <c r="I1558" t="n">
        <v>6.3</v>
      </c>
      <c r="J1558" t="n">
        <v>2.2</v>
      </c>
      <c r="K1558" t="n">
        <v>51.1</v>
      </c>
      <c r="L1558" t="n">
        <v>12.7</v>
      </c>
      <c r="M1558" t="n">
        <v>11.2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n">
        <v>461</v>
      </c>
      <c r="Z1558" t="inlineStr"/>
      <c r="AA1558" t="inlineStr"/>
      <c r="AB1558" t="inlineStr">
        <is>
          <t>U1557</t>
        </is>
      </c>
      <c r="AC1558" t="inlineStr">
        <is>
          <t>CH</t>
        </is>
      </c>
      <c r="AD1558" t="n">
        <v>26.1</v>
      </c>
      <c r="AE1558" t="n">
        <v>4.2</v>
      </c>
      <c r="AF1558" t="inlineStr"/>
      <c r="AG1558" t="inlineStr"/>
      <c r="AH1558" t="inlineStr"/>
      <c r="AI1558" t="n">
        <v>43.4</v>
      </c>
      <c r="AJ1558" t="n">
        <v>14.66</v>
      </c>
    </row>
    <row r="1559">
      <c r="A1559" t="inlineStr">
        <is>
          <t>Universidad de Sevilla</t>
        </is>
      </c>
      <c r="B1559" t="inlineStr">
        <is>
          <t>Spain</t>
        </is>
      </c>
      <c r="C1559" t="inlineStr">
        <is>
          <t>462</t>
        </is>
      </c>
      <c r="D1559" t="n">
        <v>26</v>
      </c>
      <c r="E1559" t="n">
        <v>39.1</v>
      </c>
      <c r="F1559" t="n">
        <v>12.6</v>
      </c>
      <c r="G1559" t="n">
        <v>18.4</v>
      </c>
      <c r="H1559" t="n">
        <v>8.199999999999999</v>
      </c>
      <c r="I1559" t="n">
        <v>3.5</v>
      </c>
      <c r="J1559" t="n">
        <v>18.9</v>
      </c>
      <c r="K1559" t="n">
        <v>91.40000000000001</v>
      </c>
      <c r="L1559" t="n">
        <v>16</v>
      </c>
      <c r="M1559" t="n">
        <v>67.40000000000001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n">
        <v>462</v>
      </c>
      <c r="Z1559" t="inlineStr"/>
      <c r="AA1559" t="inlineStr"/>
      <c r="AB1559" t="inlineStr">
        <is>
          <t>U1558</t>
        </is>
      </c>
      <c r="AC1559" t="inlineStr">
        <is>
          <t>SP</t>
        </is>
      </c>
      <c r="AD1559" t="n">
        <v>26</v>
      </c>
      <c r="AE1559" t="n">
        <v>8.199999999999999</v>
      </c>
      <c r="AF1559" t="inlineStr"/>
      <c r="AG1559" t="inlineStr"/>
      <c r="AH1559" t="inlineStr"/>
      <c r="AI1559" t="n">
        <v>39.1</v>
      </c>
      <c r="AJ1559" t="n">
        <v>15.87</v>
      </c>
    </row>
    <row r="1560">
      <c r="A1560" t="inlineStr">
        <is>
          <t>Universidad de Sonora</t>
        </is>
      </c>
      <c r="B1560" t="inlineStr">
        <is>
          <t>Mexico</t>
        </is>
      </c>
      <c r="C1560" t="inlineStr">
        <is>
          <t>1401+</t>
        </is>
      </c>
      <c r="D1560" t="inlineStr"/>
      <c r="E1560" t="n">
        <v>3.6</v>
      </c>
      <c r="F1560" t="n">
        <v>1.6</v>
      </c>
      <c r="G1560" t="n">
        <v>4.4</v>
      </c>
      <c r="H1560" t="n">
        <v>1.8</v>
      </c>
      <c r="I1560" t="n">
        <v>3.4</v>
      </c>
      <c r="J1560" t="n">
        <v>1.5</v>
      </c>
      <c r="K1560" t="n">
        <v>9.199999999999999</v>
      </c>
      <c r="L1560" t="n">
        <v>2.1</v>
      </c>
      <c r="M1560" t="n">
        <v>1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n">
        <v>1401</v>
      </c>
      <c r="Z1560" t="inlineStr"/>
      <c r="AA1560" t="inlineStr"/>
      <c r="AB1560" t="inlineStr">
        <is>
          <t>U1559</t>
        </is>
      </c>
      <c r="AC1560" t="inlineStr">
        <is>
          <t>ME</t>
        </is>
      </c>
      <c r="AD1560" t="inlineStr"/>
      <c r="AE1560" t="n">
        <v>1.8</v>
      </c>
      <c r="AF1560" t="inlineStr"/>
      <c r="AG1560" t="inlineStr"/>
      <c r="AH1560" t="inlineStr"/>
      <c r="AI1560" t="n">
        <v>3.6</v>
      </c>
      <c r="AJ1560" t="n">
        <v>13.93</v>
      </c>
    </row>
    <row r="1561">
      <c r="A1561" t="inlineStr">
        <is>
          <t>Universidad de Talca</t>
        </is>
      </c>
      <c r="B1561" t="inlineStr">
        <is>
          <t>Chile</t>
        </is>
      </c>
      <c r="C1561" t="inlineStr">
        <is>
          <t>1001-1200</t>
        </is>
      </c>
      <c r="D1561" t="inlineStr"/>
      <c r="E1561" t="n">
        <v>10.8</v>
      </c>
      <c r="F1561" t="n">
        <v>5.6</v>
      </c>
      <c r="G1561" t="n">
        <v>6.4</v>
      </c>
      <c r="H1561" t="n">
        <v>6.2</v>
      </c>
      <c r="I1561" t="n">
        <v>21.4</v>
      </c>
      <c r="J1561" t="n">
        <v>1.4</v>
      </c>
      <c r="K1561" t="n">
        <v>35.7</v>
      </c>
      <c r="L1561" t="n">
        <v>2.1</v>
      </c>
      <c r="M1561" t="n">
        <v>1.3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n">
        <v>1001</v>
      </c>
      <c r="Z1561" t="inlineStr"/>
      <c r="AA1561" t="inlineStr"/>
      <c r="AB1561" t="inlineStr">
        <is>
          <t>U1560</t>
        </is>
      </c>
      <c r="AC1561" t="inlineStr">
        <is>
          <t>CH</t>
        </is>
      </c>
      <c r="AD1561" t="inlineStr"/>
      <c r="AE1561" t="n">
        <v>6.2</v>
      </c>
      <c r="AF1561" t="inlineStr"/>
      <c r="AG1561" t="inlineStr"/>
      <c r="AH1561" t="inlineStr"/>
      <c r="AI1561" t="n">
        <v>10.8</v>
      </c>
      <c r="AJ1561" t="n">
        <v>15.27</v>
      </c>
    </row>
    <row r="1562">
      <c r="A1562" t="inlineStr">
        <is>
          <t>Universidad de Tarapaca</t>
        </is>
      </c>
      <c r="B1562" t="inlineStr">
        <is>
          <t>Chile</t>
        </is>
      </c>
      <c r="C1562" t="inlineStr">
        <is>
          <t>1201-1400</t>
        </is>
      </c>
      <c r="D1562" t="inlineStr"/>
      <c r="E1562" t="n">
        <v>3.5</v>
      </c>
      <c r="F1562" t="n">
        <v>1.6</v>
      </c>
      <c r="G1562" t="n">
        <v>2.4</v>
      </c>
      <c r="H1562" t="n">
        <v>9.800000000000001</v>
      </c>
      <c r="I1562" t="inlineStr"/>
      <c r="J1562" t="inlineStr"/>
      <c r="K1562" t="n">
        <v>41.7</v>
      </c>
      <c r="L1562" t="n">
        <v>2.1</v>
      </c>
      <c r="M1562" t="n">
        <v>1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n">
        <v>1201</v>
      </c>
      <c r="Z1562" t="inlineStr"/>
      <c r="AA1562" t="inlineStr"/>
      <c r="AB1562" t="inlineStr">
        <is>
          <t>U1561</t>
        </is>
      </c>
      <c r="AC1562" t="inlineStr">
        <is>
          <t>CH</t>
        </is>
      </c>
      <c r="AD1562" t="inlineStr"/>
      <c r="AE1562" t="n">
        <v>9.800000000000001</v>
      </c>
      <c r="AF1562" t="inlineStr"/>
      <c r="AG1562" t="inlineStr"/>
      <c r="AH1562" t="inlineStr"/>
      <c r="AI1562" t="n">
        <v>3.5</v>
      </c>
      <c r="AJ1562" t="n">
        <v>16.36</v>
      </c>
    </row>
    <row r="1563">
      <c r="A1563" t="inlineStr">
        <is>
          <t>Universidad de Valladolid</t>
        </is>
      </c>
      <c r="B1563" t="inlineStr">
        <is>
          <t>Spain</t>
        </is>
      </c>
      <c r="C1563" t="inlineStr">
        <is>
          <t>851-900</t>
        </is>
      </c>
      <c r="D1563" t="inlineStr"/>
      <c r="E1563" t="n">
        <v>10.5</v>
      </c>
      <c r="F1563" t="n">
        <v>3.8</v>
      </c>
      <c r="G1563" t="n">
        <v>34.4</v>
      </c>
      <c r="H1563" t="n">
        <v>4.3</v>
      </c>
      <c r="I1563" t="n">
        <v>7</v>
      </c>
      <c r="J1563" t="n">
        <v>3.6</v>
      </c>
      <c r="K1563" t="n">
        <v>80.2</v>
      </c>
      <c r="L1563" t="n">
        <v>11.9</v>
      </c>
      <c r="M1563" t="n">
        <v>43.9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n">
        <v>851</v>
      </c>
      <c r="Z1563" t="inlineStr"/>
      <c r="AA1563" t="inlineStr"/>
      <c r="AB1563" t="inlineStr">
        <is>
          <t>U1562</t>
        </is>
      </c>
      <c r="AC1563" t="inlineStr">
        <is>
          <t>SP</t>
        </is>
      </c>
      <c r="AD1563" t="inlineStr"/>
      <c r="AE1563" t="n">
        <v>4.3</v>
      </c>
      <c r="AF1563" t="inlineStr"/>
      <c r="AG1563" t="inlineStr"/>
      <c r="AH1563" t="inlineStr"/>
      <c r="AI1563" t="n">
        <v>10.5</v>
      </c>
      <c r="AJ1563" t="n">
        <v>14.69</v>
      </c>
    </row>
    <row r="1564">
      <c r="A1564" t="inlineStr">
        <is>
          <t>Universidad de Valparaíso (UV)</t>
        </is>
      </c>
      <c r="B1564" t="inlineStr">
        <is>
          <t>Chile</t>
        </is>
      </c>
      <c r="C1564" t="inlineStr">
        <is>
          <t>1201-1400</t>
        </is>
      </c>
      <c r="D1564" t="inlineStr"/>
      <c r="E1564" t="n">
        <v>10.9</v>
      </c>
      <c r="F1564" t="n">
        <v>4</v>
      </c>
      <c r="G1564" t="n">
        <v>8.5</v>
      </c>
      <c r="H1564" t="n">
        <v>2.9</v>
      </c>
      <c r="I1564" t="n">
        <v>6.3</v>
      </c>
      <c r="J1564" t="n">
        <v>1.8</v>
      </c>
      <c r="K1564" t="n">
        <v>39.7</v>
      </c>
      <c r="L1564" t="n">
        <v>2.2</v>
      </c>
      <c r="M1564" t="n">
        <v>4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n">
        <v>1201</v>
      </c>
      <c r="Z1564" t="inlineStr"/>
      <c r="AA1564" t="inlineStr"/>
      <c r="AB1564" t="inlineStr">
        <is>
          <t>U1563</t>
        </is>
      </c>
      <c r="AC1564" t="inlineStr">
        <is>
          <t>CH</t>
        </is>
      </c>
      <c r="AD1564" t="inlineStr"/>
      <c r="AE1564" t="n">
        <v>2.9</v>
      </c>
      <c r="AF1564" t="inlineStr"/>
      <c r="AG1564" t="inlineStr"/>
      <c r="AH1564" t="inlineStr"/>
      <c r="AI1564" t="n">
        <v>10.9</v>
      </c>
      <c r="AJ1564" t="n">
        <v>14.27</v>
      </c>
    </row>
    <row r="1565">
      <c r="A1565" t="inlineStr">
        <is>
          <t>Universidad de Zaragoza</t>
        </is>
      </c>
      <c r="B1565" t="inlineStr">
        <is>
          <t>Spain</t>
        </is>
      </c>
      <c r="C1565" t="inlineStr">
        <is>
          <t>544</t>
        </is>
      </c>
      <c r="D1565" t="n">
        <v>22.7</v>
      </c>
      <c r="E1565" t="n">
        <v>21.3</v>
      </c>
      <c r="F1565" t="n">
        <v>5.1</v>
      </c>
      <c r="G1565" t="n">
        <v>56.1</v>
      </c>
      <c r="H1565" t="n">
        <v>7</v>
      </c>
      <c r="I1565" t="n">
        <v>4.5</v>
      </c>
      <c r="J1565" t="n">
        <v>9</v>
      </c>
      <c r="K1565" t="n">
        <v>89.5</v>
      </c>
      <c r="L1565" t="n">
        <v>10.7</v>
      </c>
      <c r="M1565" t="n">
        <v>77.09999999999999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n">
        <v>544</v>
      </c>
      <c r="Z1565" t="inlineStr"/>
      <c r="AA1565" t="inlineStr"/>
      <c r="AB1565" t="inlineStr">
        <is>
          <t>U1564</t>
        </is>
      </c>
      <c r="AC1565" t="inlineStr">
        <is>
          <t>SP</t>
        </is>
      </c>
      <c r="AD1565" t="n">
        <v>22.7</v>
      </c>
      <c r="AE1565" t="n">
        <v>7</v>
      </c>
      <c r="AF1565" t="inlineStr"/>
      <c r="AG1565" t="inlineStr"/>
      <c r="AH1565" t="inlineStr"/>
      <c r="AI1565" t="n">
        <v>21.3</v>
      </c>
      <c r="AJ1565" t="n">
        <v>15.51</v>
      </c>
    </row>
    <row r="1566">
      <c r="A1566" t="inlineStr">
        <is>
          <t>Universidad del Bío-Bío</t>
        </is>
      </c>
      <c r="B1566" t="inlineStr">
        <is>
          <t>Chile</t>
        </is>
      </c>
      <c r="C1566" t="inlineStr">
        <is>
          <t>1201-1400</t>
        </is>
      </c>
      <c r="D1566" t="inlineStr"/>
      <c r="E1566" t="n">
        <v>8</v>
      </c>
      <c r="F1566" t="n">
        <v>3</v>
      </c>
      <c r="G1566" t="n">
        <v>3.2</v>
      </c>
      <c r="H1566" t="n">
        <v>4</v>
      </c>
      <c r="I1566" t="n">
        <v>8.699999999999999</v>
      </c>
      <c r="J1566" t="n">
        <v>1.4</v>
      </c>
      <c r="K1566" t="n">
        <v>30.3</v>
      </c>
      <c r="L1566" t="n">
        <v>2</v>
      </c>
      <c r="M1566" t="n">
        <v>1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n">
        <v>1201</v>
      </c>
      <c r="Z1566" t="inlineStr"/>
      <c r="AA1566" t="inlineStr"/>
      <c r="AB1566" t="inlineStr">
        <is>
          <t>U1565</t>
        </is>
      </c>
      <c r="AC1566" t="inlineStr">
        <is>
          <t>CH</t>
        </is>
      </c>
      <c r="AD1566" t="inlineStr"/>
      <c r="AE1566" t="n">
        <v>4</v>
      </c>
      <c r="AF1566" t="inlineStr"/>
      <c r="AG1566" t="inlineStr"/>
      <c r="AH1566" t="inlineStr"/>
      <c r="AI1566" t="n">
        <v>8</v>
      </c>
      <c r="AJ1566" t="n">
        <v>14.6</v>
      </c>
    </row>
    <row r="1567">
      <c r="A1567" t="inlineStr">
        <is>
          <t>Universidad del Cauca</t>
        </is>
      </c>
      <c r="B1567" t="inlineStr">
        <is>
          <t>Colombia</t>
        </is>
      </c>
      <c r="C1567" t="inlineStr">
        <is>
          <t>1401+</t>
        </is>
      </c>
      <c r="D1567" t="inlineStr"/>
      <c r="E1567" t="n">
        <v>7.9</v>
      </c>
      <c r="F1567" t="n">
        <v>2</v>
      </c>
      <c r="G1567" t="n">
        <v>5.3</v>
      </c>
      <c r="H1567" t="n">
        <v>1.7</v>
      </c>
      <c r="I1567" t="n">
        <v>21.7</v>
      </c>
      <c r="J1567" t="n">
        <v>1.1</v>
      </c>
      <c r="K1567" t="n">
        <v>11.8</v>
      </c>
      <c r="L1567" t="n">
        <v>4.5</v>
      </c>
      <c r="M1567" t="n">
        <v>1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n">
        <v>1401</v>
      </c>
      <c r="Z1567" t="inlineStr"/>
      <c r="AA1567" t="inlineStr"/>
      <c r="AB1567" t="inlineStr">
        <is>
          <t>U1566</t>
        </is>
      </c>
      <c r="AC1567" t="inlineStr">
        <is>
          <t>CO</t>
        </is>
      </c>
      <c r="AD1567" t="inlineStr"/>
      <c r="AE1567" t="n">
        <v>1.7</v>
      </c>
      <c r="AF1567" t="inlineStr"/>
      <c r="AG1567" t="inlineStr"/>
      <c r="AH1567" t="inlineStr"/>
      <c r="AI1567" t="n">
        <v>7.9</v>
      </c>
      <c r="AJ1567" t="n">
        <v>13.9</v>
      </c>
    </row>
    <row r="1568">
      <c r="A1568" t="inlineStr">
        <is>
          <t>Universidad del Desarrollo (UDD)</t>
        </is>
      </c>
      <c r="B1568" t="inlineStr">
        <is>
          <t>Chile</t>
        </is>
      </c>
      <c r="C1568" t="inlineStr">
        <is>
          <t>1201-1400</t>
        </is>
      </c>
      <c r="D1568" t="inlineStr"/>
      <c r="E1568" t="n">
        <v>7.2</v>
      </c>
      <c r="F1568" t="n">
        <v>8.6</v>
      </c>
      <c r="G1568" t="n">
        <v>11.7</v>
      </c>
      <c r="H1568" t="n">
        <v>2.3</v>
      </c>
      <c r="I1568" t="n">
        <v>7.3</v>
      </c>
      <c r="J1568" t="n">
        <v>2</v>
      </c>
      <c r="K1568" t="n">
        <v>14.7</v>
      </c>
      <c r="L1568" t="n">
        <v>4.9</v>
      </c>
      <c r="M1568" t="n">
        <v>5.1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n">
        <v>1201</v>
      </c>
      <c r="Z1568" t="inlineStr"/>
      <c r="AA1568" t="inlineStr"/>
      <c r="AB1568" t="inlineStr">
        <is>
          <t>U1567</t>
        </is>
      </c>
      <c r="AC1568" t="inlineStr">
        <is>
          <t>CH</t>
        </is>
      </c>
      <c r="AD1568" t="inlineStr"/>
      <c r="AE1568" t="n">
        <v>2.3</v>
      </c>
      <c r="AF1568" t="inlineStr"/>
      <c r="AG1568" t="inlineStr"/>
      <c r="AH1568" t="inlineStr"/>
      <c r="AI1568" t="n">
        <v>7.2</v>
      </c>
      <c r="AJ1568" t="n">
        <v>14.09</v>
      </c>
    </row>
    <row r="1569">
      <c r="A1569" t="inlineStr">
        <is>
          <t xml:space="preserve">Universidad del Norte </t>
        </is>
      </c>
      <c r="B1569" t="inlineStr">
        <is>
          <t>Colombia</t>
        </is>
      </c>
      <c r="C1569" t="inlineStr">
        <is>
          <t>1001-1200</t>
        </is>
      </c>
      <c r="D1569" t="inlineStr"/>
      <c r="E1569" t="n">
        <v>9.6</v>
      </c>
      <c r="F1569" t="n">
        <v>11.9</v>
      </c>
      <c r="G1569" t="n">
        <v>10.8</v>
      </c>
      <c r="H1569" t="n">
        <v>2.9</v>
      </c>
      <c r="I1569" t="n">
        <v>7.7</v>
      </c>
      <c r="J1569" t="n">
        <v>1.4</v>
      </c>
      <c r="K1569" t="n">
        <v>29.6</v>
      </c>
      <c r="L1569" t="n">
        <v>7.6</v>
      </c>
      <c r="M1569" t="n">
        <v>21.3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n">
        <v>1001</v>
      </c>
      <c r="Z1569" t="inlineStr"/>
      <c r="AA1569" t="inlineStr"/>
      <c r="AB1569" t="inlineStr">
        <is>
          <t>U1568</t>
        </is>
      </c>
      <c r="AC1569" t="inlineStr">
        <is>
          <t>CO</t>
        </is>
      </c>
      <c r="AD1569" t="inlineStr"/>
      <c r="AE1569" t="n">
        <v>2.9</v>
      </c>
      <c r="AF1569" t="inlineStr"/>
      <c r="AG1569" t="inlineStr"/>
      <c r="AH1569" t="inlineStr"/>
      <c r="AI1569" t="n">
        <v>9.6</v>
      </c>
      <c r="AJ1569" t="n">
        <v>14.27</v>
      </c>
    </row>
    <row r="1570">
      <c r="A1570" t="inlineStr">
        <is>
          <t>Universidad del Pacífico</t>
        </is>
      </c>
      <c r="B1570" t="inlineStr">
        <is>
          <t>Peru</t>
        </is>
      </c>
      <c r="C1570" t="inlineStr">
        <is>
          <t>1001-1200</t>
        </is>
      </c>
      <c r="D1570" t="inlineStr"/>
      <c r="E1570" t="n">
        <v>7</v>
      </c>
      <c r="F1570" t="n">
        <v>28</v>
      </c>
      <c r="G1570" t="n">
        <v>3</v>
      </c>
      <c r="H1570" t="n">
        <v>3.1</v>
      </c>
      <c r="I1570" t="n">
        <v>9.4</v>
      </c>
      <c r="J1570" t="n">
        <v>2.2</v>
      </c>
      <c r="K1570" t="n">
        <v>5.3</v>
      </c>
      <c r="L1570" t="n">
        <v>16.6</v>
      </c>
      <c r="M1570" t="n">
        <v>1.5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n">
        <v>1001</v>
      </c>
      <c r="Z1570" t="inlineStr"/>
      <c r="AA1570" t="inlineStr"/>
      <c r="AB1570" t="inlineStr">
        <is>
          <t>U1569</t>
        </is>
      </c>
      <c r="AC1570" t="inlineStr">
        <is>
          <t>PE</t>
        </is>
      </c>
      <c r="AD1570" t="inlineStr"/>
      <c r="AE1570" t="n">
        <v>3.1</v>
      </c>
      <c r="AF1570" t="inlineStr"/>
      <c r="AG1570" t="inlineStr"/>
      <c r="AH1570" t="inlineStr"/>
      <c r="AI1570" t="n">
        <v>7</v>
      </c>
      <c r="AJ1570" t="n">
        <v>14.33</v>
      </c>
    </row>
    <row r="1571">
      <c r="A1571" t="inlineStr">
        <is>
          <t>Universidad del Rosario</t>
        </is>
      </c>
      <c r="B1571" t="inlineStr">
        <is>
          <t>Colombia</t>
        </is>
      </c>
      <c r="C1571" t="inlineStr">
        <is>
          <t>771-780</t>
        </is>
      </c>
      <c r="D1571" t="inlineStr"/>
      <c r="E1571" t="n">
        <v>15.8</v>
      </c>
      <c r="F1571" t="n">
        <v>28.5</v>
      </c>
      <c r="G1571" t="n">
        <v>24.2</v>
      </c>
      <c r="H1571" t="n">
        <v>2.5</v>
      </c>
      <c r="I1571" t="n">
        <v>7.2</v>
      </c>
      <c r="J1571" t="n">
        <v>2.7</v>
      </c>
      <c r="K1571" t="n">
        <v>31.8</v>
      </c>
      <c r="L1571" t="n">
        <v>41.1</v>
      </c>
      <c r="M1571" t="n">
        <v>24.5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n">
        <v>771</v>
      </c>
      <c r="Z1571" t="inlineStr"/>
      <c r="AA1571" t="inlineStr"/>
      <c r="AB1571" t="inlineStr">
        <is>
          <t>U1570</t>
        </is>
      </c>
      <c r="AC1571" t="inlineStr">
        <is>
          <t>CO</t>
        </is>
      </c>
      <c r="AD1571" t="inlineStr"/>
      <c r="AE1571" t="n">
        <v>2.5</v>
      </c>
      <c r="AF1571" t="inlineStr"/>
      <c r="AG1571" t="inlineStr"/>
      <c r="AH1571" t="inlineStr"/>
      <c r="AI1571" t="n">
        <v>15.8</v>
      </c>
      <c r="AJ1571" t="n">
        <v>14.15</v>
      </c>
    </row>
    <row r="1572">
      <c r="A1572" t="inlineStr">
        <is>
          <t>Universidad del Salvador</t>
        </is>
      </c>
      <c r="B1572" t="inlineStr">
        <is>
          <t>Argentina</t>
        </is>
      </c>
      <c r="C1572" t="inlineStr">
        <is>
          <t>1201-1400</t>
        </is>
      </c>
      <c r="D1572" t="inlineStr"/>
      <c r="E1572" t="n">
        <v>3.7</v>
      </c>
      <c r="F1572" t="n">
        <v>5.8</v>
      </c>
      <c r="G1572" t="n">
        <v>19.9</v>
      </c>
      <c r="H1572" t="n">
        <v>1</v>
      </c>
      <c r="I1572" t="n">
        <v>4.9</v>
      </c>
      <c r="J1572" t="n">
        <v>7.4</v>
      </c>
      <c r="K1572" t="n">
        <v>1.2</v>
      </c>
      <c r="L1572" t="n">
        <v>16.2</v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n">
        <v>1201</v>
      </c>
      <c r="Z1572" t="inlineStr"/>
      <c r="AA1572" t="inlineStr"/>
      <c r="AB1572" t="inlineStr">
        <is>
          <t>U1571</t>
        </is>
      </c>
      <c r="AC1572" t="inlineStr">
        <is>
          <t>AR</t>
        </is>
      </c>
      <c r="AD1572" t="inlineStr"/>
      <c r="AE1572" t="n">
        <v>1</v>
      </c>
      <c r="AF1572" t="inlineStr"/>
      <c r="AG1572" t="inlineStr"/>
      <c r="AH1572" t="inlineStr"/>
      <c r="AI1572" t="n">
        <v>3.7</v>
      </c>
      <c r="AJ1572" t="n">
        <v>13.69</v>
      </c>
    </row>
    <row r="1573">
      <c r="A1573" t="inlineStr">
        <is>
          <t>Universidad del Valle</t>
        </is>
      </c>
      <c r="B1573" t="inlineStr">
        <is>
          <t>Colombia</t>
        </is>
      </c>
      <c r="C1573" t="inlineStr">
        <is>
          <t>1001-1200</t>
        </is>
      </c>
      <c r="D1573" t="inlineStr"/>
      <c r="E1573" t="n">
        <v>18.1</v>
      </c>
      <c r="F1573" t="n">
        <v>8.199999999999999</v>
      </c>
      <c r="G1573" t="n">
        <v>7.7</v>
      </c>
      <c r="H1573" t="n">
        <v>1.9</v>
      </c>
      <c r="I1573" t="n">
        <v>2.1</v>
      </c>
      <c r="J1573" t="n">
        <v>1.3</v>
      </c>
      <c r="K1573" t="n">
        <v>20.5</v>
      </c>
      <c r="L1573" t="n">
        <v>21.4</v>
      </c>
      <c r="M1573" t="n">
        <v>1.7</v>
      </c>
      <c r="N1573" t="inlineStr">
        <is>
          <t>1501+</t>
        </is>
      </c>
      <c r="O1573" t="inlineStr">
        <is>
          <t>9.7–22.7</t>
        </is>
      </c>
      <c r="P1573" t="n">
        <v>23.2</v>
      </c>
      <c r="Q1573" t="n">
        <v>8.699999999999999</v>
      </c>
      <c r="R1573" t="n">
        <v>12.2</v>
      </c>
      <c r="S1573" t="n">
        <v>17.9</v>
      </c>
      <c r="T1573" t="n">
        <v>40.6</v>
      </c>
      <c r="U1573" t="inlineStr">
        <is>
          <t>33,442</t>
        </is>
      </c>
      <c r="V1573" t="n">
        <v>8.9</v>
      </c>
      <c r="W1573" t="inlineStr">
        <is>
          <t>1%</t>
        </is>
      </c>
      <c r="X1573" t="inlineStr">
        <is>
          <t>50 : 50</t>
        </is>
      </c>
      <c r="Y1573" t="n">
        <v>1001</v>
      </c>
      <c r="Z1573" t="n">
        <v>1501</v>
      </c>
      <c r="AA1573" t="n">
        <v>16.2</v>
      </c>
      <c r="AB1573" t="inlineStr">
        <is>
          <t>U1572</t>
        </is>
      </c>
      <c r="AC1573" t="inlineStr">
        <is>
          <t>CO</t>
        </is>
      </c>
      <c r="AD1573" t="n">
        <v>16.2</v>
      </c>
      <c r="AE1573" t="n">
        <v>1.9</v>
      </c>
      <c r="AF1573" t="n">
        <v>8.9</v>
      </c>
      <c r="AG1573" t="inlineStr">
        <is>
          <t>1:8.9</t>
        </is>
      </c>
      <c r="AH1573" t="inlineStr">
        <is>
          <t>1%</t>
        </is>
      </c>
      <c r="AI1573" t="n">
        <v>18.1</v>
      </c>
      <c r="AJ1573" t="n">
        <v>8.35</v>
      </c>
    </row>
    <row r="1574">
      <c r="A1574" t="inlineStr">
        <is>
          <t>Universidad del Valle de Mexico (UVM)</t>
        </is>
      </c>
      <c r="B1574" t="inlineStr">
        <is>
          <t>Mexico</t>
        </is>
      </c>
      <c r="C1574" t="inlineStr">
        <is>
          <t>1401+</t>
        </is>
      </c>
      <c r="D1574" t="inlineStr"/>
      <c r="E1574" t="n">
        <v>3.8</v>
      </c>
      <c r="F1574" t="n">
        <v>9.9</v>
      </c>
      <c r="G1574" t="n">
        <v>3.9</v>
      </c>
      <c r="H1574" t="n">
        <v>1.1</v>
      </c>
      <c r="I1574" t="n">
        <v>2</v>
      </c>
      <c r="J1574" t="n">
        <v>1.6</v>
      </c>
      <c r="K1574" t="n">
        <v>4.8</v>
      </c>
      <c r="L1574" t="n">
        <v>3.1</v>
      </c>
      <c r="M1574" t="n">
        <v>1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n">
        <v>1401</v>
      </c>
      <c r="Z1574" t="inlineStr"/>
      <c r="AA1574" t="inlineStr"/>
      <c r="AB1574" t="inlineStr">
        <is>
          <t>U1573</t>
        </is>
      </c>
      <c r="AC1574" t="inlineStr">
        <is>
          <t>ME</t>
        </is>
      </c>
      <c r="AD1574" t="inlineStr"/>
      <c r="AE1574" t="n">
        <v>1.1</v>
      </c>
      <c r="AF1574" t="inlineStr"/>
      <c r="AG1574" t="inlineStr"/>
      <c r="AH1574" t="inlineStr"/>
      <c r="AI1574" t="n">
        <v>3.8</v>
      </c>
      <c r="AJ1574" t="n">
        <v>13.72</v>
      </c>
    </row>
    <row r="1575">
      <c r="A1575" t="inlineStr">
        <is>
          <t>Universidad del Zulia</t>
        </is>
      </c>
      <c r="B1575" t="inlineStr">
        <is>
          <t>Venezuela</t>
        </is>
      </c>
      <c r="C1575" t="inlineStr">
        <is>
          <t>1201-1400</t>
        </is>
      </c>
      <c r="D1575" t="inlineStr"/>
      <c r="E1575" t="n">
        <v>10.1</v>
      </c>
      <c r="F1575" t="n">
        <v>5.8</v>
      </c>
      <c r="G1575" t="n">
        <v>4.1</v>
      </c>
      <c r="H1575" t="n">
        <v>2.1</v>
      </c>
      <c r="I1575" t="inlineStr"/>
      <c r="J1575" t="inlineStr"/>
      <c r="K1575" t="n">
        <v>13.4</v>
      </c>
      <c r="L1575" t="n">
        <v>5.6</v>
      </c>
      <c r="M1575" t="n">
        <v>1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n">
        <v>1201</v>
      </c>
      <c r="Z1575" t="inlineStr"/>
      <c r="AA1575" t="inlineStr"/>
      <c r="AB1575" t="inlineStr">
        <is>
          <t>U1574</t>
        </is>
      </c>
      <c r="AC1575" t="inlineStr">
        <is>
          <t>VE</t>
        </is>
      </c>
      <c r="AD1575" t="inlineStr"/>
      <c r="AE1575" t="n">
        <v>2.1</v>
      </c>
      <c r="AF1575" t="inlineStr"/>
      <c r="AG1575" t="inlineStr"/>
      <c r="AH1575" t="inlineStr"/>
      <c r="AI1575" t="n">
        <v>10.1</v>
      </c>
      <c r="AJ1575" t="n">
        <v>14.02</v>
      </c>
    </row>
    <row r="1576">
      <c r="A1576" t="inlineStr">
        <is>
          <t>Universidad Diego Portales (UDP)</t>
        </is>
      </c>
      <c r="B1576" t="inlineStr">
        <is>
          <t>Chile</t>
        </is>
      </c>
      <c r="C1576" t="inlineStr">
        <is>
          <t>1001-1200</t>
        </is>
      </c>
      <c r="D1576" t="inlineStr"/>
      <c r="E1576" t="n">
        <v>14.7</v>
      </c>
      <c r="F1576" t="n">
        <v>14.9</v>
      </c>
      <c r="G1576" t="n">
        <v>8.6</v>
      </c>
      <c r="H1576" t="n">
        <v>3.7</v>
      </c>
      <c r="I1576" t="n">
        <v>13.1</v>
      </c>
      <c r="J1576" t="n">
        <v>2.9</v>
      </c>
      <c r="K1576" t="n">
        <v>39.6</v>
      </c>
      <c r="L1576" t="n">
        <v>6.2</v>
      </c>
      <c r="M1576" t="n">
        <v>2.3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n">
        <v>1001</v>
      </c>
      <c r="Z1576" t="inlineStr"/>
      <c r="AA1576" t="inlineStr"/>
      <c r="AB1576" t="inlineStr">
        <is>
          <t>U1575</t>
        </is>
      </c>
      <c r="AC1576" t="inlineStr">
        <is>
          <t>CH</t>
        </is>
      </c>
      <c r="AD1576" t="inlineStr"/>
      <c r="AE1576" t="n">
        <v>3.7</v>
      </c>
      <c r="AF1576" t="inlineStr"/>
      <c r="AG1576" t="inlineStr"/>
      <c r="AH1576" t="inlineStr"/>
      <c r="AI1576" t="n">
        <v>14.7</v>
      </c>
      <c r="AJ1576" t="n">
        <v>14.51</v>
      </c>
    </row>
    <row r="1577">
      <c r="A1577" t="inlineStr">
        <is>
          <t>Universidad EAFIT</t>
        </is>
      </c>
      <c r="B1577" t="inlineStr">
        <is>
          <t>Colombia</t>
        </is>
      </c>
      <c r="C1577" t="inlineStr">
        <is>
          <t>901-950</t>
        </is>
      </c>
      <c r="D1577" t="inlineStr"/>
      <c r="E1577" t="n">
        <v>12.9</v>
      </c>
      <c r="F1577" t="n">
        <v>42.8</v>
      </c>
      <c r="G1577" t="n">
        <v>4.9</v>
      </c>
      <c r="H1577" t="n">
        <v>2.3</v>
      </c>
      <c r="I1577" t="n">
        <v>3.1</v>
      </c>
      <c r="J1577" t="n">
        <v>1.4</v>
      </c>
      <c r="K1577" t="n">
        <v>11.3</v>
      </c>
      <c r="L1577" t="n">
        <v>44.4</v>
      </c>
      <c r="M1577" t="n">
        <v>4.8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n">
        <v>901</v>
      </c>
      <c r="Z1577" t="inlineStr"/>
      <c r="AA1577" t="inlineStr"/>
      <c r="AB1577" t="inlineStr">
        <is>
          <t>U1576</t>
        </is>
      </c>
      <c r="AC1577" t="inlineStr">
        <is>
          <t>CO</t>
        </is>
      </c>
      <c r="AD1577" t="inlineStr"/>
      <c r="AE1577" t="n">
        <v>2.3</v>
      </c>
      <c r="AF1577" t="inlineStr"/>
      <c r="AG1577" t="inlineStr"/>
      <c r="AH1577" t="inlineStr"/>
      <c r="AI1577" t="n">
        <v>12.9</v>
      </c>
      <c r="AJ1577" t="n">
        <v>14.09</v>
      </c>
    </row>
    <row r="1578">
      <c r="A1578" t="inlineStr">
        <is>
          <t xml:space="preserve">Universidad Externado de Colombia </t>
        </is>
      </c>
      <c r="B1578" t="inlineStr">
        <is>
          <t>Colombia</t>
        </is>
      </c>
      <c r="C1578" t="inlineStr">
        <is>
          <t>901-950</t>
        </is>
      </c>
      <c r="D1578" t="inlineStr"/>
      <c r="E1578" t="n">
        <v>13</v>
      </c>
      <c r="F1578" t="n">
        <v>28.9</v>
      </c>
      <c r="G1578" t="n">
        <v>36.4</v>
      </c>
      <c r="H1578" t="n">
        <v>1.1</v>
      </c>
      <c r="I1578" t="n">
        <v>10.5</v>
      </c>
      <c r="J1578" t="n">
        <v>1.5</v>
      </c>
      <c r="K1578" t="n">
        <v>4.3</v>
      </c>
      <c r="L1578" t="n">
        <v>26.4</v>
      </c>
      <c r="M1578" t="n">
        <v>1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n">
        <v>901</v>
      </c>
      <c r="Z1578" t="inlineStr"/>
      <c r="AA1578" t="inlineStr"/>
      <c r="AB1578" t="inlineStr">
        <is>
          <t>U1577</t>
        </is>
      </c>
      <c r="AC1578" t="inlineStr">
        <is>
          <t>CO</t>
        </is>
      </c>
      <c r="AD1578" t="inlineStr"/>
      <c r="AE1578" t="n">
        <v>1.1</v>
      </c>
      <c r="AF1578" t="inlineStr"/>
      <c r="AG1578" t="inlineStr"/>
      <c r="AH1578" t="inlineStr"/>
      <c r="AI1578" t="n">
        <v>13</v>
      </c>
      <c r="AJ1578" t="n">
        <v>13.72</v>
      </c>
    </row>
    <row r="1579">
      <c r="A1579" t="inlineStr">
        <is>
          <t>Universidad Iberoamericana IBERO</t>
        </is>
      </c>
      <c r="B1579" t="inlineStr">
        <is>
          <t>Mexico</t>
        </is>
      </c>
      <c r="C1579" t="inlineStr">
        <is>
          <t>801-850</t>
        </is>
      </c>
      <c r="D1579" t="inlineStr"/>
      <c r="E1579" t="n">
        <v>18.5</v>
      </c>
      <c r="F1579" t="n">
        <v>24.3</v>
      </c>
      <c r="G1579" t="n">
        <v>32.3</v>
      </c>
      <c r="H1579" t="n">
        <v>1.3</v>
      </c>
      <c r="I1579" t="n">
        <v>5.4</v>
      </c>
      <c r="J1579" t="n">
        <v>2.2</v>
      </c>
      <c r="K1579" t="n">
        <v>5.2</v>
      </c>
      <c r="L1579" t="n">
        <v>63.6</v>
      </c>
      <c r="M1579" t="n">
        <v>1.1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n">
        <v>801</v>
      </c>
      <c r="Z1579" t="inlineStr"/>
      <c r="AA1579" t="inlineStr"/>
      <c r="AB1579" t="inlineStr">
        <is>
          <t>U1578</t>
        </is>
      </c>
      <c r="AC1579" t="inlineStr">
        <is>
          <t>ME</t>
        </is>
      </c>
      <c r="AD1579" t="inlineStr"/>
      <c r="AE1579" t="n">
        <v>1.3</v>
      </c>
      <c r="AF1579" t="inlineStr"/>
      <c r="AG1579" t="inlineStr"/>
      <c r="AH1579" t="inlineStr"/>
      <c r="AI1579" t="n">
        <v>18.5</v>
      </c>
      <c r="AJ1579" t="n">
        <v>13.78</v>
      </c>
    </row>
    <row r="1580">
      <c r="A1580" t="inlineStr">
        <is>
          <t>Universidad ICESI</t>
        </is>
      </c>
      <c r="B1580" t="inlineStr">
        <is>
          <t>Colombia</t>
        </is>
      </c>
      <c r="C1580" t="inlineStr">
        <is>
          <t>1001-1200</t>
        </is>
      </c>
      <c r="D1580" t="inlineStr"/>
      <c r="E1580" t="n">
        <v>5.7</v>
      </c>
      <c r="F1580" t="n">
        <v>6.1</v>
      </c>
      <c r="G1580" t="n">
        <v>78.59999999999999</v>
      </c>
      <c r="H1580" t="n">
        <v>1.6</v>
      </c>
      <c r="I1580" t="n">
        <v>3.7</v>
      </c>
      <c r="J1580" t="n">
        <v>2.5</v>
      </c>
      <c r="K1580" t="n">
        <v>8.699999999999999</v>
      </c>
      <c r="L1580" t="n">
        <v>9.699999999999999</v>
      </c>
      <c r="M1580" t="n">
        <v>1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n">
        <v>1001</v>
      </c>
      <c r="Z1580" t="inlineStr"/>
      <c r="AA1580" t="inlineStr"/>
      <c r="AB1580" t="inlineStr">
        <is>
          <t>U1579</t>
        </is>
      </c>
      <c r="AC1580" t="inlineStr">
        <is>
          <t>CO</t>
        </is>
      </c>
      <c r="AD1580" t="inlineStr"/>
      <c r="AE1580" t="n">
        <v>1.6</v>
      </c>
      <c r="AF1580" t="inlineStr"/>
      <c r="AG1580" t="inlineStr"/>
      <c r="AH1580" t="inlineStr"/>
      <c r="AI1580" t="n">
        <v>5.7</v>
      </c>
      <c r="AJ1580" t="n">
        <v>13.87</v>
      </c>
    </row>
    <row r="1581">
      <c r="A1581" t="inlineStr">
        <is>
          <t>Universidad Industrial de Santander (UIS)</t>
        </is>
      </c>
      <c r="B1581" t="inlineStr">
        <is>
          <t>Colombia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>
        <is>
          <t>1501+</t>
        </is>
      </c>
      <c r="O1581" t="inlineStr">
        <is>
          <t>9.7–22.7</t>
        </is>
      </c>
      <c r="P1581" t="n">
        <v>14.4</v>
      </c>
      <c r="Q1581" t="n">
        <v>12.2</v>
      </c>
      <c r="R1581" t="n">
        <v>11.6</v>
      </c>
      <c r="S1581" t="n">
        <v>31.5</v>
      </c>
      <c r="T1581" t="n">
        <v>38</v>
      </c>
      <c r="U1581" t="inlineStr">
        <is>
          <t>21,413</t>
        </is>
      </c>
      <c r="V1581" t="n">
        <v>23.4</v>
      </c>
      <c r="W1581" t="inlineStr">
        <is>
          <t>1%</t>
        </is>
      </c>
      <c r="X1581" t="inlineStr">
        <is>
          <t>45 : 55</t>
        </is>
      </c>
      <c r="Y1581" t="inlineStr"/>
      <c r="Z1581" t="n">
        <v>1501</v>
      </c>
      <c r="AA1581" t="n">
        <v>16.2</v>
      </c>
      <c r="AB1581" t="inlineStr">
        <is>
          <t>U1580</t>
        </is>
      </c>
      <c r="AC1581" t="inlineStr">
        <is>
          <t>CO</t>
        </is>
      </c>
      <c r="AD1581" t="n">
        <v>16.2</v>
      </c>
      <c r="AE1581" t="n">
        <v>11.6</v>
      </c>
      <c r="AF1581" t="n">
        <v>23.4</v>
      </c>
      <c r="AG1581" t="inlineStr">
        <is>
          <t>1:23.4</t>
        </is>
      </c>
      <c r="AH1581" t="inlineStr">
        <is>
          <t>1%</t>
        </is>
      </c>
      <c r="AI1581" t="inlineStr"/>
      <c r="AJ1581" t="n">
        <v>12.49</v>
      </c>
    </row>
    <row r="1582">
      <c r="A1582" t="inlineStr">
        <is>
          <t>Universidad Industrial de Santander - UIS</t>
        </is>
      </c>
      <c r="B1582" t="inlineStr">
        <is>
          <t>Colombia</t>
        </is>
      </c>
      <c r="C1582" t="inlineStr">
        <is>
          <t>1201-1400</t>
        </is>
      </c>
      <c r="D1582" t="inlineStr"/>
      <c r="E1582" t="n">
        <v>9.699999999999999</v>
      </c>
      <c r="F1582" t="n">
        <v>14.8</v>
      </c>
      <c r="G1582" t="n">
        <v>4.6</v>
      </c>
      <c r="H1582" t="n">
        <v>2.1</v>
      </c>
      <c r="I1582" t="n">
        <v>4.1</v>
      </c>
      <c r="J1582" t="n">
        <v>1.4</v>
      </c>
      <c r="K1582" t="n">
        <v>12.4</v>
      </c>
      <c r="L1582" t="n">
        <v>9</v>
      </c>
      <c r="M1582" t="n">
        <v>1.3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n">
        <v>1201</v>
      </c>
      <c r="Z1582" t="inlineStr"/>
      <c r="AA1582" t="inlineStr"/>
      <c r="AB1582" t="inlineStr">
        <is>
          <t>U1581</t>
        </is>
      </c>
      <c r="AC1582" t="inlineStr">
        <is>
          <t>CO</t>
        </is>
      </c>
      <c r="AD1582" t="inlineStr"/>
      <c r="AE1582" t="n">
        <v>2.1</v>
      </c>
      <c r="AF1582" t="inlineStr"/>
      <c r="AG1582" t="inlineStr"/>
      <c r="AH1582" t="inlineStr"/>
      <c r="AI1582" t="n">
        <v>9.699999999999999</v>
      </c>
      <c r="AJ1582" t="n">
        <v>14.02</v>
      </c>
    </row>
    <row r="1583">
      <c r="A1583" t="inlineStr">
        <is>
          <t>Universidad La Salle (ULSA)</t>
        </is>
      </c>
      <c r="B1583" t="inlineStr">
        <is>
          <t>Mexico</t>
        </is>
      </c>
      <c r="C1583" t="inlineStr">
        <is>
          <t>1201-1400</t>
        </is>
      </c>
      <c r="D1583" t="inlineStr"/>
      <c r="E1583" t="n">
        <v>4.5</v>
      </c>
      <c r="F1583" t="n">
        <v>15</v>
      </c>
      <c r="G1583" t="n">
        <v>22.3</v>
      </c>
      <c r="H1583" t="n">
        <v>1.1</v>
      </c>
      <c r="I1583" t="n">
        <v>2.2</v>
      </c>
      <c r="J1583" t="n">
        <v>1.6</v>
      </c>
      <c r="K1583" t="n">
        <v>1</v>
      </c>
      <c r="L1583" t="n">
        <v>4.8</v>
      </c>
      <c r="M1583" t="n">
        <v>1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n">
        <v>1201</v>
      </c>
      <c r="Z1583" t="inlineStr"/>
      <c r="AA1583" t="inlineStr"/>
      <c r="AB1583" t="inlineStr">
        <is>
          <t>U1582</t>
        </is>
      </c>
      <c r="AC1583" t="inlineStr">
        <is>
          <t>ME</t>
        </is>
      </c>
      <c r="AD1583" t="inlineStr"/>
      <c r="AE1583" t="n">
        <v>1.1</v>
      </c>
      <c r="AF1583" t="inlineStr"/>
      <c r="AG1583" t="inlineStr"/>
      <c r="AH1583" t="inlineStr"/>
      <c r="AI1583" t="n">
        <v>4.5</v>
      </c>
      <c r="AJ1583" t="n">
        <v>13.72</v>
      </c>
    </row>
    <row r="1584">
      <c r="A1584" t="inlineStr">
        <is>
          <t>Universidad Latinoamericana de Ciencia y Tecnología Costa Rica (ULACIT)</t>
        </is>
      </c>
      <c r="B1584" t="inlineStr">
        <is>
          <t>Costa Rica</t>
        </is>
      </c>
      <c r="C1584" t="inlineStr">
        <is>
          <t>1201-1400</t>
        </is>
      </c>
      <c r="D1584" t="inlineStr"/>
      <c r="E1584" t="n">
        <v>7.5</v>
      </c>
      <c r="F1584" t="n">
        <v>8.800000000000001</v>
      </c>
      <c r="G1584" t="n">
        <v>31.5</v>
      </c>
      <c r="H1584" t="n">
        <v>1</v>
      </c>
      <c r="I1584" t="n">
        <v>8.5</v>
      </c>
      <c r="J1584" t="n">
        <v>9.1</v>
      </c>
      <c r="K1584" t="n">
        <v>1</v>
      </c>
      <c r="L1584" t="n">
        <v>5.5</v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n">
        <v>1201</v>
      </c>
      <c r="Z1584" t="inlineStr"/>
      <c r="AA1584" t="inlineStr"/>
      <c r="AB1584" t="inlineStr">
        <is>
          <t>U1583</t>
        </is>
      </c>
      <c r="AC1584" t="inlineStr">
        <is>
          <t>CO</t>
        </is>
      </c>
      <c r="AD1584" t="inlineStr"/>
      <c r="AE1584" t="n">
        <v>1</v>
      </c>
      <c r="AF1584" t="inlineStr"/>
      <c r="AG1584" t="inlineStr"/>
      <c r="AH1584" t="inlineStr"/>
      <c r="AI1584" t="n">
        <v>7.5</v>
      </c>
      <c r="AJ1584" t="n">
        <v>13.69</v>
      </c>
    </row>
    <row r="1585">
      <c r="A1585" t="inlineStr">
        <is>
          <t>Universidad Loyola</t>
        </is>
      </c>
      <c r="B1585" t="inlineStr">
        <is>
          <t>Spain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>
        <is>
          <t>1201–1500</t>
        </is>
      </c>
      <c r="O1585" t="inlineStr">
        <is>
          <t>22.8–28.2</t>
        </is>
      </c>
      <c r="P1585" t="n">
        <v>23.2</v>
      </c>
      <c r="Q1585" t="n">
        <v>13</v>
      </c>
      <c r="R1585" t="n">
        <v>39.2</v>
      </c>
      <c r="S1585" t="n">
        <v>17.3</v>
      </c>
      <c r="T1585" t="n">
        <v>48.8</v>
      </c>
      <c r="U1585" t="inlineStr">
        <is>
          <t>3,481</t>
        </is>
      </c>
      <c r="V1585" t="n">
        <v>12.1</v>
      </c>
      <c r="W1585" t="inlineStr">
        <is>
          <t>4%</t>
        </is>
      </c>
      <c r="X1585" t="inlineStr">
        <is>
          <t>57 : 43</t>
        </is>
      </c>
      <c r="Y1585" t="inlineStr"/>
      <c r="Z1585" t="n">
        <v>1201</v>
      </c>
      <c r="AA1585" t="n">
        <v>25.5</v>
      </c>
      <c r="AB1585" t="inlineStr">
        <is>
          <t>U1584</t>
        </is>
      </c>
      <c r="AC1585" t="inlineStr">
        <is>
          <t>SP</t>
        </is>
      </c>
      <c r="AD1585" t="n">
        <v>25.5</v>
      </c>
      <c r="AE1585" t="n">
        <v>39.2</v>
      </c>
      <c r="AF1585" t="n">
        <v>12.1</v>
      </c>
      <c r="AG1585" t="inlineStr">
        <is>
          <t>1:12.1</t>
        </is>
      </c>
      <c r="AH1585" t="inlineStr">
        <is>
          <t>4%</t>
        </is>
      </c>
      <c r="AI1585" t="inlineStr"/>
      <c r="AJ1585" t="n">
        <v>23.89</v>
      </c>
    </row>
    <row r="1586">
      <c r="A1586" t="inlineStr">
        <is>
          <t>Universidad Mayor</t>
        </is>
      </c>
      <c r="B1586" t="inlineStr">
        <is>
          <t>Chile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>
        <is>
          <t>1501+</t>
        </is>
      </c>
      <c r="O1586" t="inlineStr">
        <is>
          <t>9.7–22.7</t>
        </is>
      </c>
      <c r="P1586" t="n">
        <v>18.6</v>
      </c>
      <c r="Q1586" t="n">
        <v>9.1</v>
      </c>
      <c r="R1586" t="n">
        <v>28.7</v>
      </c>
      <c r="S1586" t="n">
        <v>16</v>
      </c>
      <c r="T1586" t="n">
        <v>49.5</v>
      </c>
      <c r="U1586" t="inlineStr">
        <is>
          <t>22,644</t>
        </is>
      </c>
      <c r="V1586" t="n">
        <v>12.1</v>
      </c>
      <c r="W1586" t="inlineStr">
        <is>
          <t>1%</t>
        </is>
      </c>
      <c r="X1586" t="inlineStr">
        <is>
          <t>48 : 52</t>
        </is>
      </c>
      <c r="Y1586" t="inlineStr"/>
      <c r="Z1586" t="n">
        <v>1501</v>
      </c>
      <c r="AA1586" t="n">
        <v>16.2</v>
      </c>
      <c r="AB1586" t="inlineStr">
        <is>
          <t>U1585</t>
        </is>
      </c>
      <c r="AC1586" t="inlineStr">
        <is>
          <t>CH</t>
        </is>
      </c>
      <c r="AD1586" t="n">
        <v>16.2</v>
      </c>
      <c r="AE1586" t="n">
        <v>28.7</v>
      </c>
      <c r="AF1586" t="n">
        <v>12.1</v>
      </c>
      <c r="AG1586" t="inlineStr">
        <is>
          <t>1:12.1</t>
        </is>
      </c>
      <c r="AH1586" t="inlineStr">
        <is>
          <t>1%</t>
        </is>
      </c>
      <c r="AI1586" t="inlineStr"/>
      <c r="AJ1586" t="n">
        <v>18.83</v>
      </c>
    </row>
    <row r="1587">
      <c r="A1587" t="inlineStr">
        <is>
          <t>Universidad Mayor de San Andrés (UMSA)</t>
        </is>
      </c>
      <c r="B1587" t="inlineStr">
        <is>
          <t>Bolivia</t>
        </is>
      </c>
      <c r="C1587" t="inlineStr">
        <is>
          <t>1201-1400</t>
        </is>
      </c>
      <c r="D1587" t="inlineStr"/>
      <c r="E1587" t="n">
        <v>6.3</v>
      </c>
      <c r="F1587" t="n">
        <v>2.8</v>
      </c>
      <c r="G1587" t="n">
        <v>1.2</v>
      </c>
      <c r="H1587" t="n">
        <v>1.6</v>
      </c>
      <c r="I1587" t="n">
        <v>6.4</v>
      </c>
      <c r="J1587" t="n">
        <v>1</v>
      </c>
      <c r="K1587" t="n">
        <v>15.1</v>
      </c>
      <c r="L1587" t="n">
        <v>49.6</v>
      </c>
      <c r="M1587" t="n">
        <v>1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n">
        <v>1201</v>
      </c>
      <c r="Z1587" t="inlineStr"/>
      <c r="AA1587" t="inlineStr"/>
      <c r="AB1587" t="inlineStr">
        <is>
          <t>U1586</t>
        </is>
      </c>
      <c r="AC1587" t="inlineStr">
        <is>
          <t>BO</t>
        </is>
      </c>
      <c r="AD1587" t="inlineStr"/>
      <c r="AE1587" t="n">
        <v>1.6</v>
      </c>
      <c r="AF1587" t="inlineStr"/>
      <c r="AG1587" t="inlineStr"/>
      <c r="AH1587" t="inlineStr"/>
      <c r="AI1587" t="n">
        <v>6.3</v>
      </c>
      <c r="AJ1587" t="n">
        <v>13.87</v>
      </c>
    </row>
    <row r="1588">
      <c r="A1588" t="inlineStr">
        <is>
          <t>Universidad Metropolitana</t>
        </is>
      </c>
      <c r="B1588" t="inlineStr">
        <is>
          <t>Venezuela</t>
        </is>
      </c>
      <c r="C1588" t="inlineStr">
        <is>
          <t>1201-1400</t>
        </is>
      </c>
      <c r="D1588" t="inlineStr"/>
      <c r="E1588" t="n">
        <v>7.6</v>
      </c>
      <c r="F1588" t="n">
        <v>15.1</v>
      </c>
      <c r="G1588" t="n">
        <v>4.4</v>
      </c>
      <c r="H1588" t="n">
        <v>1.1</v>
      </c>
      <c r="I1588" t="n">
        <v>4.4</v>
      </c>
      <c r="J1588" t="n">
        <v>1.6</v>
      </c>
      <c r="K1588" t="n">
        <v>1.1</v>
      </c>
      <c r="L1588" t="n">
        <v>25.9</v>
      </c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n">
        <v>1201</v>
      </c>
      <c r="Z1588" t="inlineStr"/>
      <c r="AA1588" t="inlineStr"/>
      <c r="AB1588" t="inlineStr">
        <is>
          <t>U1587</t>
        </is>
      </c>
      <c r="AC1588" t="inlineStr">
        <is>
          <t>VE</t>
        </is>
      </c>
      <c r="AD1588" t="inlineStr"/>
      <c r="AE1588" t="n">
        <v>1.1</v>
      </c>
      <c r="AF1588" t="inlineStr"/>
      <c r="AG1588" t="inlineStr"/>
      <c r="AH1588" t="inlineStr"/>
      <c r="AI1588" t="n">
        <v>7.6</v>
      </c>
      <c r="AJ1588" t="n">
        <v>13.72</v>
      </c>
    </row>
    <row r="1589">
      <c r="A1589" t="inlineStr">
        <is>
          <t>Universidad Michoacana de San Nicolás de Hidalgo</t>
        </is>
      </c>
      <c r="B1589" t="inlineStr">
        <is>
          <t>Mexico</t>
        </is>
      </c>
      <c r="C1589" t="inlineStr">
        <is>
          <t>1401+</t>
        </is>
      </c>
      <c r="D1589" t="inlineStr"/>
      <c r="E1589" t="n">
        <v>4.1</v>
      </c>
      <c r="F1589" t="n">
        <v>1.8</v>
      </c>
      <c r="G1589" t="n">
        <v>2.5</v>
      </c>
      <c r="H1589" t="n">
        <v>2</v>
      </c>
      <c r="I1589" t="inlineStr"/>
      <c r="J1589" t="inlineStr"/>
      <c r="K1589" t="n">
        <v>14</v>
      </c>
      <c r="L1589" t="n">
        <v>1.5</v>
      </c>
      <c r="M1589" t="n">
        <v>1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n">
        <v>1401</v>
      </c>
      <c r="Z1589" t="inlineStr"/>
      <c r="AA1589" t="inlineStr"/>
      <c r="AB1589" t="inlineStr">
        <is>
          <t>U1588</t>
        </is>
      </c>
      <c r="AC1589" t="inlineStr">
        <is>
          <t>ME</t>
        </is>
      </c>
      <c r="AD1589" t="inlineStr"/>
      <c r="AE1589" t="n">
        <v>2</v>
      </c>
      <c r="AF1589" t="inlineStr"/>
      <c r="AG1589" t="inlineStr"/>
      <c r="AH1589" t="inlineStr"/>
      <c r="AI1589" t="n">
        <v>4.1</v>
      </c>
      <c r="AJ1589" t="n">
        <v>13.99</v>
      </c>
    </row>
    <row r="1590">
      <c r="A1590" t="inlineStr">
        <is>
          <t>Universidad Nacional Agraria la Molina</t>
        </is>
      </c>
      <c r="B1590" t="inlineStr">
        <is>
          <t>Peru</t>
        </is>
      </c>
      <c r="C1590" t="inlineStr">
        <is>
          <t>1201-1400</t>
        </is>
      </c>
      <c r="D1590" t="inlineStr"/>
      <c r="E1590" t="n">
        <v>7</v>
      </c>
      <c r="F1590" t="n">
        <v>6.4</v>
      </c>
      <c r="G1590" t="n">
        <v>12.4</v>
      </c>
      <c r="H1590" t="n">
        <v>1.6</v>
      </c>
      <c r="I1590" t="n">
        <v>1.3</v>
      </c>
      <c r="J1590" t="n">
        <v>1.7</v>
      </c>
      <c r="K1590" t="n">
        <v>9.4</v>
      </c>
      <c r="L1590" t="n">
        <v>6.7</v>
      </c>
      <c r="M1590" t="n">
        <v>1.5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n">
        <v>1201</v>
      </c>
      <c r="Z1590" t="inlineStr"/>
      <c r="AA1590" t="inlineStr"/>
      <c r="AB1590" t="inlineStr">
        <is>
          <t>U1589</t>
        </is>
      </c>
      <c r="AC1590" t="inlineStr">
        <is>
          <t>PE</t>
        </is>
      </c>
      <c r="AD1590" t="inlineStr"/>
      <c r="AE1590" t="n">
        <v>1.6</v>
      </c>
      <c r="AF1590" t="inlineStr"/>
      <c r="AG1590" t="inlineStr"/>
      <c r="AH1590" t="inlineStr"/>
      <c r="AI1590" t="n">
        <v>7</v>
      </c>
      <c r="AJ1590" t="n">
        <v>13.87</v>
      </c>
    </row>
    <row r="1591">
      <c r="A1591" t="inlineStr">
        <is>
          <t>Universidad Nacional Autónoma de Honduras (UNAH)</t>
        </is>
      </c>
      <c r="B1591" t="inlineStr">
        <is>
          <t>Honduras</t>
        </is>
      </c>
      <c r="C1591" t="inlineStr">
        <is>
          <t>1201-1400</t>
        </is>
      </c>
      <c r="D1591" t="inlineStr"/>
      <c r="E1591" t="n">
        <v>5.1</v>
      </c>
      <c r="F1591" t="n">
        <v>4</v>
      </c>
      <c r="G1591" t="n">
        <v>3.3</v>
      </c>
      <c r="H1591" t="n">
        <v>1</v>
      </c>
      <c r="I1591" t="n">
        <v>1.8</v>
      </c>
      <c r="J1591" t="inlineStr"/>
      <c r="K1591" t="n">
        <v>18.5</v>
      </c>
      <c r="L1591" t="n">
        <v>61.8</v>
      </c>
      <c r="M1591" t="n">
        <v>1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n">
        <v>1201</v>
      </c>
      <c r="Z1591" t="inlineStr"/>
      <c r="AA1591" t="inlineStr"/>
      <c r="AB1591" t="inlineStr">
        <is>
          <t>U1590</t>
        </is>
      </c>
      <c r="AC1591" t="inlineStr">
        <is>
          <t>HO</t>
        </is>
      </c>
      <c r="AD1591" t="inlineStr"/>
      <c r="AE1591" t="n">
        <v>1</v>
      </c>
      <c r="AF1591" t="inlineStr"/>
      <c r="AG1591" t="inlineStr"/>
      <c r="AH1591" t="inlineStr"/>
      <c r="AI1591" t="n">
        <v>5.1</v>
      </c>
      <c r="AJ1591" t="n">
        <v>13.69</v>
      </c>
    </row>
    <row r="1592">
      <c r="A1592" t="inlineStr">
        <is>
          <t>Universidad Nacional Autónoma de México (UNAM)</t>
        </is>
      </c>
      <c r="B1592" t="inlineStr">
        <is>
          <t>Mexico</t>
        </is>
      </c>
      <c r="C1592" t="inlineStr">
        <is>
          <t>94</t>
        </is>
      </c>
      <c r="D1592" t="n">
        <v>61.4</v>
      </c>
      <c r="E1592" t="n">
        <v>97</v>
      </c>
      <c r="F1592" t="n">
        <v>94.40000000000001</v>
      </c>
      <c r="G1592" t="n">
        <v>37.4</v>
      </c>
      <c r="H1592" t="n">
        <v>2.4</v>
      </c>
      <c r="I1592" t="n">
        <v>7.5</v>
      </c>
      <c r="J1592" t="n">
        <v>2.3</v>
      </c>
      <c r="K1592" t="n">
        <v>93.2</v>
      </c>
      <c r="L1592" t="n">
        <v>93.2</v>
      </c>
      <c r="M1592" t="n">
        <v>83.40000000000001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n">
        <v>94</v>
      </c>
      <c r="Z1592" t="inlineStr"/>
      <c r="AA1592" t="inlineStr"/>
      <c r="AB1592" t="inlineStr">
        <is>
          <t>U1591</t>
        </is>
      </c>
      <c r="AC1592" t="inlineStr">
        <is>
          <t>ME</t>
        </is>
      </c>
      <c r="AD1592" t="n">
        <v>61.4</v>
      </c>
      <c r="AE1592" t="n">
        <v>2.4</v>
      </c>
      <c r="AF1592" t="inlineStr"/>
      <c r="AG1592" t="inlineStr"/>
      <c r="AH1592" t="inlineStr"/>
      <c r="AI1592" t="n">
        <v>97</v>
      </c>
      <c r="AJ1592" t="n">
        <v>14.12</v>
      </c>
    </row>
    <row r="1593">
      <c r="A1593" t="inlineStr">
        <is>
          <t>Universidad Nacional, Costa Rica</t>
        </is>
      </c>
      <c r="B1593" t="inlineStr">
        <is>
          <t>Costa Rica</t>
        </is>
      </c>
      <c r="C1593" t="inlineStr">
        <is>
          <t>1201-1400</t>
        </is>
      </c>
      <c r="D1593" t="inlineStr"/>
      <c r="E1593" t="n">
        <v>10.2</v>
      </c>
      <c r="F1593" t="n">
        <v>10.5</v>
      </c>
      <c r="G1593" t="n">
        <v>12.1</v>
      </c>
      <c r="H1593" t="n">
        <v>1.5</v>
      </c>
      <c r="I1593" t="n">
        <v>9.699999999999999</v>
      </c>
      <c r="J1593" t="n">
        <v>2.3</v>
      </c>
      <c r="K1593" t="n">
        <v>17.2</v>
      </c>
      <c r="L1593" t="n">
        <v>4.7</v>
      </c>
      <c r="M1593" t="n">
        <v>1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n">
        <v>1201</v>
      </c>
      <c r="Z1593" t="inlineStr"/>
      <c r="AA1593" t="inlineStr"/>
      <c r="AB1593" t="inlineStr">
        <is>
          <t>U1592</t>
        </is>
      </c>
      <c r="AC1593" t="inlineStr">
        <is>
          <t>CO</t>
        </is>
      </c>
      <c r="AD1593" t="inlineStr"/>
      <c r="AE1593" t="n">
        <v>1.5</v>
      </c>
      <c r="AF1593" t="inlineStr"/>
      <c r="AG1593" t="inlineStr"/>
      <c r="AH1593" t="inlineStr"/>
      <c r="AI1593" t="n">
        <v>10.2</v>
      </c>
      <c r="AJ1593" t="n">
        <v>13.84</v>
      </c>
    </row>
    <row r="1594">
      <c r="A1594" t="inlineStr">
        <is>
          <t>Universidad Nacional de Córdoba - UNC</t>
        </is>
      </c>
      <c r="B1594" t="inlineStr">
        <is>
          <t>Argentina</t>
        </is>
      </c>
      <c r="C1594" t="inlineStr">
        <is>
          <t>901-950</t>
        </is>
      </c>
      <c r="D1594" t="inlineStr"/>
      <c r="E1594" t="n">
        <v>26.4</v>
      </c>
      <c r="F1594" t="n">
        <v>14</v>
      </c>
      <c r="G1594" t="n">
        <v>6.2</v>
      </c>
      <c r="H1594" t="n">
        <v>1.6</v>
      </c>
      <c r="I1594" t="n">
        <v>1.4</v>
      </c>
      <c r="J1594" t="n">
        <v>1.5</v>
      </c>
      <c r="K1594" t="n">
        <v>44.4</v>
      </c>
      <c r="L1594" t="n">
        <v>10.1</v>
      </c>
      <c r="M1594" t="n">
        <v>1.7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n">
        <v>901</v>
      </c>
      <c r="Z1594" t="inlineStr"/>
      <c r="AA1594" t="inlineStr"/>
      <c r="AB1594" t="inlineStr">
        <is>
          <t>U1593</t>
        </is>
      </c>
      <c r="AC1594" t="inlineStr">
        <is>
          <t>AR</t>
        </is>
      </c>
      <c r="AD1594" t="inlineStr"/>
      <c r="AE1594" t="n">
        <v>1.6</v>
      </c>
      <c r="AF1594" t="inlineStr"/>
      <c r="AG1594" t="inlineStr"/>
      <c r="AH1594" t="inlineStr"/>
      <c r="AI1594" t="n">
        <v>26.4</v>
      </c>
      <c r="AJ1594" t="n">
        <v>13.87</v>
      </c>
    </row>
    <row r="1595">
      <c r="A1595" t="inlineStr">
        <is>
          <t>Universidad Nacional de Colombia</t>
        </is>
      </c>
      <c r="B1595" t="inlineStr">
        <is>
          <t>Colombia</t>
        </is>
      </c>
      <c r="C1595" t="inlineStr">
        <is>
          <t>219</t>
        </is>
      </c>
      <c r="D1595" t="n">
        <v>43.9</v>
      </c>
      <c r="E1595" t="n">
        <v>71</v>
      </c>
      <c r="F1595" t="n">
        <v>89.90000000000001</v>
      </c>
      <c r="G1595" t="n">
        <v>5.4</v>
      </c>
      <c r="H1595" t="n">
        <v>3.4</v>
      </c>
      <c r="I1595" t="n">
        <v>5.6</v>
      </c>
      <c r="J1595" t="n">
        <v>1.4</v>
      </c>
      <c r="K1595" t="n">
        <v>65.90000000000001</v>
      </c>
      <c r="L1595" t="n">
        <v>42.6</v>
      </c>
      <c r="M1595" t="n">
        <v>53.1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n">
        <v>219</v>
      </c>
      <c r="Z1595" t="inlineStr"/>
      <c r="AA1595" t="inlineStr"/>
      <c r="AB1595" t="inlineStr">
        <is>
          <t>U1594</t>
        </is>
      </c>
      <c r="AC1595" t="inlineStr">
        <is>
          <t>CO</t>
        </is>
      </c>
      <c r="AD1595" t="n">
        <v>43.9</v>
      </c>
      <c r="AE1595" t="n">
        <v>3.4</v>
      </c>
      <c r="AF1595" t="inlineStr"/>
      <c r="AG1595" t="inlineStr"/>
      <c r="AH1595" t="inlineStr"/>
      <c r="AI1595" t="n">
        <v>71</v>
      </c>
      <c r="AJ1595" t="n">
        <v>14.42</v>
      </c>
    </row>
    <row r="1596">
      <c r="A1596" t="inlineStr">
        <is>
          <t>Universidad Nacional de Cuyo</t>
        </is>
      </c>
      <c r="B1596" t="inlineStr">
        <is>
          <t>Argentina</t>
        </is>
      </c>
      <c r="C1596" t="inlineStr">
        <is>
          <t>1001-1200</t>
        </is>
      </c>
      <c r="D1596" t="inlineStr"/>
      <c r="E1596" t="n">
        <v>12.9</v>
      </c>
      <c r="F1596" t="n">
        <v>6.1</v>
      </c>
      <c r="G1596" t="n">
        <v>23</v>
      </c>
      <c r="H1596" t="n">
        <v>1.6</v>
      </c>
      <c r="I1596" t="n">
        <v>1.8</v>
      </c>
      <c r="J1596" t="n">
        <v>13.9</v>
      </c>
      <c r="K1596" t="n">
        <v>27.4</v>
      </c>
      <c r="L1596" t="n">
        <v>10.3</v>
      </c>
      <c r="M1596" t="n">
        <v>8.4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n">
        <v>1001</v>
      </c>
      <c r="Z1596" t="inlineStr"/>
      <c r="AA1596" t="inlineStr"/>
      <c r="AB1596" t="inlineStr">
        <is>
          <t>U1595</t>
        </is>
      </c>
      <c r="AC1596" t="inlineStr">
        <is>
          <t>AR</t>
        </is>
      </c>
      <c r="AD1596" t="inlineStr"/>
      <c r="AE1596" t="n">
        <v>1.6</v>
      </c>
      <c r="AF1596" t="inlineStr"/>
      <c r="AG1596" t="inlineStr"/>
      <c r="AH1596" t="inlineStr"/>
      <c r="AI1596" t="n">
        <v>12.9</v>
      </c>
      <c r="AJ1596" t="n">
        <v>13.87</v>
      </c>
    </row>
    <row r="1597">
      <c r="A1597" t="inlineStr">
        <is>
          <t>Universidad Nacional de Ingeniería Peru</t>
        </is>
      </c>
      <c r="B1597" t="inlineStr">
        <is>
          <t>Peru</t>
        </is>
      </c>
      <c r="C1597" t="inlineStr">
        <is>
          <t>1201-1400</t>
        </is>
      </c>
      <c r="D1597" t="inlineStr"/>
      <c r="E1597" t="n">
        <v>7.4</v>
      </c>
      <c r="F1597" t="n">
        <v>27.2</v>
      </c>
      <c r="G1597" t="n">
        <v>9.1</v>
      </c>
      <c r="H1597" t="n">
        <v>1.5</v>
      </c>
      <c r="I1597" t="inlineStr"/>
      <c r="J1597" t="inlineStr"/>
      <c r="K1597" t="n">
        <v>5.6</v>
      </c>
      <c r="L1597" t="n">
        <v>19.1</v>
      </c>
      <c r="M1597" t="n">
        <v>1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n">
        <v>1201</v>
      </c>
      <c r="Z1597" t="inlineStr"/>
      <c r="AA1597" t="inlineStr"/>
      <c r="AB1597" t="inlineStr">
        <is>
          <t>U1596</t>
        </is>
      </c>
      <c r="AC1597" t="inlineStr">
        <is>
          <t>PE</t>
        </is>
      </c>
      <c r="AD1597" t="inlineStr"/>
      <c r="AE1597" t="n">
        <v>1.5</v>
      </c>
      <c r="AF1597" t="inlineStr"/>
      <c r="AG1597" t="inlineStr"/>
      <c r="AH1597" t="inlineStr"/>
      <c r="AI1597" t="n">
        <v>7.4</v>
      </c>
      <c r="AJ1597" t="n">
        <v>13.84</v>
      </c>
    </row>
    <row r="1598">
      <c r="A1598" t="inlineStr">
        <is>
          <t>Universidad Nacional de la Asunción</t>
        </is>
      </c>
      <c r="B1598" t="inlineStr">
        <is>
          <t>Paraguay</t>
        </is>
      </c>
      <c r="C1598" t="inlineStr">
        <is>
          <t>1001-1200</t>
        </is>
      </c>
      <c r="D1598" t="inlineStr"/>
      <c r="E1598" t="n">
        <v>6.1</v>
      </c>
      <c r="F1598" t="n">
        <v>5.3</v>
      </c>
      <c r="G1598" t="n">
        <v>31.7</v>
      </c>
      <c r="H1598" t="n">
        <v>1.1</v>
      </c>
      <c r="I1598" t="n">
        <v>1.3</v>
      </c>
      <c r="J1598" t="n">
        <v>1.7</v>
      </c>
      <c r="K1598" t="n">
        <v>11.8</v>
      </c>
      <c r="L1598" t="n">
        <v>69</v>
      </c>
      <c r="M1598" t="n">
        <v>1.1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n">
        <v>1001</v>
      </c>
      <c r="Z1598" t="inlineStr"/>
      <c r="AA1598" t="inlineStr"/>
      <c r="AB1598" t="inlineStr">
        <is>
          <t>U1597</t>
        </is>
      </c>
      <c r="AC1598" t="inlineStr">
        <is>
          <t>PA</t>
        </is>
      </c>
      <c r="AD1598" t="inlineStr"/>
      <c r="AE1598" t="n">
        <v>1.1</v>
      </c>
      <c r="AF1598" t="inlineStr"/>
      <c r="AG1598" t="inlineStr"/>
      <c r="AH1598" t="inlineStr"/>
      <c r="AI1598" t="n">
        <v>6.1</v>
      </c>
      <c r="AJ1598" t="n">
        <v>13.72</v>
      </c>
    </row>
    <row r="1599">
      <c r="A1599" t="inlineStr">
        <is>
          <t>Universidad Nacional de La Plata (UNLP)</t>
        </is>
      </c>
      <c r="B1599" t="inlineStr">
        <is>
          <t>Argentina</t>
        </is>
      </c>
      <c r="C1599" t="inlineStr">
        <is>
          <t>534</t>
        </is>
      </c>
      <c r="D1599" t="n">
        <v>23</v>
      </c>
      <c r="E1599" t="n">
        <v>40.8</v>
      </c>
      <c r="F1599" t="n">
        <v>19.2</v>
      </c>
      <c r="G1599" t="n">
        <v>28.4</v>
      </c>
      <c r="H1599" t="n">
        <v>1.9</v>
      </c>
      <c r="I1599" t="n">
        <v>5.3</v>
      </c>
      <c r="J1599" t="n">
        <v>22.6</v>
      </c>
      <c r="K1599" t="n">
        <v>55.4</v>
      </c>
      <c r="L1599" t="n">
        <v>27.3</v>
      </c>
      <c r="M1599" t="n">
        <v>2.2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n">
        <v>534</v>
      </c>
      <c r="Z1599" t="inlineStr"/>
      <c r="AA1599" t="inlineStr"/>
      <c r="AB1599" t="inlineStr">
        <is>
          <t>U1598</t>
        </is>
      </c>
      <c r="AC1599" t="inlineStr">
        <is>
          <t>AR</t>
        </is>
      </c>
      <c r="AD1599" t="n">
        <v>23</v>
      </c>
      <c r="AE1599" t="n">
        <v>1.9</v>
      </c>
      <c r="AF1599" t="inlineStr"/>
      <c r="AG1599" t="inlineStr"/>
      <c r="AH1599" t="inlineStr"/>
      <c r="AI1599" t="n">
        <v>40.8</v>
      </c>
      <c r="AJ1599" t="n">
        <v>13.96</v>
      </c>
    </row>
    <row r="1600">
      <c r="A1600" t="inlineStr">
        <is>
          <t>Universidad Nacional de Mar del Plata</t>
        </is>
      </c>
      <c r="B1600" t="inlineStr">
        <is>
          <t>Argentina</t>
        </is>
      </c>
      <c r="C1600" t="inlineStr">
        <is>
          <t>1201-1400</t>
        </is>
      </c>
      <c r="D1600" t="inlineStr"/>
      <c r="E1600" t="n">
        <v>8.6</v>
      </c>
      <c r="F1600" t="n">
        <v>2.8</v>
      </c>
      <c r="G1600" t="n">
        <v>4.9</v>
      </c>
      <c r="H1600" t="n">
        <v>3.5</v>
      </c>
      <c r="I1600" t="inlineStr"/>
      <c r="J1600" t="inlineStr"/>
      <c r="K1600" t="n">
        <v>28.5</v>
      </c>
      <c r="L1600" t="n">
        <v>1.2</v>
      </c>
      <c r="M1600" t="n">
        <v>1.2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n">
        <v>1201</v>
      </c>
      <c r="Z1600" t="inlineStr"/>
      <c r="AA1600" t="inlineStr"/>
      <c r="AB1600" t="inlineStr">
        <is>
          <t>U1599</t>
        </is>
      </c>
      <c r="AC1600" t="inlineStr">
        <is>
          <t>AR</t>
        </is>
      </c>
      <c r="AD1600" t="inlineStr"/>
      <c r="AE1600" t="n">
        <v>3.5</v>
      </c>
      <c r="AF1600" t="inlineStr"/>
      <c r="AG1600" t="inlineStr"/>
      <c r="AH1600" t="inlineStr"/>
      <c r="AI1600" t="n">
        <v>8.6</v>
      </c>
      <c r="AJ1600" t="n">
        <v>14.45</v>
      </c>
    </row>
    <row r="1601">
      <c r="A1601" t="inlineStr">
        <is>
          <t>Universidad Nacional de Quilmes</t>
        </is>
      </c>
      <c r="B1601" t="inlineStr">
        <is>
          <t>Argentina</t>
        </is>
      </c>
      <c r="C1601" t="inlineStr">
        <is>
          <t>1401+</t>
        </is>
      </c>
      <c r="D1601" t="inlineStr"/>
      <c r="E1601" t="n">
        <v>6.7</v>
      </c>
      <c r="F1601" t="n">
        <v>1.7</v>
      </c>
      <c r="G1601" t="n">
        <v>3.3</v>
      </c>
      <c r="H1601" t="n">
        <v>1.7</v>
      </c>
      <c r="I1601" t="n">
        <v>2.8</v>
      </c>
      <c r="J1601" t="n">
        <v>1.8</v>
      </c>
      <c r="K1601" t="n">
        <v>11.9</v>
      </c>
      <c r="L1601" t="n">
        <v>2.9</v>
      </c>
      <c r="M1601" t="n">
        <v>1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n">
        <v>1401</v>
      </c>
      <c r="Z1601" t="inlineStr"/>
      <c r="AA1601" t="inlineStr"/>
      <c r="AB1601" t="inlineStr">
        <is>
          <t>U1600</t>
        </is>
      </c>
      <c r="AC1601" t="inlineStr">
        <is>
          <t>AR</t>
        </is>
      </c>
      <c r="AD1601" t="inlineStr"/>
      <c r="AE1601" t="n">
        <v>1.7</v>
      </c>
      <c r="AF1601" t="inlineStr"/>
      <c r="AG1601" t="inlineStr"/>
      <c r="AH1601" t="inlineStr"/>
      <c r="AI1601" t="n">
        <v>6.7</v>
      </c>
      <c r="AJ1601" t="n">
        <v>13.9</v>
      </c>
    </row>
    <row r="1602">
      <c r="A1602" t="inlineStr">
        <is>
          <t>Universidad Nacional de Río Cuarto - UNRC</t>
        </is>
      </c>
      <c r="B1602" t="inlineStr">
        <is>
          <t>Argentina</t>
        </is>
      </c>
      <c r="C1602" t="inlineStr">
        <is>
          <t>1201-1400</t>
        </is>
      </c>
      <c r="D1602" t="inlineStr"/>
      <c r="E1602" t="n">
        <v>4.1</v>
      </c>
      <c r="F1602" t="n">
        <v>1.6</v>
      </c>
      <c r="G1602" t="n">
        <v>33.2</v>
      </c>
      <c r="H1602" t="n">
        <v>1.4</v>
      </c>
      <c r="I1602" t="inlineStr"/>
      <c r="J1602" t="inlineStr"/>
      <c r="K1602" t="n">
        <v>10.7</v>
      </c>
      <c r="L1602" t="n">
        <v>1.3</v>
      </c>
      <c r="M1602" t="n">
        <v>1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n">
        <v>1201</v>
      </c>
      <c r="Z1602" t="inlineStr"/>
      <c r="AA1602" t="inlineStr"/>
      <c r="AB1602" t="inlineStr">
        <is>
          <t>U1601</t>
        </is>
      </c>
      <c r="AC1602" t="inlineStr">
        <is>
          <t>AR</t>
        </is>
      </c>
      <c r="AD1602" t="inlineStr"/>
      <c r="AE1602" t="n">
        <v>1.4</v>
      </c>
      <c r="AF1602" t="inlineStr"/>
      <c r="AG1602" t="inlineStr"/>
      <c r="AH1602" t="inlineStr"/>
      <c r="AI1602" t="n">
        <v>4.1</v>
      </c>
      <c r="AJ1602" t="n">
        <v>13.81</v>
      </c>
    </row>
    <row r="1603">
      <c r="A1603" t="inlineStr">
        <is>
          <t>Universidad Nacional de Rosario (UNR)</t>
        </is>
      </c>
      <c r="B1603" t="inlineStr">
        <is>
          <t>Argentina</t>
        </is>
      </c>
      <c r="C1603" t="inlineStr">
        <is>
          <t>951-1000</t>
        </is>
      </c>
      <c r="D1603" t="inlineStr"/>
      <c r="E1603" t="n">
        <v>19.5</v>
      </c>
      <c r="F1603" t="n">
        <v>7.7</v>
      </c>
      <c r="G1603" t="n">
        <v>31.2</v>
      </c>
      <c r="H1603" t="n">
        <v>1.1</v>
      </c>
      <c r="I1603" t="inlineStr"/>
      <c r="J1603" t="n">
        <v>6.4</v>
      </c>
      <c r="K1603" t="n">
        <v>26.8</v>
      </c>
      <c r="L1603" t="n">
        <v>10.7</v>
      </c>
      <c r="M1603" t="n">
        <v>1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n">
        <v>951</v>
      </c>
      <c r="Z1603" t="inlineStr"/>
      <c r="AA1603" t="inlineStr"/>
      <c r="AB1603" t="inlineStr">
        <is>
          <t>U1602</t>
        </is>
      </c>
      <c r="AC1603" t="inlineStr">
        <is>
          <t>AR</t>
        </is>
      </c>
      <c r="AD1603" t="inlineStr"/>
      <c r="AE1603" t="n">
        <v>1.1</v>
      </c>
      <c r="AF1603" t="inlineStr"/>
      <c r="AG1603" t="inlineStr"/>
      <c r="AH1603" t="inlineStr"/>
      <c r="AI1603" t="n">
        <v>19.5</v>
      </c>
      <c r="AJ1603" t="n">
        <v>13.72</v>
      </c>
    </row>
    <row r="1604">
      <c r="A1604" t="inlineStr">
        <is>
          <t>Universidad Nacional de San Luis</t>
        </is>
      </c>
      <c r="B1604" t="inlineStr">
        <is>
          <t>Argentina</t>
        </is>
      </c>
      <c r="C1604" t="inlineStr">
        <is>
          <t>1001-1200</t>
        </is>
      </c>
      <c r="D1604" t="inlineStr"/>
      <c r="E1604" t="n">
        <v>3.8</v>
      </c>
      <c r="F1604" t="n">
        <v>1.4</v>
      </c>
      <c r="G1604" t="n">
        <v>73.8</v>
      </c>
      <c r="H1604" t="n">
        <v>1.2</v>
      </c>
      <c r="I1604" t="inlineStr"/>
      <c r="J1604" t="inlineStr"/>
      <c r="K1604" t="n">
        <v>9.800000000000001</v>
      </c>
      <c r="L1604" t="n">
        <v>1.2</v>
      </c>
      <c r="M1604" t="n">
        <v>1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n">
        <v>1001</v>
      </c>
      <c r="Z1604" t="inlineStr"/>
      <c r="AA1604" t="inlineStr"/>
      <c r="AB1604" t="inlineStr">
        <is>
          <t>U1603</t>
        </is>
      </c>
      <c r="AC1604" t="inlineStr">
        <is>
          <t>AR</t>
        </is>
      </c>
      <c r="AD1604" t="inlineStr"/>
      <c r="AE1604" t="n">
        <v>1.2</v>
      </c>
      <c r="AF1604" t="inlineStr"/>
      <c r="AG1604" t="inlineStr"/>
      <c r="AH1604" t="inlineStr"/>
      <c r="AI1604" t="n">
        <v>3.8</v>
      </c>
      <c r="AJ1604" t="n">
        <v>13.75</v>
      </c>
    </row>
    <row r="1605">
      <c r="A1605" t="inlineStr">
        <is>
          <t>Universidad Nacional de San Martín (UNSAM)</t>
        </is>
      </c>
      <c r="B1605" t="inlineStr">
        <is>
          <t>Argentina</t>
        </is>
      </c>
      <c r="C1605" t="inlineStr">
        <is>
          <t>1201-1400</t>
        </is>
      </c>
      <c r="D1605" t="inlineStr"/>
      <c r="E1605" t="n">
        <v>11.3</v>
      </c>
      <c r="F1605" t="n">
        <v>2.7</v>
      </c>
      <c r="G1605" t="n">
        <v>6.2</v>
      </c>
      <c r="H1605" t="n">
        <v>2.2</v>
      </c>
      <c r="I1605" t="n">
        <v>1.6</v>
      </c>
      <c r="J1605" t="n">
        <v>3.7</v>
      </c>
      <c r="K1605" t="n">
        <v>24.5</v>
      </c>
      <c r="L1605" t="n">
        <v>1.2</v>
      </c>
      <c r="M1605" t="n">
        <v>1.1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n">
        <v>1201</v>
      </c>
      <c r="Z1605" t="inlineStr"/>
      <c r="AA1605" t="inlineStr"/>
      <c r="AB1605" t="inlineStr">
        <is>
          <t>U1604</t>
        </is>
      </c>
      <c r="AC1605" t="inlineStr">
        <is>
          <t>AR</t>
        </is>
      </c>
      <c r="AD1605" t="inlineStr"/>
      <c r="AE1605" t="n">
        <v>2.2</v>
      </c>
      <c r="AF1605" t="inlineStr"/>
      <c r="AG1605" t="inlineStr"/>
      <c r="AH1605" t="inlineStr"/>
      <c r="AI1605" t="n">
        <v>11.3</v>
      </c>
      <c r="AJ1605" t="n">
        <v>14.06</v>
      </c>
    </row>
    <row r="1606">
      <c r="A1606" t="inlineStr">
        <is>
          <t>Universidad Nacional de Tucumán</t>
        </is>
      </c>
      <c r="B1606" t="inlineStr">
        <is>
          <t>Argentina</t>
        </is>
      </c>
      <c r="C1606" t="inlineStr">
        <is>
          <t>1401+</t>
        </is>
      </c>
      <c r="D1606" t="inlineStr"/>
      <c r="E1606" t="n">
        <v>7.4</v>
      </c>
      <c r="F1606" t="n">
        <v>2.1</v>
      </c>
      <c r="G1606" t="n">
        <v>2.6</v>
      </c>
      <c r="H1606" t="n">
        <v>1.6</v>
      </c>
      <c r="I1606" t="inlineStr"/>
      <c r="J1606" t="inlineStr"/>
      <c r="K1606" t="n">
        <v>31</v>
      </c>
      <c r="L1606" t="n">
        <v>3.6</v>
      </c>
      <c r="M1606" t="n">
        <v>1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n">
        <v>1401</v>
      </c>
      <c r="Z1606" t="inlineStr"/>
      <c r="AA1606" t="inlineStr"/>
      <c r="AB1606" t="inlineStr">
        <is>
          <t>U1605</t>
        </is>
      </c>
      <c r="AC1606" t="inlineStr">
        <is>
          <t>AR</t>
        </is>
      </c>
      <c r="AD1606" t="inlineStr"/>
      <c r="AE1606" t="n">
        <v>1.6</v>
      </c>
      <c r="AF1606" t="inlineStr"/>
      <c r="AG1606" t="inlineStr"/>
      <c r="AH1606" t="inlineStr"/>
      <c r="AI1606" t="n">
        <v>7.4</v>
      </c>
      <c r="AJ1606" t="n">
        <v>13.87</v>
      </c>
    </row>
    <row r="1607">
      <c r="A1607" t="inlineStr">
        <is>
          <t>Universidad Nacional del Centro de la Provincia de Buenos Aires (UNICEN)</t>
        </is>
      </c>
      <c r="B1607" t="inlineStr">
        <is>
          <t>Argentina</t>
        </is>
      </c>
      <c r="C1607" t="inlineStr">
        <is>
          <t>1001-1200</t>
        </is>
      </c>
      <c r="D1607" t="inlineStr"/>
      <c r="E1607" t="n">
        <v>5.5</v>
      </c>
      <c r="F1607" t="n">
        <v>2.5</v>
      </c>
      <c r="G1607" t="n">
        <v>76.8</v>
      </c>
      <c r="H1607" t="n">
        <v>1.3</v>
      </c>
      <c r="I1607" t="inlineStr"/>
      <c r="J1607" t="inlineStr"/>
      <c r="K1607" t="n">
        <v>13.9</v>
      </c>
      <c r="L1607" t="n">
        <v>1.3</v>
      </c>
      <c r="M1607" t="n">
        <v>1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n">
        <v>1001</v>
      </c>
      <c r="Z1607" t="inlineStr"/>
      <c r="AA1607" t="inlineStr"/>
      <c r="AB1607" t="inlineStr">
        <is>
          <t>U1606</t>
        </is>
      </c>
      <c r="AC1607" t="inlineStr">
        <is>
          <t>AR</t>
        </is>
      </c>
      <c r="AD1607" t="inlineStr"/>
      <c r="AE1607" t="n">
        <v>1.3</v>
      </c>
      <c r="AF1607" t="inlineStr"/>
      <c r="AG1607" t="inlineStr"/>
      <c r="AH1607" t="inlineStr"/>
      <c r="AI1607" t="n">
        <v>5.5</v>
      </c>
      <c r="AJ1607" t="n">
        <v>13.78</v>
      </c>
    </row>
    <row r="1608">
      <c r="A1608" t="inlineStr">
        <is>
          <t>Universidad Nacional del Comahue</t>
        </is>
      </c>
      <c r="B1608" t="inlineStr">
        <is>
          <t>Argentina</t>
        </is>
      </c>
      <c r="C1608" t="inlineStr">
        <is>
          <t>1401+</t>
        </is>
      </c>
      <c r="D1608" t="inlineStr"/>
      <c r="E1608" t="n">
        <v>5.1</v>
      </c>
      <c r="F1608" t="n">
        <v>2.4</v>
      </c>
      <c r="G1608" t="n">
        <v>20.4</v>
      </c>
      <c r="H1608" t="n">
        <v>1.3</v>
      </c>
      <c r="I1608" t="inlineStr"/>
      <c r="J1608" t="inlineStr"/>
      <c r="K1608" t="n">
        <v>13.1</v>
      </c>
      <c r="L1608" t="n">
        <v>2.1</v>
      </c>
      <c r="M1608" t="n">
        <v>1.2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n">
        <v>1401</v>
      </c>
      <c r="Z1608" t="inlineStr"/>
      <c r="AA1608" t="inlineStr"/>
      <c r="AB1608" t="inlineStr">
        <is>
          <t>U1607</t>
        </is>
      </c>
      <c r="AC1608" t="inlineStr">
        <is>
          <t>AR</t>
        </is>
      </c>
      <c r="AD1608" t="inlineStr"/>
      <c r="AE1608" t="n">
        <v>1.3</v>
      </c>
      <c r="AF1608" t="inlineStr"/>
      <c r="AG1608" t="inlineStr"/>
      <c r="AH1608" t="inlineStr"/>
      <c r="AI1608" t="n">
        <v>5.1</v>
      </c>
      <c r="AJ1608" t="n">
        <v>13.78</v>
      </c>
    </row>
    <row r="1609">
      <c r="A1609" t="inlineStr">
        <is>
          <t>Universidad Nacional del Litoral</t>
        </is>
      </c>
      <c r="B1609" t="inlineStr">
        <is>
          <t>Argentina</t>
        </is>
      </c>
      <c r="C1609" t="inlineStr">
        <is>
          <t>1201-1400</t>
        </is>
      </c>
      <c r="D1609" t="inlineStr"/>
      <c r="E1609" t="n">
        <v>12.7</v>
      </c>
      <c r="F1609" t="n">
        <v>5.7</v>
      </c>
      <c r="G1609" t="n">
        <v>2.2</v>
      </c>
      <c r="H1609" t="n">
        <v>2.5</v>
      </c>
      <c r="I1609" t="n">
        <v>5</v>
      </c>
      <c r="J1609" t="n">
        <v>1.2</v>
      </c>
      <c r="K1609" t="n">
        <v>24.5</v>
      </c>
      <c r="L1609" t="n">
        <v>3.7</v>
      </c>
      <c r="M1609" t="n">
        <v>5.1</v>
      </c>
      <c r="N1609" t="inlineStr">
        <is>
          <t>1501+</t>
        </is>
      </c>
      <c r="O1609" t="inlineStr">
        <is>
          <t>9.7–22.7</t>
        </is>
      </c>
      <c r="P1609" t="n">
        <v>12</v>
      </c>
      <c r="Q1609" t="n">
        <v>9.4</v>
      </c>
      <c r="R1609" t="n">
        <v>16.9</v>
      </c>
      <c r="S1609" t="n">
        <v>24.1</v>
      </c>
      <c r="T1609" t="n">
        <v>29.2</v>
      </c>
      <c r="U1609" t="inlineStr">
        <is>
          <t>50,145</t>
        </is>
      </c>
      <c r="V1609" t="n">
        <v>35.2</v>
      </c>
      <c r="W1609" t="inlineStr">
        <is>
          <t>0%</t>
        </is>
      </c>
      <c r="X1609" t="inlineStr">
        <is>
          <t>63 : 37</t>
        </is>
      </c>
      <c r="Y1609" t="n">
        <v>1201</v>
      </c>
      <c r="Z1609" t="n">
        <v>1501</v>
      </c>
      <c r="AA1609" t="n">
        <v>16.2</v>
      </c>
      <c r="AB1609" t="inlineStr">
        <is>
          <t>U1608</t>
        </is>
      </c>
      <c r="AC1609" t="inlineStr">
        <is>
          <t>AR</t>
        </is>
      </c>
      <c r="AD1609" t="n">
        <v>16.2</v>
      </c>
      <c r="AE1609" t="n">
        <v>2.5</v>
      </c>
      <c r="AF1609" t="n">
        <v>35.2</v>
      </c>
      <c r="AG1609" t="inlineStr">
        <is>
          <t>1:35.2</t>
        </is>
      </c>
      <c r="AH1609" t="inlineStr">
        <is>
          <t>0%</t>
        </is>
      </c>
      <c r="AI1609" t="n">
        <v>12.7</v>
      </c>
      <c r="AJ1609" t="n">
        <v>6.14</v>
      </c>
    </row>
    <row r="1610">
      <c r="A1610" t="inlineStr">
        <is>
          <t>Universidad Nacional del Sur</t>
        </is>
      </c>
      <c r="B1610" t="inlineStr">
        <is>
          <t>Argentina</t>
        </is>
      </c>
      <c r="C1610" t="inlineStr">
        <is>
          <t>1201-1400</t>
        </is>
      </c>
      <c r="D1610" t="inlineStr"/>
      <c r="E1610" t="n">
        <v>6.7</v>
      </c>
      <c r="F1610" t="n">
        <v>2</v>
      </c>
      <c r="G1610" t="n">
        <v>17.8</v>
      </c>
      <c r="H1610" t="n">
        <v>1.7</v>
      </c>
      <c r="I1610" t="inlineStr"/>
      <c r="J1610" t="inlineStr"/>
      <c r="K1610" t="n">
        <v>27.2</v>
      </c>
      <c r="L1610" t="n">
        <v>2.9</v>
      </c>
      <c r="M1610" t="n">
        <v>1.2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n">
        <v>1201</v>
      </c>
      <c r="Z1610" t="inlineStr"/>
      <c r="AA1610" t="inlineStr"/>
      <c r="AB1610" t="inlineStr">
        <is>
          <t>U1609</t>
        </is>
      </c>
      <c r="AC1610" t="inlineStr">
        <is>
          <t>AR</t>
        </is>
      </c>
      <c r="AD1610" t="inlineStr"/>
      <c r="AE1610" t="n">
        <v>1.7</v>
      </c>
      <c r="AF1610" t="inlineStr"/>
      <c r="AG1610" t="inlineStr"/>
      <c r="AH1610" t="inlineStr"/>
      <c r="AI1610" t="n">
        <v>6.7</v>
      </c>
      <c r="AJ1610" t="n">
        <v>13.9</v>
      </c>
    </row>
    <row r="1611">
      <c r="A1611" t="inlineStr">
        <is>
          <t>Universidad Nacional Mayor de San Marcos</t>
        </is>
      </c>
      <c r="B1611" t="inlineStr">
        <is>
          <t>Peru</t>
        </is>
      </c>
      <c r="C1611" t="inlineStr">
        <is>
          <t>901-950</t>
        </is>
      </c>
      <c r="D1611" t="inlineStr"/>
      <c r="E1611" t="n">
        <v>20.6</v>
      </c>
      <c r="F1611" t="n">
        <v>22.9</v>
      </c>
      <c r="G1611" t="n">
        <v>7.9</v>
      </c>
      <c r="H1611" t="n">
        <v>1.3</v>
      </c>
      <c r="I1611" t="inlineStr"/>
      <c r="J1611" t="inlineStr"/>
      <c r="K1611" t="n">
        <v>33.2</v>
      </c>
      <c r="L1611" t="n">
        <v>38.6</v>
      </c>
      <c r="M1611" t="n">
        <v>1.1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n">
        <v>901</v>
      </c>
      <c r="Z1611" t="inlineStr"/>
      <c r="AA1611" t="inlineStr"/>
      <c r="AB1611" t="inlineStr">
        <is>
          <t>U1610</t>
        </is>
      </c>
      <c r="AC1611" t="inlineStr">
        <is>
          <t>PE</t>
        </is>
      </c>
      <c r="AD1611" t="inlineStr"/>
      <c r="AE1611" t="n">
        <v>1.3</v>
      </c>
      <c r="AF1611" t="inlineStr"/>
      <c r="AG1611" t="inlineStr"/>
      <c r="AH1611" t="inlineStr"/>
      <c r="AI1611" t="n">
        <v>20.6</v>
      </c>
      <c r="AJ1611" t="n">
        <v>13.78</v>
      </c>
    </row>
    <row r="1612">
      <c r="A1612" t="inlineStr">
        <is>
          <t>Universidad ORT Uruguay</t>
        </is>
      </c>
      <c r="B1612" t="inlineStr">
        <is>
          <t>Uruguay</t>
        </is>
      </c>
      <c r="C1612" t="inlineStr">
        <is>
          <t>851-900</t>
        </is>
      </c>
      <c r="D1612" t="inlineStr"/>
      <c r="E1612" t="n">
        <v>11.2</v>
      </c>
      <c r="F1612" t="n">
        <v>12.4</v>
      </c>
      <c r="G1612" t="n">
        <v>79</v>
      </c>
      <c r="H1612" t="n">
        <v>1.1</v>
      </c>
      <c r="I1612" t="n">
        <v>15.8</v>
      </c>
      <c r="J1612" t="n">
        <v>1.9</v>
      </c>
      <c r="K1612" t="n">
        <v>3.4</v>
      </c>
      <c r="L1612" t="n">
        <v>5.7</v>
      </c>
      <c r="M1612" t="n">
        <v>1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n">
        <v>851</v>
      </c>
      <c r="Z1612" t="inlineStr"/>
      <c r="AA1612" t="inlineStr"/>
      <c r="AB1612" t="inlineStr">
        <is>
          <t>U1611</t>
        </is>
      </c>
      <c r="AC1612" t="inlineStr">
        <is>
          <t>UR</t>
        </is>
      </c>
      <c r="AD1612" t="inlineStr"/>
      <c r="AE1612" t="n">
        <v>1.1</v>
      </c>
      <c r="AF1612" t="inlineStr"/>
      <c r="AG1612" t="inlineStr"/>
      <c r="AH1612" t="inlineStr"/>
      <c r="AI1612" t="n">
        <v>11.2</v>
      </c>
      <c r="AJ1612" t="n">
        <v>13.72</v>
      </c>
    </row>
    <row r="1613">
      <c r="A1613" t="inlineStr">
        <is>
          <t>Universidad Panamericana (UP)</t>
        </is>
      </c>
      <c r="B1613" t="inlineStr">
        <is>
          <t>Mexico</t>
        </is>
      </c>
      <c r="C1613" t="inlineStr">
        <is>
          <t>691-700</t>
        </is>
      </c>
      <c r="D1613" t="inlineStr"/>
      <c r="E1613" t="n">
        <v>9.9</v>
      </c>
      <c r="F1613" t="n">
        <v>20</v>
      </c>
      <c r="G1613" t="n">
        <v>75.40000000000001</v>
      </c>
      <c r="H1613" t="n">
        <v>1.2</v>
      </c>
      <c r="I1613" t="n">
        <v>17.4</v>
      </c>
      <c r="J1613" t="n">
        <v>2.5</v>
      </c>
      <c r="K1613" t="n">
        <v>20.1</v>
      </c>
      <c r="L1613" t="n">
        <v>68.7</v>
      </c>
      <c r="M1613" t="n">
        <v>2</v>
      </c>
      <c r="N1613" t="inlineStr">
        <is>
          <t>1501+</t>
        </is>
      </c>
      <c r="O1613" t="inlineStr">
        <is>
          <t>9.7–22.7</t>
        </is>
      </c>
      <c r="P1613" t="n">
        <v>23.9</v>
      </c>
      <c r="Q1613" t="n">
        <v>9.1</v>
      </c>
      <c r="R1613" t="n">
        <v>12</v>
      </c>
      <c r="S1613" t="n">
        <v>16</v>
      </c>
      <c r="T1613" t="n">
        <v>43.9</v>
      </c>
      <c r="U1613" t="inlineStr">
        <is>
          <t>15,469</t>
        </is>
      </c>
      <c r="V1613" t="n">
        <v>7.8</v>
      </c>
      <c r="W1613" t="inlineStr">
        <is>
          <t>2%</t>
        </is>
      </c>
      <c r="X1613" t="inlineStr">
        <is>
          <t>48 : 52</t>
        </is>
      </c>
      <c r="Y1613" t="n">
        <v>691</v>
      </c>
      <c r="Z1613" t="n">
        <v>1501</v>
      </c>
      <c r="AA1613" t="n">
        <v>16.2</v>
      </c>
      <c r="AB1613" t="inlineStr">
        <is>
          <t>U1612</t>
        </is>
      </c>
      <c r="AC1613" t="inlineStr">
        <is>
          <t>ME</t>
        </is>
      </c>
      <c r="AD1613" t="n">
        <v>16.2</v>
      </c>
      <c r="AE1613" t="n">
        <v>1.2</v>
      </c>
      <c r="AF1613" t="n">
        <v>7.8</v>
      </c>
      <c r="AG1613" t="inlineStr">
        <is>
          <t>1:7.8</t>
        </is>
      </c>
      <c r="AH1613" t="inlineStr">
        <is>
          <t>2%</t>
        </is>
      </c>
      <c r="AI1613" t="n">
        <v>9.9</v>
      </c>
      <c r="AJ1613" t="n">
        <v>9.140000000000001</v>
      </c>
    </row>
    <row r="1614">
      <c r="A1614" t="inlineStr">
        <is>
          <t>Universidad Peruana Cayetano Heredia (UPCH)</t>
        </is>
      </c>
      <c r="B1614" t="inlineStr">
        <is>
          <t>Peru</t>
        </is>
      </c>
      <c r="C1614" t="inlineStr">
        <is>
          <t>1001-1200</t>
        </is>
      </c>
      <c r="D1614" t="inlineStr"/>
      <c r="E1614" t="n">
        <v>9.5</v>
      </c>
      <c r="F1614" t="n">
        <v>8.5</v>
      </c>
      <c r="G1614" t="n">
        <v>45.5</v>
      </c>
      <c r="H1614" t="n">
        <v>2.2</v>
      </c>
      <c r="I1614" t="n">
        <v>1.8</v>
      </c>
      <c r="J1614" t="n">
        <v>1.4</v>
      </c>
      <c r="K1614" t="n">
        <v>28.9</v>
      </c>
      <c r="L1614" t="n">
        <v>3.8</v>
      </c>
      <c r="M1614" t="n">
        <v>9.800000000000001</v>
      </c>
      <c r="N1614" t="inlineStr">
        <is>
          <t>1001–1200</t>
        </is>
      </c>
      <c r="O1614" t="inlineStr">
        <is>
          <t>28.3–32.6</t>
        </is>
      </c>
      <c r="P1614" t="n">
        <v>16.9</v>
      </c>
      <c r="Q1614" t="n">
        <v>12.9</v>
      </c>
      <c r="R1614" t="n">
        <v>53.3</v>
      </c>
      <c r="S1614" t="n">
        <v>29.8</v>
      </c>
      <c r="T1614" t="n">
        <v>49.8</v>
      </c>
      <c r="U1614" t="inlineStr">
        <is>
          <t>10,503</t>
        </is>
      </c>
      <c r="V1614" t="n">
        <v>15.6</v>
      </c>
      <c r="W1614" t="inlineStr">
        <is>
          <t>1%</t>
        </is>
      </c>
      <c r="X1614" t="inlineStr">
        <is>
          <t>66 : 34</t>
        </is>
      </c>
      <c r="Y1614" t="n">
        <v>1001</v>
      </c>
      <c r="Z1614" t="n">
        <v>1001</v>
      </c>
      <c r="AA1614" t="n">
        <v>30.45</v>
      </c>
      <c r="AB1614" t="inlineStr">
        <is>
          <t>U1613</t>
        </is>
      </c>
      <c r="AC1614" t="inlineStr">
        <is>
          <t>PE</t>
        </is>
      </c>
      <c r="AD1614" t="n">
        <v>30.45</v>
      </c>
      <c r="AE1614" t="n">
        <v>2.2</v>
      </c>
      <c r="AF1614" t="n">
        <v>15.6</v>
      </c>
      <c r="AG1614" t="inlineStr">
        <is>
          <t>1:15.6</t>
        </is>
      </c>
      <c r="AH1614" t="inlineStr">
        <is>
          <t>1%</t>
        </is>
      </c>
      <c r="AI1614" t="n">
        <v>9.5</v>
      </c>
      <c r="AJ1614" t="n">
        <v>12.86</v>
      </c>
    </row>
    <row r="1615">
      <c r="A1615" t="inlineStr">
        <is>
          <t>Universidad Peruana de Ciencias Aplicadas</t>
        </is>
      </c>
      <c r="B1615" t="inlineStr">
        <is>
          <t>Peru</t>
        </is>
      </c>
      <c r="C1615" t="inlineStr">
        <is>
          <t>1201-1400</t>
        </is>
      </c>
      <c r="D1615" t="inlineStr"/>
      <c r="E1615" t="n">
        <v>11.3</v>
      </c>
      <c r="F1615" t="n">
        <v>22.6</v>
      </c>
      <c r="G1615" t="n">
        <v>3</v>
      </c>
      <c r="H1615" t="n">
        <v>1.1</v>
      </c>
      <c r="I1615" t="n">
        <v>13.6</v>
      </c>
      <c r="J1615" t="n">
        <v>1.5</v>
      </c>
      <c r="K1615" t="n">
        <v>8</v>
      </c>
      <c r="L1615" t="n">
        <v>3.9</v>
      </c>
      <c r="M1615" t="n">
        <v>1.1</v>
      </c>
      <c r="N1615" t="inlineStr">
        <is>
          <t>1501+</t>
        </is>
      </c>
      <c r="O1615" t="inlineStr">
        <is>
          <t>9.7–22.7</t>
        </is>
      </c>
      <c r="P1615" t="n">
        <v>13.5</v>
      </c>
      <c r="Q1615" t="n">
        <v>8.699999999999999</v>
      </c>
      <c r="R1615" t="n">
        <v>10.1</v>
      </c>
      <c r="S1615" t="n">
        <v>15.6</v>
      </c>
      <c r="T1615" t="n">
        <v>26.5</v>
      </c>
      <c r="U1615" t="inlineStr">
        <is>
          <t>56,595</t>
        </is>
      </c>
      <c r="V1615" t="n">
        <v>21.1</v>
      </c>
      <c r="W1615" t="inlineStr">
        <is>
          <t>1%</t>
        </is>
      </c>
      <c r="X1615" t="inlineStr">
        <is>
          <t>50 : 50</t>
        </is>
      </c>
      <c r="Y1615" t="n">
        <v>1201</v>
      </c>
      <c r="Z1615" t="n">
        <v>1501</v>
      </c>
      <c r="AA1615" t="n">
        <v>16.2</v>
      </c>
      <c r="AB1615" t="inlineStr">
        <is>
          <t>U1614</t>
        </is>
      </c>
      <c r="AC1615" t="inlineStr">
        <is>
          <t>PE</t>
        </is>
      </c>
      <c r="AD1615" t="n">
        <v>16.2</v>
      </c>
      <c r="AE1615" t="n">
        <v>1.1</v>
      </c>
      <c r="AF1615" t="n">
        <v>21.1</v>
      </c>
      <c r="AG1615" t="inlineStr">
        <is>
          <t>1:21.1</t>
        </is>
      </c>
      <c r="AH1615" t="inlineStr">
        <is>
          <t>1%</t>
        </is>
      </c>
      <c r="AI1615" t="n">
        <v>11.3</v>
      </c>
      <c r="AJ1615" t="n">
        <v>4.69</v>
      </c>
    </row>
    <row r="1616">
      <c r="A1616" t="inlineStr">
        <is>
          <t>Universidad Politécnica de Madrid (UPM)</t>
        </is>
      </c>
      <c r="B1616" t="inlineStr">
        <is>
          <t>Spain</t>
        </is>
      </c>
      <c r="C1616" t="inlineStr">
        <is>
          <t>321</t>
        </is>
      </c>
      <c r="D1616" t="n">
        <v>34.2</v>
      </c>
      <c r="E1616" t="n">
        <v>31.3</v>
      </c>
      <c r="F1616" t="n">
        <v>56.5</v>
      </c>
      <c r="G1616" t="n">
        <v>16.7</v>
      </c>
      <c r="H1616" t="n">
        <v>11.4</v>
      </c>
      <c r="I1616" t="n">
        <v>3.2</v>
      </c>
      <c r="J1616" t="n">
        <v>32.1</v>
      </c>
      <c r="K1616" t="n">
        <v>81.09999999999999</v>
      </c>
      <c r="L1616" t="n">
        <v>60.7</v>
      </c>
      <c r="M1616" t="n">
        <v>86.3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n">
        <v>321</v>
      </c>
      <c r="Z1616" t="inlineStr"/>
      <c r="AA1616" t="inlineStr"/>
      <c r="AB1616" t="inlineStr">
        <is>
          <t>U1615</t>
        </is>
      </c>
      <c r="AC1616" t="inlineStr">
        <is>
          <t>SP</t>
        </is>
      </c>
      <c r="AD1616" t="n">
        <v>34.2</v>
      </c>
      <c r="AE1616" t="n">
        <v>11.4</v>
      </c>
      <c r="AF1616" t="inlineStr"/>
      <c r="AG1616" t="inlineStr"/>
      <c r="AH1616" t="inlineStr"/>
      <c r="AI1616" t="n">
        <v>31.3</v>
      </c>
      <c r="AJ1616" t="n">
        <v>16.84</v>
      </c>
    </row>
    <row r="1617">
      <c r="A1617" t="inlineStr">
        <is>
          <t>Universidad Politécnica Salesiana</t>
        </is>
      </c>
      <c r="B1617" t="inlineStr">
        <is>
          <t>Ecuador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>
        <is>
          <t>1501+</t>
        </is>
      </c>
      <c r="O1617" t="inlineStr">
        <is>
          <t>9.7–22.7</t>
        </is>
      </c>
      <c r="P1617" t="n">
        <v>11.6</v>
      </c>
      <c r="Q1617" t="n">
        <v>9.5</v>
      </c>
      <c r="R1617" t="n">
        <v>13.6</v>
      </c>
      <c r="S1617" t="n">
        <v>15.8</v>
      </c>
      <c r="T1617" t="n">
        <v>42</v>
      </c>
      <c r="U1617" t="inlineStr">
        <is>
          <t>22,513</t>
        </is>
      </c>
      <c r="V1617" t="n">
        <v>24.2</v>
      </c>
      <c r="W1617" t="inlineStr">
        <is>
          <t>1%</t>
        </is>
      </c>
      <c r="X1617" t="inlineStr">
        <is>
          <t>40 : 60</t>
        </is>
      </c>
      <c r="Y1617" t="inlineStr"/>
      <c r="Z1617" t="n">
        <v>1501</v>
      </c>
      <c r="AA1617" t="n">
        <v>16.2</v>
      </c>
      <c r="AB1617" t="inlineStr">
        <is>
          <t>U1616</t>
        </is>
      </c>
      <c r="AC1617" t="inlineStr">
        <is>
          <t>EC</t>
        </is>
      </c>
      <c r="AD1617" t="n">
        <v>16.2</v>
      </c>
      <c r="AE1617" t="n">
        <v>13.6</v>
      </c>
      <c r="AF1617" t="n">
        <v>24.2</v>
      </c>
      <c r="AG1617" t="inlineStr">
        <is>
          <t>1:24.2</t>
        </is>
      </c>
      <c r="AH1617" t="inlineStr">
        <is>
          <t>1%</t>
        </is>
      </c>
      <c r="AI1617" t="inlineStr"/>
      <c r="AJ1617" t="n">
        <v>12.65</v>
      </c>
    </row>
    <row r="1618">
      <c r="A1618" t="inlineStr">
        <is>
          <t>UNIVERSIDAD POLITECNICA SALESIANA</t>
        </is>
      </c>
      <c r="B1618" t="inlineStr">
        <is>
          <t>Ecuador</t>
        </is>
      </c>
      <c r="C1618" t="inlineStr">
        <is>
          <t>1401+</t>
        </is>
      </c>
      <c r="D1618" t="inlineStr"/>
      <c r="E1618" t="n">
        <v>6.4</v>
      </c>
      <c r="F1618" t="n">
        <v>3.3</v>
      </c>
      <c r="G1618" t="n">
        <v>3.3</v>
      </c>
      <c r="H1618" t="n">
        <v>1.5</v>
      </c>
      <c r="I1618" t="n">
        <v>6.2</v>
      </c>
      <c r="J1618" t="n">
        <v>1.7</v>
      </c>
      <c r="K1618" t="n">
        <v>6.8</v>
      </c>
      <c r="L1618" t="n">
        <v>4.1</v>
      </c>
      <c r="M1618" t="n">
        <v>1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n">
        <v>1401</v>
      </c>
      <c r="Z1618" t="inlineStr"/>
      <c r="AA1618" t="inlineStr"/>
      <c r="AB1618" t="inlineStr">
        <is>
          <t>U1617</t>
        </is>
      </c>
      <c r="AC1618" t="inlineStr">
        <is>
          <t>EC</t>
        </is>
      </c>
      <c r="AD1618" t="inlineStr"/>
      <c r="AE1618" t="n">
        <v>1.5</v>
      </c>
      <c r="AF1618" t="inlineStr"/>
      <c r="AG1618" t="inlineStr"/>
      <c r="AH1618" t="inlineStr"/>
      <c r="AI1618" t="n">
        <v>6.4</v>
      </c>
      <c r="AJ1618" t="n">
        <v>13.84</v>
      </c>
    </row>
    <row r="1619">
      <c r="A1619" t="inlineStr">
        <is>
          <t xml:space="preserve">Universidad Pontificia Bolivariana </t>
        </is>
      </c>
      <c r="B1619" t="inlineStr">
        <is>
          <t>Colombia</t>
        </is>
      </c>
      <c r="C1619" t="inlineStr">
        <is>
          <t>901-950</t>
        </is>
      </c>
      <c r="D1619" t="inlineStr"/>
      <c r="E1619" t="n">
        <v>8.4</v>
      </c>
      <c r="F1619" t="n">
        <v>8.800000000000001</v>
      </c>
      <c r="G1619" t="n">
        <v>74.7</v>
      </c>
      <c r="H1619" t="n">
        <v>1.7</v>
      </c>
      <c r="I1619" t="n">
        <v>3.8</v>
      </c>
      <c r="J1619" t="n">
        <v>2.3</v>
      </c>
      <c r="K1619" t="n">
        <v>10</v>
      </c>
      <c r="L1619" t="n">
        <v>22</v>
      </c>
      <c r="M1619" t="n">
        <v>1.6</v>
      </c>
      <c r="N1619" t="inlineStr">
        <is>
          <t>1501+</t>
        </is>
      </c>
      <c r="O1619" t="inlineStr">
        <is>
          <t>9.7–22.7</t>
        </is>
      </c>
      <c r="P1619" t="n">
        <v>24.2</v>
      </c>
      <c r="Q1619" t="n">
        <v>10.6</v>
      </c>
      <c r="R1619" t="n">
        <v>10.2</v>
      </c>
      <c r="S1619" t="n">
        <v>26.8</v>
      </c>
      <c r="T1619" t="n">
        <v>37.2</v>
      </c>
      <c r="U1619" t="inlineStr">
        <is>
          <t>10,565</t>
        </is>
      </c>
      <c r="V1619" t="n">
        <v>10.6</v>
      </c>
      <c r="W1619" t="inlineStr">
        <is>
          <t>2%</t>
        </is>
      </c>
      <c r="X1619" t="inlineStr">
        <is>
          <t>57 : 43</t>
        </is>
      </c>
      <c r="Y1619" t="n">
        <v>901</v>
      </c>
      <c r="Z1619" t="n">
        <v>1501</v>
      </c>
      <c r="AA1619" t="n">
        <v>16.2</v>
      </c>
      <c r="AB1619" t="inlineStr">
        <is>
          <t>U1618</t>
        </is>
      </c>
      <c r="AC1619" t="inlineStr">
        <is>
          <t>CO</t>
        </is>
      </c>
      <c r="AD1619" t="n">
        <v>16.2</v>
      </c>
      <c r="AE1619" t="n">
        <v>1.7</v>
      </c>
      <c r="AF1619" t="n">
        <v>10.6</v>
      </c>
      <c r="AG1619" t="inlineStr">
        <is>
          <t>1:10.6</t>
        </is>
      </c>
      <c r="AH1619" t="inlineStr">
        <is>
          <t>2%</t>
        </is>
      </c>
      <c r="AI1619" t="n">
        <v>8.4</v>
      </c>
      <c r="AJ1619" t="n">
        <v>8.460000000000001</v>
      </c>
    </row>
    <row r="1620">
      <c r="A1620" t="inlineStr">
        <is>
          <t>Universidad Pontificia Comillas</t>
        </is>
      </c>
      <c r="B1620" t="inlineStr">
        <is>
          <t>Spain</t>
        </is>
      </c>
      <c r="C1620" t="inlineStr">
        <is>
          <t>544</t>
        </is>
      </c>
      <c r="D1620" t="n">
        <v>22.7</v>
      </c>
      <c r="E1620" t="n">
        <v>8.300000000000001</v>
      </c>
      <c r="F1620" t="n">
        <v>71.59999999999999</v>
      </c>
      <c r="G1620" t="n">
        <v>38.3</v>
      </c>
      <c r="H1620" t="n">
        <v>2.2</v>
      </c>
      <c r="I1620" t="n">
        <v>18.7</v>
      </c>
      <c r="J1620" t="n">
        <v>5</v>
      </c>
      <c r="K1620" t="n">
        <v>9</v>
      </c>
      <c r="L1620" t="n">
        <v>85.40000000000001</v>
      </c>
      <c r="M1620" t="n">
        <v>7.1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n">
        <v>544</v>
      </c>
      <c r="Z1620" t="inlineStr"/>
      <c r="AA1620" t="inlineStr"/>
      <c r="AB1620" t="inlineStr">
        <is>
          <t>U1619</t>
        </is>
      </c>
      <c r="AC1620" t="inlineStr">
        <is>
          <t>SP</t>
        </is>
      </c>
      <c r="AD1620" t="n">
        <v>22.7</v>
      </c>
      <c r="AE1620" t="n">
        <v>2.2</v>
      </c>
      <c r="AF1620" t="inlineStr"/>
      <c r="AG1620" t="inlineStr"/>
      <c r="AH1620" t="inlineStr"/>
      <c r="AI1620" t="n">
        <v>8.300000000000001</v>
      </c>
      <c r="AJ1620" t="n">
        <v>14.06</v>
      </c>
    </row>
    <row r="1621">
      <c r="A1621" t="inlineStr">
        <is>
          <t>Universidad Popular Autónoma del Estado de Puebla (UPAEP)</t>
        </is>
      </c>
      <c r="B1621" t="inlineStr">
        <is>
          <t>Mexico</t>
        </is>
      </c>
      <c r="C1621" t="inlineStr">
        <is>
          <t>1401+</t>
        </is>
      </c>
      <c r="D1621" t="inlineStr"/>
      <c r="E1621" t="n">
        <v>5.2</v>
      </c>
      <c r="F1621" t="n">
        <v>3.4</v>
      </c>
      <c r="G1621" t="n">
        <v>13</v>
      </c>
      <c r="H1621" t="n">
        <v>1.2</v>
      </c>
      <c r="I1621" t="n">
        <v>3.9</v>
      </c>
      <c r="J1621" t="n">
        <v>2</v>
      </c>
      <c r="K1621" t="n">
        <v>5.1</v>
      </c>
      <c r="L1621" t="n">
        <v>2.2</v>
      </c>
      <c r="M1621" t="n">
        <v>1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n">
        <v>1401</v>
      </c>
      <c r="Z1621" t="inlineStr"/>
      <c r="AA1621" t="inlineStr"/>
      <c r="AB1621" t="inlineStr">
        <is>
          <t>U1620</t>
        </is>
      </c>
      <c r="AC1621" t="inlineStr">
        <is>
          <t>ME</t>
        </is>
      </c>
      <c r="AD1621" t="inlineStr"/>
      <c r="AE1621" t="n">
        <v>1.2</v>
      </c>
      <c r="AF1621" t="inlineStr"/>
      <c r="AG1621" t="inlineStr"/>
      <c r="AH1621" t="inlineStr"/>
      <c r="AI1621" t="n">
        <v>5.2</v>
      </c>
      <c r="AJ1621" t="n">
        <v>13.75</v>
      </c>
    </row>
    <row r="1622">
      <c r="A1622" t="inlineStr">
        <is>
          <t>Universidad Rey Juan Carlos</t>
        </is>
      </c>
      <c r="B1622" t="inlineStr">
        <is>
          <t>Spain</t>
        </is>
      </c>
      <c r="C1622" t="inlineStr">
        <is>
          <t>1001-1200</t>
        </is>
      </c>
      <c r="D1622" t="inlineStr"/>
      <c r="E1622" t="n">
        <v>7.9</v>
      </c>
      <c r="F1622" t="n">
        <v>8.300000000000001</v>
      </c>
      <c r="G1622" t="n">
        <v>7.2</v>
      </c>
      <c r="H1622" t="n">
        <v>4.5</v>
      </c>
      <c r="I1622" t="n">
        <v>16.5</v>
      </c>
      <c r="J1622" t="n">
        <v>12.4</v>
      </c>
      <c r="K1622" t="n">
        <v>62.9</v>
      </c>
      <c r="L1622" t="n">
        <v>7</v>
      </c>
      <c r="M1622" t="n">
        <v>24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n">
        <v>1001</v>
      </c>
      <c r="Z1622" t="inlineStr"/>
      <c r="AA1622" t="inlineStr"/>
      <c r="AB1622" t="inlineStr">
        <is>
          <t>U1621</t>
        </is>
      </c>
      <c r="AC1622" t="inlineStr">
        <is>
          <t>SP</t>
        </is>
      </c>
      <c r="AD1622" t="inlineStr"/>
      <c r="AE1622" t="n">
        <v>4.5</v>
      </c>
      <c r="AF1622" t="inlineStr"/>
      <c r="AG1622" t="inlineStr"/>
      <c r="AH1622" t="inlineStr"/>
      <c r="AI1622" t="n">
        <v>7.9</v>
      </c>
      <c r="AJ1622" t="n">
        <v>14.75</v>
      </c>
    </row>
    <row r="1623">
      <c r="A1623" t="inlineStr">
        <is>
          <t>Universidad San Francisco de Quito (USFQ)</t>
        </is>
      </c>
      <c r="B1623" t="inlineStr">
        <is>
          <t>Ecuador</t>
        </is>
      </c>
      <c r="C1623" t="inlineStr">
        <is>
          <t>801-850</t>
        </is>
      </c>
      <c r="D1623" t="inlineStr"/>
      <c r="E1623" t="n">
        <v>16</v>
      </c>
      <c r="F1623" t="n">
        <v>8.6</v>
      </c>
      <c r="G1623" t="n">
        <v>40.1</v>
      </c>
      <c r="H1623" t="n">
        <v>2.4</v>
      </c>
      <c r="I1623" t="n">
        <v>53.1</v>
      </c>
      <c r="J1623" t="n">
        <v>1.9</v>
      </c>
      <c r="K1623" t="n">
        <v>24.9</v>
      </c>
      <c r="L1623" t="n">
        <v>13.2</v>
      </c>
      <c r="M1623" t="n">
        <v>21.5</v>
      </c>
      <c r="N1623" t="inlineStr">
        <is>
          <t>1001–1200</t>
        </is>
      </c>
      <c r="O1623" t="inlineStr">
        <is>
          <t>28.3–32.6</t>
        </is>
      </c>
      <c r="P1623" t="n">
        <v>22.3</v>
      </c>
      <c r="Q1623" t="n">
        <v>11.1</v>
      </c>
      <c r="R1623" t="n">
        <v>48.9</v>
      </c>
      <c r="S1623" t="n">
        <v>17.4</v>
      </c>
      <c r="T1623" t="n">
        <v>67</v>
      </c>
      <c r="U1623" t="inlineStr">
        <is>
          <t>7,874</t>
        </is>
      </c>
      <c r="V1623" t="n">
        <v>10.2</v>
      </c>
      <c r="W1623" t="inlineStr">
        <is>
          <t>2%</t>
        </is>
      </c>
      <c r="X1623" t="inlineStr">
        <is>
          <t>50 : 50</t>
        </is>
      </c>
      <c r="Y1623" t="n">
        <v>801</v>
      </c>
      <c r="Z1623" t="n">
        <v>1001</v>
      </c>
      <c r="AA1623" t="n">
        <v>30.45</v>
      </c>
      <c r="AB1623" t="inlineStr">
        <is>
          <t>U1622</t>
        </is>
      </c>
      <c r="AC1623" t="inlineStr">
        <is>
          <t>EC</t>
        </is>
      </c>
      <c r="AD1623" t="n">
        <v>30.45</v>
      </c>
      <c r="AE1623" t="n">
        <v>2.4</v>
      </c>
      <c r="AF1623" t="n">
        <v>10.2</v>
      </c>
      <c r="AG1623" t="inlineStr">
        <is>
          <t>1:10.2</t>
        </is>
      </c>
      <c r="AH1623" t="inlineStr">
        <is>
          <t>2%</t>
        </is>
      </c>
      <c r="AI1623" t="n">
        <v>16</v>
      </c>
      <c r="AJ1623" t="n">
        <v>16.14</v>
      </c>
    </row>
    <row r="1624">
      <c r="A1624" t="inlineStr">
        <is>
          <t>Universidad San Ignacio de Loyola</t>
        </is>
      </c>
      <c r="B1624" t="inlineStr">
        <is>
          <t>Peru</t>
        </is>
      </c>
      <c r="C1624" t="inlineStr">
        <is>
          <t>1401+</t>
        </is>
      </c>
      <c r="D1624" t="inlineStr"/>
      <c r="E1624" t="n">
        <v>6.1</v>
      </c>
      <c r="F1624" t="n">
        <v>9</v>
      </c>
      <c r="G1624" t="n">
        <v>2</v>
      </c>
      <c r="H1624" t="n">
        <v>1.5</v>
      </c>
      <c r="I1624" t="n">
        <v>4.1</v>
      </c>
      <c r="J1624" t="n">
        <v>1.6</v>
      </c>
      <c r="K1624" t="n">
        <v>7.6</v>
      </c>
      <c r="L1624" t="n">
        <v>3.7</v>
      </c>
      <c r="M1624" t="n">
        <v>1.3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n">
        <v>1401</v>
      </c>
      <c r="Z1624" t="inlineStr"/>
      <c r="AA1624" t="inlineStr"/>
      <c r="AB1624" t="inlineStr">
        <is>
          <t>U1623</t>
        </is>
      </c>
      <c r="AC1624" t="inlineStr">
        <is>
          <t>PE</t>
        </is>
      </c>
      <c r="AD1624" t="inlineStr"/>
      <c r="AE1624" t="n">
        <v>1.5</v>
      </c>
      <c r="AF1624" t="inlineStr"/>
      <c r="AG1624" t="inlineStr"/>
      <c r="AH1624" t="inlineStr"/>
      <c r="AI1624" t="n">
        <v>6.1</v>
      </c>
      <c r="AJ1624" t="n">
        <v>13.84</v>
      </c>
    </row>
    <row r="1625">
      <c r="A1625" t="inlineStr">
        <is>
          <t>Universidad Simón Bolívar (USB)</t>
        </is>
      </c>
      <c r="B1625" t="inlineStr">
        <is>
          <t>Venezuela</t>
        </is>
      </c>
      <c r="C1625" t="inlineStr">
        <is>
          <t>1001-1200</t>
        </is>
      </c>
      <c r="D1625" t="inlineStr"/>
      <c r="E1625" t="n">
        <v>13.7</v>
      </c>
      <c r="F1625" t="n">
        <v>15.9</v>
      </c>
      <c r="G1625" t="n">
        <v>14.4</v>
      </c>
      <c r="H1625" t="n">
        <v>2.6</v>
      </c>
      <c r="I1625" t="n">
        <v>1.7</v>
      </c>
      <c r="J1625" t="n">
        <v>1</v>
      </c>
      <c r="K1625" t="n">
        <v>11.5</v>
      </c>
      <c r="L1625" t="n">
        <v>11.2</v>
      </c>
      <c r="M1625" t="n">
        <v>1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n">
        <v>1001</v>
      </c>
      <c r="Z1625" t="inlineStr"/>
      <c r="AA1625" t="inlineStr"/>
      <c r="AB1625" t="inlineStr">
        <is>
          <t>U1624</t>
        </is>
      </c>
      <c r="AC1625" t="inlineStr">
        <is>
          <t>VE</t>
        </is>
      </c>
      <c r="AD1625" t="inlineStr"/>
      <c r="AE1625" t="n">
        <v>2.6</v>
      </c>
      <c r="AF1625" t="inlineStr"/>
      <c r="AG1625" t="inlineStr"/>
      <c r="AH1625" t="inlineStr"/>
      <c r="AI1625" t="n">
        <v>13.7</v>
      </c>
      <c r="AJ1625" t="n">
        <v>14.18</v>
      </c>
    </row>
    <row r="1626">
      <c r="A1626" t="inlineStr">
        <is>
          <t>Universidad Técnica Federico Santa María (USM)</t>
        </is>
      </c>
      <c r="B1626" t="inlineStr">
        <is>
          <t>Chile</t>
        </is>
      </c>
      <c r="C1626" t="inlineStr">
        <is>
          <t>951-1000</t>
        </is>
      </c>
      <c r="D1626" t="inlineStr"/>
      <c r="E1626" t="n">
        <v>9.800000000000001</v>
      </c>
      <c r="F1626" t="n">
        <v>33</v>
      </c>
      <c r="G1626" t="n">
        <v>3.2</v>
      </c>
      <c r="H1626" t="n">
        <v>5</v>
      </c>
      <c r="I1626" t="n">
        <v>13.8</v>
      </c>
      <c r="J1626" t="n">
        <v>1.6</v>
      </c>
      <c r="K1626" t="n">
        <v>41.6</v>
      </c>
      <c r="L1626" t="n">
        <v>13.1</v>
      </c>
      <c r="M1626" t="n">
        <v>7.6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n">
        <v>951</v>
      </c>
      <c r="Z1626" t="inlineStr"/>
      <c r="AA1626" t="inlineStr"/>
      <c r="AB1626" t="inlineStr">
        <is>
          <t>U1625</t>
        </is>
      </c>
      <c r="AC1626" t="inlineStr">
        <is>
          <t>CH</t>
        </is>
      </c>
      <c r="AD1626" t="inlineStr"/>
      <c r="AE1626" t="n">
        <v>5</v>
      </c>
      <c r="AF1626" t="inlineStr"/>
      <c r="AG1626" t="inlineStr"/>
      <c r="AH1626" t="inlineStr"/>
      <c r="AI1626" t="n">
        <v>9.800000000000001</v>
      </c>
      <c r="AJ1626" t="n">
        <v>14.9</v>
      </c>
    </row>
    <row r="1627">
      <c r="A1627" t="inlineStr">
        <is>
          <t>Universidad Tecnica Particular De Loja (UTPL)</t>
        </is>
      </c>
      <c r="B1627" t="inlineStr">
        <is>
          <t>Ecuador</t>
        </is>
      </c>
      <c r="C1627" t="inlineStr">
        <is>
          <t>1401+</t>
        </is>
      </c>
      <c r="D1627" t="inlineStr"/>
      <c r="E1627" t="n">
        <v>6</v>
      </c>
      <c r="F1627" t="n">
        <v>2.3</v>
      </c>
      <c r="G1627" t="n">
        <v>1.4</v>
      </c>
      <c r="H1627" t="n">
        <v>1.6</v>
      </c>
      <c r="I1627" t="n">
        <v>7.9</v>
      </c>
      <c r="J1627" t="n">
        <v>1.9</v>
      </c>
      <c r="K1627" t="n">
        <v>15.7</v>
      </c>
      <c r="L1627" t="n">
        <v>4.6</v>
      </c>
      <c r="M1627" t="n">
        <v>1.5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n">
        <v>1401</v>
      </c>
      <c r="Z1627" t="inlineStr"/>
      <c r="AA1627" t="inlineStr"/>
      <c r="AB1627" t="inlineStr">
        <is>
          <t>U1626</t>
        </is>
      </c>
      <c r="AC1627" t="inlineStr">
        <is>
          <t>EC</t>
        </is>
      </c>
      <c r="AD1627" t="inlineStr"/>
      <c r="AE1627" t="n">
        <v>1.6</v>
      </c>
      <c r="AF1627" t="inlineStr"/>
      <c r="AG1627" t="inlineStr"/>
      <c r="AH1627" t="inlineStr"/>
      <c r="AI1627" t="n">
        <v>6</v>
      </c>
      <c r="AJ1627" t="n">
        <v>13.87</v>
      </c>
    </row>
    <row r="1628">
      <c r="A1628" t="inlineStr">
        <is>
          <t>Universidad Tecnológica de Bolívar</t>
        </is>
      </c>
      <c r="B1628" t="inlineStr">
        <is>
          <t>Colombia</t>
        </is>
      </c>
      <c r="C1628" t="inlineStr">
        <is>
          <t>1401+</t>
        </is>
      </c>
      <c r="D1628" t="inlineStr"/>
      <c r="E1628" t="n">
        <v>2.2</v>
      </c>
      <c r="F1628" t="n">
        <v>3.5</v>
      </c>
      <c r="G1628" t="n">
        <v>2.9</v>
      </c>
      <c r="H1628" t="n">
        <v>2.7</v>
      </c>
      <c r="I1628" t="n">
        <v>3.6</v>
      </c>
      <c r="J1628" t="n">
        <v>2.3</v>
      </c>
      <c r="K1628" t="n">
        <v>6.8</v>
      </c>
      <c r="L1628" t="n">
        <v>6.4</v>
      </c>
      <c r="M1628" t="n">
        <v>1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n">
        <v>1401</v>
      </c>
      <c r="Z1628" t="inlineStr"/>
      <c r="AA1628" t="inlineStr"/>
      <c r="AB1628" t="inlineStr">
        <is>
          <t>U1627</t>
        </is>
      </c>
      <c r="AC1628" t="inlineStr">
        <is>
          <t>CO</t>
        </is>
      </c>
      <c r="AD1628" t="inlineStr"/>
      <c r="AE1628" t="n">
        <v>2.7</v>
      </c>
      <c r="AF1628" t="inlineStr"/>
      <c r="AG1628" t="inlineStr"/>
      <c r="AH1628" t="inlineStr"/>
      <c r="AI1628" t="n">
        <v>2.2</v>
      </c>
      <c r="AJ1628" t="n">
        <v>14.21</v>
      </c>
    </row>
    <row r="1629">
      <c r="A1629" t="inlineStr">
        <is>
          <t>Universidad Tecnológica de la Habana José Antonio Echeverría, Cujae</t>
        </is>
      </c>
      <c r="B1629" t="inlineStr">
        <is>
          <t>Cuba</t>
        </is>
      </c>
      <c r="C1629" t="inlineStr">
        <is>
          <t>1401+</t>
        </is>
      </c>
      <c r="D1629" t="inlineStr"/>
      <c r="E1629" t="n">
        <v>4.9</v>
      </c>
      <c r="F1629" t="n">
        <v>1.3</v>
      </c>
      <c r="G1629" t="n">
        <v>19.1</v>
      </c>
      <c r="H1629" t="n">
        <v>1.1</v>
      </c>
      <c r="I1629" t="n">
        <v>3.1</v>
      </c>
      <c r="J1629" t="n">
        <v>4.1</v>
      </c>
      <c r="K1629" t="n">
        <v>4.8</v>
      </c>
      <c r="L1629" t="n">
        <v>5</v>
      </c>
      <c r="M1629" t="n">
        <v>1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n">
        <v>1401</v>
      </c>
      <c r="Z1629" t="inlineStr"/>
      <c r="AA1629" t="inlineStr"/>
      <c r="AB1629" t="inlineStr">
        <is>
          <t>U1628</t>
        </is>
      </c>
      <c r="AC1629" t="inlineStr">
        <is>
          <t>CU</t>
        </is>
      </c>
      <c r="AD1629" t="inlineStr"/>
      <c r="AE1629" t="n">
        <v>1.1</v>
      </c>
      <c r="AF1629" t="inlineStr"/>
      <c r="AG1629" t="inlineStr"/>
      <c r="AH1629" t="inlineStr"/>
      <c r="AI1629" t="n">
        <v>4.9</v>
      </c>
      <c r="AJ1629" t="n">
        <v>13.72</v>
      </c>
    </row>
    <row r="1630">
      <c r="A1630" t="inlineStr">
        <is>
          <t>Universidad Tecnológica de Panamá (UTP)</t>
        </is>
      </c>
      <c r="B1630" t="inlineStr">
        <is>
          <t>Panama</t>
        </is>
      </c>
      <c r="C1630" t="inlineStr">
        <is>
          <t>1001-1200</t>
        </is>
      </c>
      <c r="D1630" t="inlineStr"/>
      <c r="E1630" t="n">
        <v>7.8</v>
      </c>
      <c r="F1630" t="n">
        <v>17.8</v>
      </c>
      <c r="G1630" t="n">
        <v>27.2</v>
      </c>
      <c r="H1630" t="n">
        <v>1.1</v>
      </c>
      <c r="I1630" t="n">
        <v>4.1</v>
      </c>
      <c r="J1630" t="n">
        <v>3.9</v>
      </c>
      <c r="K1630" t="n">
        <v>4.9</v>
      </c>
      <c r="L1630" t="n">
        <v>6.1</v>
      </c>
      <c r="M1630" t="n">
        <v>1.1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n">
        <v>1001</v>
      </c>
      <c r="Z1630" t="inlineStr"/>
      <c r="AA1630" t="inlineStr"/>
      <c r="AB1630" t="inlineStr">
        <is>
          <t>U1629</t>
        </is>
      </c>
      <c r="AC1630" t="inlineStr">
        <is>
          <t>PA</t>
        </is>
      </c>
      <c r="AD1630" t="inlineStr"/>
      <c r="AE1630" t="n">
        <v>1.1</v>
      </c>
      <c r="AF1630" t="inlineStr"/>
      <c r="AG1630" t="inlineStr"/>
      <c r="AH1630" t="inlineStr"/>
      <c r="AI1630" t="n">
        <v>7.8</v>
      </c>
      <c r="AJ1630" t="n">
        <v>13.72</v>
      </c>
    </row>
    <row r="1631">
      <c r="A1631" t="inlineStr">
        <is>
          <t>Universidad Tecnológica de Pereira</t>
        </is>
      </c>
      <c r="B1631" t="inlineStr">
        <is>
          <t>Colombia</t>
        </is>
      </c>
      <c r="C1631" t="inlineStr">
        <is>
          <t>1401+</t>
        </is>
      </c>
      <c r="D1631" t="inlineStr"/>
      <c r="E1631" t="n">
        <v>3.8</v>
      </c>
      <c r="F1631" t="n">
        <v>3.6</v>
      </c>
      <c r="G1631" t="n">
        <v>3.4</v>
      </c>
      <c r="H1631" t="n">
        <v>1.9</v>
      </c>
      <c r="I1631" t="n">
        <v>1.4</v>
      </c>
      <c r="J1631" t="n">
        <v>1.2</v>
      </c>
      <c r="K1631" t="n">
        <v>9.6</v>
      </c>
      <c r="L1631" t="n">
        <v>2.1</v>
      </c>
      <c r="M1631" t="n">
        <v>1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n">
        <v>1401</v>
      </c>
      <c r="Z1631" t="inlineStr"/>
      <c r="AA1631" t="inlineStr"/>
      <c r="AB1631" t="inlineStr">
        <is>
          <t>U1630</t>
        </is>
      </c>
      <c r="AC1631" t="inlineStr">
        <is>
          <t>CO</t>
        </is>
      </c>
      <c r="AD1631" t="inlineStr"/>
      <c r="AE1631" t="n">
        <v>1.9</v>
      </c>
      <c r="AF1631" t="inlineStr"/>
      <c r="AG1631" t="inlineStr"/>
      <c r="AH1631" t="inlineStr"/>
      <c r="AI1631" t="n">
        <v>3.8</v>
      </c>
      <c r="AJ1631" t="n">
        <v>13.96</v>
      </c>
    </row>
    <row r="1632">
      <c r="A1632" t="inlineStr">
        <is>
          <t>Universidad Tecnológica Nacional (UTN)</t>
        </is>
      </c>
      <c r="B1632" t="inlineStr">
        <is>
          <t>Argentina</t>
        </is>
      </c>
      <c r="C1632" t="inlineStr">
        <is>
          <t>1001-1200</t>
        </is>
      </c>
      <c r="D1632" t="inlineStr"/>
      <c r="E1632" t="n">
        <v>4.5</v>
      </c>
      <c r="F1632" t="n">
        <v>14.3</v>
      </c>
      <c r="G1632" t="n">
        <v>49.7</v>
      </c>
      <c r="H1632" t="n">
        <v>1.1</v>
      </c>
      <c r="I1632" t="inlineStr"/>
      <c r="J1632" t="n">
        <v>1.5</v>
      </c>
      <c r="K1632" t="n">
        <v>11.4</v>
      </c>
      <c r="L1632" t="n">
        <v>6.7</v>
      </c>
      <c r="M1632" t="n">
        <v>1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n">
        <v>1001</v>
      </c>
      <c r="Z1632" t="inlineStr"/>
      <c r="AA1632" t="inlineStr"/>
      <c r="AB1632" t="inlineStr">
        <is>
          <t>U1631</t>
        </is>
      </c>
      <c r="AC1632" t="inlineStr">
        <is>
          <t>AR</t>
        </is>
      </c>
      <c r="AD1632" t="inlineStr"/>
      <c r="AE1632" t="n">
        <v>1.1</v>
      </c>
      <c r="AF1632" t="inlineStr"/>
      <c r="AG1632" t="inlineStr"/>
      <c r="AH1632" t="inlineStr"/>
      <c r="AI1632" t="n">
        <v>4.5</v>
      </c>
      <c r="AJ1632" t="n">
        <v>13.72</v>
      </c>
    </row>
    <row r="1633">
      <c r="A1633" t="inlineStr">
        <is>
          <t>Universidad Torcuato Di Tella</t>
        </is>
      </c>
      <c r="B1633" t="inlineStr">
        <is>
          <t>Argentina</t>
        </is>
      </c>
      <c r="C1633" t="inlineStr">
        <is>
          <t>951-1000</t>
        </is>
      </c>
      <c r="D1633" t="inlineStr"/>
      <c r="E1633" t="n">
        <v>12.4</v>
      </c>
      <c r="F1633" t="n">
        <v>20.8</v>
      </c>
      <c r="G1633" t="n">
        <v>14.4</v>
      </c>
      <c r="H1633" t="n">
        <v>2.6</v>
      </c>
      <c r="I1633" t="n">
        <v>33.1</v>
      </c>
      <c r="J1633" t="n">
        <v>7.8</v>
      </c>
      <c r="K1633" t="n">
        <v>4.5</v>
      </c>
      <c r="L1633" t="n">
        <v>35.6</v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n">
        <v>951</v>
      </c>
      <c r="Z1633" t="inlineStr"/>
      <c r="AA1633" t="inlineStr"/>
      <c r="AB1633" t="inlineStr">
        <is>
          <t>U1632</t>
        </is>
      </c>
      <c r="AC1633" t="inlineStr">
        <is>
          <t>AR</t>
        </is>
      </c>
      <c r="AD1633" t="inlineStr"/>
      <c r="AE1633" t="n">
        <v>2.6</v>
      </c>
      <c r="AF1633" t="inlineStr"/>
      <c r="AG1633" t="inlineStr"/>
      <c r="AH1633" t="inlineStr"/>
      <c r="AI1633" t="n">
        <v>12.4</v>
      </c>
      <c r="AJ1633" t="n">
        <v>14.18</v>
      </c>
    </row>
    <row r="1634">
      <c r="A1634" t="inlineStr">
        <is>
          <t>Universidad Veracruzana</t>
        </is>
      </c>
      <c r="B1634" t="inlineStr">
        <is>
          <t>Mexico</t>
        </is>
      </c>
      <c r="C1634" t="inlineStr">
        <is>
          <t>1401+</t>
        </is>
      </c>
      <c r="D1634" t="inlineStr"/>
      <c r="E1634" t="n">
        <v>7.7</v>
      </c>
      <c r="F1634" t="n">
        <v>2.7</v>
      </c>
      <c r="G1634" t="n">
        <v>7.3</v>
      </c>
      <c r="H1634" t="n">
        <v>1.4</v>
      </c>
      <c r="I1634" t="inlineStr"/>
      <c r="J1634" t="inlineStr"/>
      <c r="K1634" t="n">
        <v>13.6</v>
      </c>
      <c r="L1634" t="n">
        <v>1.5</v>
      </c>
      <c r="M1634" t="n">
        <v>1.1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n">
        <v>1401</v>
      </c>
      <c r="Z1634" t="inlineStr"/>
      <c r="AA1634" t="inlineStr"/>
      <c r="AB1634" t="inlineStr">
        <is>
          <t>U1633</t>
        </is>
      </c>
      <c r="AC1634" t="inlineStr">
        <is>
          <t>ME</t>
        </is>
      </c>
      <c r="AD1634" t="inlineStr"/>
      <c r="AE1634" t="n">
        <v>1.4</v>
      </c>
      <c r="AF1634" t="inlineStr"/>
      <c r="AG1634" t="inlineStr"/>
      <c r="AH1634" t="inlineStr"/>
      <c r="AI1634" t="n">
        <v>7.7</v>
      </c>
      <c r="AJ1634" t="n">
        <v>13.81</v>
      </c>
    </row>
    <row r="1635">
      <c r="A1635" t="inlineStr">
        <is>
          <t>Universidade Católica Portuguesa - UCP</t>
        </is>
      </c>
      <c r="B1635" t="inlineStr">
        <is>
          <t>Portugal</t>
        </is>
      </c>
      <c r="C1635" t="inlineStr">
        <is>
          <t>901-950</t>
        </is>
      </c>
      <c r="D1635" t="inlineStr"/>
      <c r="E1635" t="n">
        <v>13</v>
      </c>
      <c r="F1635" t="n">
        <v>13.6</v>
      </c>
      <c r="G1635" t="n">
        <v>11.9</v>
      </c>
      <c r="H1635" t="n">
        <v>6.1</v>
      </c>
      <c r="I1635" t="n">
        <v>9.300000000000001</v>
      </c>
      <c r="J1635" t="n">
        <v>30.2</v>
      </c>
      <c r="K1635" t="n">
        <v>27.8</v>
      </c>
      <c r="L1635" t="n">
        <v>43.2</v>
      </c>
      <c r="M1635" t="n">
        <v>5.8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n">
        <v>901</v>
      </c>
      <c r="Z1635" t="inlineStr"/>
      <c r="AA1635" t="inlineStr"/>
      <c r="AB1635" t="inlineStr">
        <is>
          <t>U1634</t>
        </is>
      </c>
      <c r="AC1635" t="inlineStr">
        <is>
          <t>PO</t>
        </is>
      </c>
      <c r="AD1635" t="inlineStr"/>
      <c r="AE1635" t="n">
        <v>6.1</v>
      </c>
      <c r="AF1635" t="inlineStr"/>
      <c r="AG1635" t="inlineStr"/>
      <c r="AH1635" t="inlineStr"/>
      <c r="AI1635" t="n">
        <v>13</v>
      </c>
      <c r="AJ1635" t="n">
        <v>15.24</v>
      </c>
    </row>
    <row r="1636">
      <c r="A1636" t="inlineStr">
        <is>
          <t xml:space="preserve">Universidade da Coruña </t>
        </is>
      </c>
      <c r="B1636" t="inlineStr">
        <is>
          <t>Spain</t>
        </is>
      </c>
      <c r="C1636" t="inlineStr">
        <is>
          <t>1001-1200</t>
        </is>
      </c>
      <c r="D1636" t="inlineStr"/>
      <c r="E1636" t="n">
        <v>5.9</v>
      </c>
      <c r="F1636" t="n">
        <v>4.8</v>
      </c>
      <c r="G1636" t="n">
        <v>24.2</v>
      </c>
      <c r="H1636" t="n">
        <v>7.3</v>
      </c>
      <c r="I1636" t="n">
        <v>2.9</v>
      </c>
      <c r="J1636" t="n">
        <v>4.5</v>
      </c>
      <c r="K1636" t="n">
        <v>56.1</v>
      </c>
      <c r="L1636" t="n">
        <v>1.8</v>
      </c>
      <c r="M1636" t="n">
        <v>23.2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n">
        <v>1001</v>
      </c>
      <c r="Z1636" t="inlineStr"/>
      <c r="AA1636" t="inlineStr"/>
      <c r="AB1636" t="inlineStr">
        <is>
          <t>U1635</t>
        </is>
      </c>
      <c r="AC1636" t="inlineStr">
        <is>
          <t>SP</t>
        </is>
      </c>
      <c r="AD1636" t="inlineStr"/>
      <c r="AE1636" t="n">
        <v>7.3</v>
      </c>
      <c r="AF1636" t="inlineStr"/>
      <c r="AG1636" t="inlineStr"/>
      <c r="AH1636" t="inlineStr"/>
      <c r="AI1636" t="n">
        <v>5.9</v>
      </c>
      <c r="AJ1636" t="n">
        <v>15.6</v>
      </c>
    </row>
    <row r="1637">
      <c r="A1637" t="inlineStr">
        <is>
          <t>Universidade de Brasília</t>
        </is>
      </c>
      <c r="B1637" t="inlineStr">
        <is>
          <t>Brazil</t>
        </is>
      </c>
      <c r="C1637" t="inlineStr">
        <is>
          <t>751-760</t>
        </is>
      </c>
      <c r="D1637" t="inlineStr"/>
      <c r="E1637" t="n">
        <v>25.3</v>
      </c>
      <c r="F1637" t="n">
        <v>7.9</v>
      </c>
      <c r="G1637" t="n">
        <v>7.1</v>
      </c>
      <c r="H1637" t="n">
        <v>4.2</v>
      </c>
      <c r="I1637" t="n">
        <v>10.8</v>
      </c>
      <c r="J1637" t="n">
        <v>1.5</v>
      </c>
      <c r="K1637" t="n">
        <v>67.5</v>
      </c>
      <c r="L1637" t="n">
        <v>29.6</v>
      </c>
      <c r="M1637" t="n">
        <v>35.1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n">
        <v>751</v>
      </c>
      <c r="Z1637" t="inlineStr"/>
      <c r="AA1637" t="inlineStr"/>
      <c r="AB1637" t="inlineStr">
        <is>
          <t>U1636</t>
        </is>
      </c>
      <c r="AC1637" t="inlineStr">
        <is>
          <t>BR</t>
        </is>
      </c>
      <c r="AD1637" t="inlineStr"/>
      <c r="AE1637" t="n">
        <v>4.2</v>
      </c>
      <c r="AF1637" t="inlineStr"/>
      <c r="AG1637" t="inlineStr"/>
      <c r="AH1637" t="inlineStr"/>
      <c r="AI1637" t="n">
        <v>25.3</v>
      </c>
      <c r="AJ1637" t="n">
        <v>14.66</v>
      </c>
    </row>
    <row r="1638">
      <c r="A1638" t="inlineStr">
        <is>
          <t>Universidade de São Paulo</t>
        </is>
      </c>
      <c r="B1638" t="inlineStr">
        <is>
          <t>Brazil</t>
        </is>
      </c>
      <c r="C1638" t="inlineStr">
        <is>
          <t>92</t>
        </is>
      </c>
      <c r="D1638" t="n">
        <v>61.6</v>
      </c>
      <c r="E1638" t="n">
        <v>92.8</v>
      </c>
      <c r="F1638" t="n">
        <v>74.59999999999999</v>
      </c>
      <c r="G1638" t="n">
        <v>21.4</v>
      </c>
      <c r="H1638" t="n">
        <v>28.5</v>
      </c>
      <c r="I1638" t="n">
        <v>6.8</v>
      </c>
      <c r="J1638" t="n">
        <v>2.1</v>
      </c>
      <c r="K1638" t="n">
        <v>95.90000000000001</v>
      </c>
      <c r="L1638" t="n">
        <v>97.90000000000001</v>
      </c>
      <c r="M1638" t="n">
        <v>93.59999999999999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n">
        <v>92</v>
      </c>
      <c r="Z1638" t="inlineStr"/>
      <c r="AA1638" t="inlineStr"/>
      <c r="AB1638" t="inlineStr">
        <is>
          <t>U1637</t>
        </is>
      </c>
      <c r="AC1638" t="inlineStr">
        <is>
          <t>BR</t>
        </is>
      </c>
      <c r="AD1638" t="n">
        <v>61.6</v>
      </c>
      <c r="AE1638" t="n">
        <v>28.5</v>
      </c>
      <c r="AF1638" t="inlineStr"/>
      <c r="AG1638" t="inlineStr"/>
      <c r="AH1638" t="inlineStr"/>
      <c r="AI1638" t="n">
        <v>92.8</v>
      </c>
      <c r="AJ1638" t="n">
        <v>22.02</v>
      </c>
    </row>
    <row r="1639">
      <c r="A1639" t="inlineStr">
        <is>
          <t>Universidade de Santiago de Compostela</t>
        </is>
      </c>
      <c r="B1639" t="inlineStr">
        <is>
          <t>Spain</t>
        </is>
      </c>
      <c r="C1639" t="inlineStr">
        <is>
          <t>651-660</t>
        </is>
      </c>
      <c r="D1639" t="inlineStr"/>
      <c r="E1639" t="n">
        <v>24.1</v>
      </c>
      <c r="F1639" t="n">
        <v>10.8</v>
      </c>
      <c r="G1639" t="n">
        <v>12.4</v>
      </c>
      <c r="H1639" t="n">
        <v>17</v>
      </c>
      <c r="I1639" t="n">
        <v>2.6</v>
      </c>
      <c r="J1639" t="n">
        <v>5.5</v>
      </c>
      <c r="K1639" t="n">
        <v>78</v>
      </c>
      <c r="L1639" t="n">
        <v>11.3</v>
      </c>
      <c r="M1639" t="n">
        <v>36.6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n">
        <v>651</v>
      </c>
      <c r="Z1639" t="inlineStr"/>
      <c r="AA1639" t="inlineStr"/>
      <c r="AB1639" t="inlineStr">
        <is>
          <t>U1638</t>
        </is>
      </c>
      <c r="AC1639" t="inlineStr">
        <is>
          <t>SP</t>
        </is>
      </c>
      <c r="AD1639" t="inlineStr"/>
      <c r="AE1639" t="n">
        <v>17</v>
      </c>
      <c r="AF1639" t="inlineStr"/>
      <c r="AG1639" t="inlineStr"/>
      <c r="AH1639" t="inlineStr"/>
      <c r="AI1639" t="n">
        <v>24.1</v>
      </c>
      <c r="AJ1639" t="n">
        <v>18.54</v>
      </c>
    </row>
    <row r="1640">
      <c r="A1640" t="inlineStr">
        <is>
          <t>Universidade de Vigo</t>
        </is>
      </c>
      <c r="B1640" t="inlineStr">
        <is>
          <t>Spain</t>
        </is>
      </c>
      <c r="C1640" t="inlineStr">
        <is>
          <t>901-950</t>
        </is>
      </c>
      <c r="D1640" t="inlineStr"/>
      <c r="E1640" t="n">
        <v>8.9</v>
      </c>
      <c r="F1640" t="n">
        <v>5.3</v>
      </c>
      <c r="G1640" t="n">
        <v>9.4</v>
      </c>
      <c r="H1640" t="n">
        <v>18</v>
      </c>
      <c r="I1640" t="n">
        <v>2.1</v>
      </c>
      <c r="J1640" t="n">
        <v>4.8</v>
      </c>
      <c r="K1640" t="n">
        <v>79.90000000000001</v>
      </c>
      <c r="L1640" t="n">
        <v>3.8</v>
      </c>
      <c r="M1640" t="n">
        <v>39.8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n">
        <v>901</v>
      </c>
      <c r="Z1640" t="inlineStr"/>
      <c r="AA1640" t="inlineStr"/>
      <c r="AB1640" t="inlineStr">
        <is>
          <t>U1639</t>
        </is>
      </c>
      <c r="AC1640" t="inlineStr">
        <is>
          <t>SP</t>
        </is>
      </c>
      <c r="AD1640" t="inlineStr"/>
      <c r="AE1640" t="n">
        <v>18</v>
      </c>
      <c r="AF1640" t="inlineStr"/>
      <c r="AG1640" t="inlineStr"/>
      <c r="AH1640" t="inlineStr"/>
      <c r="AI1640" t="n">
        <v>8.9</v>
      </c>
      <c r="AJ1640" t="n">
        <v>18.84</v>
      </c>
    </row>
    <row r="1641">
      <c r="A1641" t="inlineStr">
        <is>
          <t>Universidade do Estado de Santa Catarina</t>
        </is>
      </c>
      <c r="B1641" t="inlineStr">
        <is>
          <t>Brazil</t>
        </is>
      </c>
      <c r="C1641" t="inlineStr">
        <is>
          <t>1401+</t>
        </is>
      </c>
      <c r="D1641" t="inlineStr"/>
      <c r="E1641" t="n">
        <v>3.7</v>
      </c>
      <c r="F1641" t="n">
        <v>1.3</v>
      </c>
      <c r="G1641" t="n">
        <v>15.4</v>
      </c>
      <c r="H1641" t="n">
        <v>1.7</v>
      </c>
      <c r="I1641" t="inlineStr"/>
      <c r="J1641" t="inlineStr"/>
      <c r="K1641" t="n">
        <v>9</v>
      </c>
      <c r="L1641" t="n">
        <v>2.2</v>
      </c>
      <c r="M1641" t="n">
        <v>1</v>
      </c>
      <c r="N1641" t="inlineStr">
        <is>
          <t>1501+</t>
        </is>
      </c>
      <c r="O1641" t="inlineStr">
        <is>
          <t>9.7–22.7</t>
        </is>
      </c>
      <c r="P1641" t="n">
        <v>26.5</v>
      </c>
      <c r="Q1641" t="n">
        <v>11</v>
      </c>
      <c r="R1641" t="n">
        <v>15.7</v>
      </c>
      <c r="S1641" t="n">
        <v>17</v>
      </c>
      <c r="T1641" t="n">
        <v>21.2</v>
      </c>
      <c r="U1641" t="inlineStr">
        <is>
          <t>12,417</t>
        </is>
      </c>
      <c r="V1641" t="n">
        <v>11.5</v>
      </c>
      <c r="W1641" t="inlineStr">
        <is>
          <t>1%</t>
        </is>
      </c>
      <c r="X1641" t="inlineStr">
        <is>
          <t>54 : 46</t>
        </is>
      </c>
      <c r="Y1641" t="n">
        <v>1401</v>
      </c>
      <c r="Z1641" t="n">
        <v>1501</v>
      </c>
      <c r="AA1641" t="n">
        <v>16.2</v>
      </c>
      <c r="AB1641" t="inlineStr">
        <is>
          <t>U1640</t>
        </is>
      </c>
      <c r="AC1641" t="inlineStr">
        <is>
          <t>BR</t>
        </is>
      </c>
      <c r="AD1641" t="n">
        <v>16.2</v>
      </c>
      <c r="AE1641" t="n">
        <v>1.7</v>
      </c>
      <c r="AF1641" t="n">
        <v>11.5</v>
      </c>
      <c r="AG1641" t="inlineStr">
        <is>
          <t>1:11.5</t>
        </is>
      </c>
      <c r="AH1641" t="inlineStr">
        <is>
          <t>1%</t>
        </is>
      </c>
      <c r="AI1641" t="n">
        <v>3.7</v>
      </c>
      <c r="AJ1641" t="n">
        <v>4.8</v>
      </c>
    </row>
    <row r="1642">
      <c r="A1642" t="inlineStr">
        <is>
          <t>Universidade do Estado do Rio de Janeiro (UERJ)</t>
        </is>
      </c>
      <c r="B1642" t="inlineStr">
        <is>
          <t>Brazil</t>
        </is>
      </c>
      <c r="C1642" t="inlineStr">
        <is>
          <t>1201-1400</t>
        </is>
      </c>
      <c r="D1642" t="inlineStr"/>
      <c r="E1642" t="n">
        <v>9.5</v>
      </c>
      <c r="F1642" t="n">
        <v>5.1</v>
      </c>
      <c r="G1642" t="n">
        <v>17.4</v>
      </c>
      <c r="H1642" t="n">
        <v>2.5</v>
      </c>
      <c r="I1642" t="n">
        <v>3.5</v>
      </c>
      <c r="J1642" t="n">
        <v>1.2</v>
      </c>
      <c r="K1642" t="n">
        <v>35.7</v>
      </c>
      <c r="L1642" t="n">
        <v>18.2</v>
      </c>
      <c r="M1642" t="n">
        <v>1.3</v>
      </c>
      <c r="N1642" t="inlineStr">
        <is>
          <t>1201–1500</t>
        </is>
      </c>
      <c r="O1642" t="inlineStr">
        <is>
          <t>22.8–28.2</t>
        </is>
      </c>
      <c r="P1642" t="n">
        <v>31.8</v>
      </c>
      <c r="Q1642" t="n">
        <v>13.5</v>
      </c>
      <c r="R1642" t="n">
        <v>24.6</v>
      </c>
      <c r="S1642" t="n">
        <v>26.3</v>
      </c>
      <c r="T1642" t="n">
        <v>30.4</v>
      </c>
      <c r="U1642" t="inlineStr">
        <is>
          <t>22,879</t>
        </is>
      </c>
      <c r="V1642" t="n">
        <v>9.4</v>
      </c>
      <c r="W1642" t="inlineStr">
        <is>
          <t>0%</t>
        </is>
      </c>
      <c r="X1642" t="inlineStr">
        <is>
          <t>56 : 44</t>
        </is>
      </c>
      <c r="Y1642" t="n">
        <v>1201</v>
      </c>
      <c r="Z1642" t="n">
        <v>1201</v>
      </c>
      <c r="AA1642" t="n">
        <v>25.5</v>
      </c>
      <c r="AB1642" t="inlineStr">
        <is>
          <t>U1641</t>
        </is>
      </c>
      <c r="AC1642" t="inlineStr">
        <is>
          <t>BR</t>
        </is>
      </c>
      <c r="AD1642" t="n">
        <v>25.5</v>
      </c>
      <c r="AE1642" t="n">
        <v>2.5</v>
      </c>
      <c r="AF1642" t="n">
        <v>9.4</v>
      </c>
      <c r="AG1642" t="inlineStr">
        <is>
          <t>1:9.4</t>
        </is>
      </c>
      <c r="AH1642" t="inlineStr">
        <is>
          <t>0%</t>
        </is>
      </c>
      <c r="AI1642" t="n">
        <v>9.5</v>
      </c>
      <c r="AJ1642" t="n">
        <v>8.58</v>
      </c>
    </row>
    <row r="1643">
      <c r="A1643" t="inlineStr">
        <is>
          <t>Universidade Eduardo Mondlane</t>
        </is>
      </c>
      <c r="B1643" t="inlineStr">
        <is>
          <t>Mozambique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>
        <is>
          <t>1201–1500</t>
        </is>
      </c>
      <c r="O1643" t="inlineStr">
        <is>
          <t>22.8–28.2</t>
        </is>
      </c>
      <c r="P1643" t="n">
        <v>10.1</v>
      </c>
      <c r="Q1643" t="n">
        <v>9.4</v>
      </c>
      <c r="R1643" t="n">
        <v>56.7</v>
      </c>
      <c r="S1643" t="n">
        <v>16.6</v>
      </c>
      <c r="T1643" t="n">
        <v>51.1</v>
      </c>
      <c r="U1643" t="inlineStr">
        <is>
          <t>48,306</t>
        </is>
      </c>
      <c r="V1643" t="n">
        <v>28.7</v>
      </c>
      <c r="W1643" t="inlineStr">
        <is>
          <t>0%</t>
        </is>
      </c>
      <c r="X1643" t="inlineStr">
        <is>
          <t>41 : 59</t>
        </is>
      </c>
      <c r="Y1643" t="inlineStr"/>
      <c r="Z1643" t="n">
        <v>1201</v>
      </c>
      <c r="AA1643" t="n">
        <v>25.5</v>
      </c>
      <c r="AB1643" t="inlineStr">
        <is>
          <t>U1642</t>
        </is>
      </c>
      <c r="AC1643" t="inlineStr">
        <is>
          <t>MO</t>
        </is>
      </c>
      <c r="AD1643" t="n">
        <v>25.5</v>
      </c>
      <c r="AE1643" t="n">
        <v>56.7</v>
      </c>
      <c r="AF1643" t="n">
        <v>28.7</v>
      </c>
      <c r="AG1643" t="inlineStr">
        <is>
          <t>1:28.7</t>
        </is>
      </c>
      <c r="AH1643" t="inlineStr">
        <is>
          <t>0%</t>
        </is>
      </c>
      <c r="AI1643" t="inlineStr"/>
      <c r="AJ1643" t="n">
        <v>27.86</v>
      </c>
    </row>
    <row r="1644">
      <c r="A1644" t="inlineStr">
        <is>
          <t>Universidade Estadual de Campinas (Unicamp)</t>
        </is>
      </c>
      <c r="B1644" t="inlineStr">
        <is>
          <t>Brazil</t>
        </is>
      </c>
      <c r="C1644" t="inlineStr">
        <is>
          <t>232</t>
        </is>
      </c>
      <c r="D1644" t="n">
        <v>42.9</v>
      </c>
      <c r="E1644" t="n">
        <v>71.8</v>
      </c>
      <c r="F1644" t="n">
        <v>40.3</v>
      </c>
      <c r="G1644" t="n">
        <v>14.7</v>
      </c>
      <c r="H1644" t="n">
        <v>24.3</v>
      </c>
      <c r="I1644" t="n">
        <v>10.7</v>
      </c>
      <c r="J1644" t="n">
        <v>2.7</v>
      </c>
      <c r="K1644" t="n">
        <v>85.40000000000001</v>
      </c>
      <c r="L1644" t="n">
        <v>25.1</v>
      </c>
      <c r="M1644" t="n">
        <v>65.90000000000001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n">
        <v>232</v>
      </c>
      <c r="Z1644" t="inlineStr"/>
      <c r="AA1644" t="inlineStr"/>
      <c r="AB1644" t="inlineStr">
        <is>
          <t>U1643</t>
        </is>
      </c>
      <c r="AC1644" t="inlineStr">
        <is>
          <t>BR</t>
        </is>
      </c>
      <c r="AD1644" t="n">
        <v>42.9</v>
      </c>
      <c r="AE1644" t="n">
        <v>24.3</v>
      </c>
      <c r="AF1644" t="inlineStr"/>
      <c r="AG1644" t="inlineStr"/>
      <c r="AH1644" t="inlineStr"/>
      <c r="AI1644" t="n">
        <v>71.8</v>
      </c>
      <c r="AJ1644" t="n">
        <v>20.75</v>
      </c>
    </row>
    <row r="1645">
      <c r="A1645" t="inlineStr">
        <is>
          <t>Universidade Estadual de Londrina</t>
        </is>
      </c>
      <c r="B1645" t="inlineStr">
        <is>
          <t>Brazil</t>
        </is>
      </c>
      <c r="C1645" t="inlineStr">
        <is>
          <t>1401+</t>
        </is>
      </c>
      <c r="D1645" t="inlineStr"/>
      <c r="E1645" t="n">
        <v>3.9</v>
      </c>
      <c r="F1645" t="n">
        <v>2.5</v>
      </c>
      <c r="G1645" t="n">
        <v>13.7</v>
      </c>
      <c r="H1645" t="n">
        <v>3.3</v>
      </c>
      <c r="I1645" t="n">
        <v>2.1</v>
      </c>
      <c r="J1645" t="n">
        <v>1.3</v>
      </c>
      <c r="K1645" t="n">
        <v>13.4</v>
      </c>
      <c r="L1645" t="n">
        <v>1.3</v>
      </c>
      <c r="M1645" t="n">
        <v>2.8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n">
        <v>1401</v>
      </c>
      <c r="Z1645" t="inlineStr"/>
      <c r="AA1645" t="inlineStr"/>
      <c r="AB1645" t="inlineStr">
        <is>
          <t>U1644</t>
        </is>
      </c>
      <c r="AC1645" t="inlineStr">
        <is>
          <t>BR</t>
        </is>
      </c>
      <c r="AD1645" t="inlineStr"/>
      <c r="AE1645" t="n">
        <v>3.3</v>
      </c>
      <c r="AF1645" t="inlineStr"/>
      <c r="AG1645" t="inlineStr"/>
      <c r="AH1645" t="inlineStr"/>
      <c r="AI1645" t="n">
        <v>3.9</v>
      </c>
      <c r="AJ1645" t="n">
        <v>14.39</v>
      </c>
    </row>
    <row r="1646">
      <c r="A1646" t="inlineStr">
        <is>
          <t>Universidade Estadual de Maringá</t>
        </is>
      </c>
      <c r="B1646" t="inlineStr">
        <is>
          <t>Brazil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>
        <is>
          <t>1501+</t>
        </is>
      </c>
      <c r="O1646" t="inlineStr">
        <is>
          <t>9.7–22.7</t>
        </is>
      </c>
      <c r="P1646" t="n">
        <v>28.9</v>
      </c>
      <c r="Q1646" t="n">
        <v>13.8</v>
      </c>
      <c r="R1646" t="n">
        <v>20.2</v>
      </c>
      <c r="S1646" t="n">
        <v>21.2</v>
      </c>
      <c r="T1646" t="n">
        <v>22</v>
      </c>
      <c r="U1646" t="inlineStr">
        <is>
          <t>18,706</t>
        </is>
      </c>
      <c r="V1646" t="n">
        <v>12.2</v>
      </c>
      <c r="W1646" t="inlineStr">
        <is>
          <t>0%</t>
        </is>
      </c>
      <c r="X1646" t="inlineStr">
        <is>
          <t>53 : 47</t>
        </is>
      </c>
      <c r="Y1646" t="inlineStr"/>
      <c r="Z1646" t="n">
        <v>1501</v>
      </c>
      <c r="AA1646" t="n">
        <v>16.2</v>
      </c>
      <c r="AB1646" t="inlineStr">
        <is>
          <t>U1645</t>
        </is>
      </c>
      <c r="AC1646" t="inlineStr">
        <is>
          <t>BR</t>
        </is>
      </c>
      <c r="AD1646" t="n">
        <v>16.2</v>
      </c>
      <c r="AE1646" t="n">
        <v>20.2</v>
      </c>
      <c r="AF1646" t="n">
        <v>12.2</v>
      </c>
      <c r="AG1646" t="inlineStr">
        <is>
          <t>1:12.2</t>
        </is>
      </c>
      <c r="AH1646" t="inlineStr">
        <is>
          <t>0%</t>
        </is>
      </c>
      <c r="AI1646" t="inlineStr"/>
      <c r="AJ1646" t="n">
        <v>12.07</v>
      </c>
    </row>
    <row r="1647">
      <c r="A1647" t="inlineStr">
        <is>
          <t>Universidade Estadual do Norte Fluminense Darcy Ribeiro</t>
        </is>
      </c>
      <c r="B1647" t="inlineStr">
        <is>
          <t>Brazil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>
        <is>
          <t>1501+</t>
        </is>
      </c>
      <c r="O1647" t="inlineStr">
        <is>
          <t>9.7–22.7</t>
        </is>
      </c>
      <c r="P1647" t="n">
        <v>21.1</v>
      </c>
      <c r="Q1647" t="n">
        <v>10.9</v>
      </c>
      <c r="R1647" t="n">
        <v>21.6</v>
      </c>
      <c r="S1647" t="n">
        <v>22.3</v>
      </c>
      <c r="T1647" t="n">
        <v>34.5</v>
      </c>
      <c r="U1647" t="inlineStr">
        <is>
          <t>7,105</t>
        </is>
      </c>
      <c r="V1647" t="n">
        <v>22.8</v>
      </c>
      <c r="W1647" t="inlineStr">
        <is>
          <t>0%</t>
        </is>
      </c>
      <c r="X1647" t="inlineStr">
        <is>
          <t>61 : 39</t>
        </is>
      </c>
      <c r="Y1647" t="inlineStr"/>
      <c r="Z1647" t="n">
        <v>1501</v>
      </c>
      <c r="AA1647" t="n">
        <v>16.2</v>
      </c>
      <c r="AB1647" t="inlineStr">
        <is>
          <t>U1646</t>
        </is>
      </c>
      <c r="AC1647" t="inlineStr">
        <is>
          <t>BR</t>
        </is>
      </c>
      <c r="AD1647" t="n">
        <v>16.2</v>
      </c>
      <c r="AE1647" t="n">
        <v>21.6</v>
      </c>
      <c r="AF1647" t="n">
        <v>22.8</v>
      </c>
      <c r="AG1647" t="inlineStr">
        <is>
          <t>1:22.8</t>
        </is>
      </c>
      <c r="AH1647" t="inlineStr">
        <is>
          <t>0%</t>
        </is>
      </c>
      <c r="AI1647" t="inlineStr"/>
      <c r="AJ1647" t="n">
        <v>13.99</v>
      </c>
    </row>
    <row r="1648">
      <c r="A1648" t="inlineStr">
        <is>
          <t>Universidade Estadual do Oeste do Paraná (Unioeste)</t>
        </is>
      </c>
      <c r="B1648" t="inlineStr">
        <is>
          <t>Brazil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>
        <is>
          <t>1501+</t>
        </is>
      </c>
      <c r="O1648" t="inlineStr">
        <is>
          <t>9.7–22.7</t>
        </is>
      </c>
      <c r="P1648" t="n">
        <v>27.6</v>
      </c>
      <c r="Q1648" t="n">
        <v>9.800000000000001</v>
      </c>
      <c r="R1648" t="n">
        <v>7.4</v>
      </c>
      <c r="S1648" t="n">
        <v>17.2</v>
      </c>
      <c r="T1648" t="n">
        <v>20.4</v>
      </c>
      <c r="U1648" t="inlineStr">
        <is>
          <t>12,529</t>
        </is>
      </c>
      <c r="V1648" t="n">
        <v>9.9</v>
      </c>
      <c r="W1648" t="inlineStr">
        <is>
          <t>0%</t>
        </is>
      </c>
      <c r="X1648" t="inlineStr">
        <is>
          <t>60 : 40</t>
        </is>
      </c>
      <c r="Y1648" t="inlineStr"/>
      <c r="Z1648" t="n">
        <v>1501</v>
      </c>
      <c r="AA1648" t="n">
        <v>16.2</v>
      </c>
      <c r="AB1648" t="inlineStr">
        <is>
          <t>U1647</t>
        </is>
      </c>
      <c r="AC1648" t="inlineStr">
        <is>
          <t>BR</t>
        </is>
      </c>
      <c r="AD1648" t="n">
        <v>16.2</v>
      </c>
      <c r="AE1648" t="n">
        <v>7.4</v>
      </c>
      <c r="AF1648" t="n">
        <v>9.9</v>
      </c>
      <c r="AG1648" t="inlineStr">
        <is>
          <t>1:9.9</t>
        </is>
      </c>
      <c r="AH1648" t="inlineStr">
        <is>
          <t>0%</t>
        </is>
      </c>
      <c r="AI1648" t="inlineStr"/>
      <c r="AJ1648" t="n">
        <v>5.7</v>
      </c>
    </row>
    <row r="1649">
      <c r="A1649" t="inlineStr">
        <is>
          <t>Universidade Estadual Paulista (Unesp)</t>
        </is>
      </c>
      <c r="B1649" t="inlineStr">
        <is>
          <t>Brazil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>
        <is>
          <t>601–800</t>
        </is>
      </c>
      <c r="O1649" t="inlineStr">
        <is>
          <t>37.0–41.8</t>
        </is>
      </c>
      <c r="P1649" t="n">
        <v>41.5</v>
      </c>
      <c r="Q1649" t="n">
        <v>33.1</v>
      </c>
      <c r="R1649" t="n">
        <v>38.1</v>
      </c>
      <c r="S1649" t="n">
        <v>40.5</v>
      </c>
      <c r="T1649" t="n">
        <v>38.6</v>
      </c>
      <c r="U1649" t="inlineStr">
        <is>
          <t>34,828</t>
        </is>
      </c>
      <c r="V1649" t="n">
        <v>12.8</v>
      </c>
      <c r="W1649" t="inlineStr">
        <is>
          <t>4%</t>
        </is>
      </c>
      <c r="X1649" t="inlineStr">
        <is>
          <t>54 : 46</t>
        </is>
      </c>
      <c r="Y1649" t="inlineStr"/>
      <c r="Z1649" t="n">
        <v>601</v>
      </c>
      <c r="AA1649" t="n">
        <v>39.4</v>
      </c>
      <c r="AB1649" t="inlineStr">
        <is>
          <t>U1648</t>
        </is>
      </c>
      <c r="AC1649" t="inlineStr">
        <is>
          <t>BR</t>
        </is>
      </c>
      <c r="AD1649" t="n">
        <v>39.4</v>
      </c>
      <c r="AE1649" t="n">
        <v>38.1</v>
      </c>
      <c r="AF1649" t="n">
        <v>12.8</v>
      </c>
      <c r="AG1649" t="inlineStr">
        <is>
          <t>1:12.8</t>
        </is>
      </c>
      <c r="AH1649" t="inlineStr">
        <is>
          <t>4%</t>
        </is>
      </c>
      <c r="AI1649" t="inlineStr"/>
      <c r="AJ1649" t="n">
        <v>31.62</v>
      </c>
    </row>
    <row r="1650">
      <c r="A1650" t="inlineStr">
        <is>
          <t>Universidade Federal da Bahia</t>
        </is>
      </c>
      <c r="B1650" t="inlineStr">
        <is>
          <t>Brazil</t>
        </is>
      </c>
      <c r="C1650" t="inlineStr">
        <is>
          <t>1201-1400</t>
        </is>
      </c>
      <c r="D1650" t="inlineStr"/>
      <c r="E1650" t="n">
        <v>9</v>
      </c>
      <c r="F1650" t="n">
        <v>2.7</v>
      </c>
      <c r="G1650" t="n">
        <v>8.5</v>
      </c>
      <c r="H1650" t="n">
        <v>3.1</v>
      </c>
      <c r="I1650" t="n">
        <v>5.1</v>
      </c>
      <c r="J1650" t="n">
        <v>1.4</v>
      </c>
      <c r="K1650" t="n">
        <v>48.8</v>
      </c>
      <c r="L1650" t="n">
        <v>12.4</v>
      </c>
      <c r="M1650" t="n">
        <v>2.5</v>
      </c>
      <c r="N1650" t="inlineStr">
        <is>
          <t>1201–1500</t>
        </is>
      </c>
      <c r="O1650" t="inlineStr">
        <is>
          <t>22.8–28.2</t>
        </is>
      </c>
      <c r="P1650" t="n">
        <v>27.5</v>
      </c>
      <c r="Q1650" t="n">
        <v>12.3</v>
      </c>
      <c r="R1650" t="n">
        <v>30.5</v>
      </c>
      <c r="S1650" t="n">
        <v>19.7</v>
      </c>
      <c r="T1650" t="n">
        <v>28.4</v>
      </c>
      <c r="U1650" t="inlineStr">
        <is>
          <t>51,291</t>
        </is>
      </c>
      <c r="V1650" t="n">
        <v>19.9</v>
      </c>
      <c r="W1650" t="inlineStr">
        <is>
          <t>0%</t>
        </is>
      </c>
      <c r="X1650" t="inlineStr">
        <is>
          <t>41 : 59</t>
        </is>
      </c>
      <c r="Y1650" t="n">
        <v>1201</v>
      </c>
      <c r="Z1650" t="n">
        <v>1201</v>
      </c>
      <c r="AA1650" t="n">
        <v>25.5</v>
      </c>
      <c r="AB1650" t="inlineStr">
        <is>
          <t>U1649</t>
        </is>
      </c>
      <c r="AC1650" t="inlineStr">
        <is>
          <t>BR</t>
        </is>
      </c>
      <c r="AD1650" t="n">
        <v>25.5</v>
      </c>
      <c r="AE1650" t="n">
        <v>3.1</v>
      </c>
      <c r="AF1650" t="n">
        <v>19.9</v>
      </c>
      <c r="AG1650" t="inlineStr">
        <is>
          <t>1:19.9</t>
        </is>
      </c>
      <c r="AH1650" t="inlineStr">
        <is>
          <t>0%</t>
        </is>
      </c>
      <c r="AI1650" t="n">
        <v>9</v>
      </c>
      <c r="AJ1650" t="n">
        <v>7.65</v>
      </c>
    </row>
    <row r="1651">
      <c r="A1651" t="inlineStr">
        <is>
          <t>Universidade Federal da Paraíba</t>
        </is>
      </c>
      <c r="B1651" t="inlineStr">
        <is>
          <t>Brazil</t>
        </is>
      </c>
      <c r="C1651" t="inlineStr">
        <is>
          <t>1401+</t>
        </is>
      </c>
      <c r="D1651" t="inlineStr"/>
      <c r="E1651" t="n">
        <v>4.1</v>
      </c>
      <c r="F1651" t="n">
        <v>2.5</v>
      </c>
      <c r="G1651" t="n">
        <v>7.3</v>
      </c>
      <c r="H1651" t="n">
        <v>3.1</v>
      </c>
      <c r="I1651" t="n">
        <v>2.5</v>
      </c>
      <c r="J1651" t="n">
        <v>1.1</v>
      </c>
      <c r="K1651" t="n">
        <v>40.8</v>
      </c>
      <c r="L1651" t="n">
        <v>1.3</v>
      </c>
      <c r="M1651" t="n">
        <v>1.1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n">
        <v>1401</v>
      </c>
      <c r="Z1651" t="inlineStr"/>
      <c r="AA1651" t="inlineStr"/>
      <c r="AB1651" t="inlineStr">
        <is>
          <t>U1650</t>
        </is>
      </c>
      <c r="AC1651" t="inlineStr">
        <is>
          <t>BR</t>
        </is>
      </c>
      <c r="AD1651" t="inlineStr"/>
      <c r="AE1651" t="n">
        <v>3.1</v>
      </c>
      <c r="AF1651" t="inlineStr"/>
      <c r="AG1651" t="inlineStr"/>
      <c r="AH1651" t="inlineStr"/>
      <c r="AI1651" t="n">
        <v>4.1</v>
      </c>
      <c r="AJ1651" t="n">
        <v>14.33</v>
      </c>
    </row>
    <row r="1652">
      <c r="A1652" t="inlineStr">
        <is>
          <t>Universidade Federal de Ciências da Saúde de Porto Alegre (UFCSPA)</t>
        </is>
      </c>
      <c r="B1652" t="inlineStr">
        <is>
          <t>Brazil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>
        <is>
          <t>1501+</t>
        </is>
      </c>
      <c r="O1652" t="inlineStr">
        <is>
          <t>9.7–22.7</t>
        </is>
      </c>
      <c r="P1652" t="n">
        <v>21.2</v>
      </c>
      <c r="Q1652" t="n">
        <v>12.8</v>
      </c>
      <c r="R1652" t="n">
        <v>25.1</v>
      </c>
      <c r="S1652" t="n">
        <v>21.2</v>
      </c>
      <c r="T1652" t="n">
        <v>26.1</v>
      </c>
      <c r="U1652" t="inlineStr">
        <is>
          <t>4,183</t>
        </is>
      </c>
      <c r="V1652" t="n">
        <v>11.6</v>
      </c>
      <c r="W1652" t="inlineStr">
        <is>
          <t>1%</t>
        </is>
      </c>
      <c r="X1652" t="inlineStr">
        <is>
          <t>70 : 30</t>
        </is>
      </c>
      <c r="Y1652" t="inlineStr"/>
      <c r="Z1652" t="n">
        <v>1501</v>
      </c>
      <c r="AA1652" t="n">
        <v>16.2</v>
      </c>
      <c r="AB1652" t="inlineStr">
        <is>
          <t>U1651</t>
        </is>
      </c>
      <c r="AC1652" t="inlineStr">
        <is>
          <t>BR</t>
        </is>
      </c>
      <c r="AD1652" t="n">
        <v>16.2</v>
      </c>
      <c r="AE1652" t="n">
        <v>25.1</v>
      </c>
      <c r="AF1652" t="n">
        <v>11.6</v>
      </c>
      <c r="AG1652" t="inlineStr">
        <is>
          <t>1:11.6</t>
        </is>
      </c>
      <c r="AH1652" t="inlineStr">
        <is>
          <t>1%</t>
        </is>
      </c>
      <c r="AI1652" t="inlineStr"/>
      <c r="AJ1652" t="n">
        <v>14.02</v>
      </c>
    </row>
    <row r="1653">
      <c r="A1653" t="inlineStr">
        <is>
          <t>Universidade Federal de Goiás</t>
        </is>
      </c>
      <c r="B1653" t="inlineStr">
        <is>
          <t>Brazil</t>
        </is>
      </c>
      <c r="C1653" t="inlineStr">
        <is>
          <t>1401+</t>
        </is>
      </c>
      <c r="D1653" t="inlineStr"/>
      <c r="E1653" t="n">
        <v>3.8</v>
      </c>
      <c r="F1653" t="n">
        <v>1.3</v>
      </c>
      <c r="G1653" t="n">
        <v>6.8</v>
      </c>
      <c r="H1653" t="n">
        <v>4.2</v>
      </c>
      <c r="I1653" t="n">
        <v>3.5</v>
      </c>
      <c r="J1653" t="n">
        <v>1.2</v>
      </c>
      <c r="K1653" t="n">
        <v>32.7</v>
      </c>
      <c r="L1653" t="n">
        <v>1.3</v>
      </c>
      <c r="M1653" t="n">
        <v>1.3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n">
        <v>1401</v>
      </c>
      <c r="Z1653" t="inlineStr"/>
      <c r="AA1653" t="inlineStr"/>
      <c r="AB1653" t="inlineStr">
        <is>
          <t>U1652</t>
        </is>
      </c>
      <c r="AC1653" t="inlineStr">
        <is>
          <t>BR</t>
        </is>
      </c>
      <c r="AD1653" t="inlineStr"/>
      <c r="AE1653" t="n">
        <v>4.2</v>
      </c>
      <c r="AF1653" t="inlineStr"/>
      <c r="AG1653" t="inlineStr"/>
      <c r="AH1653" t="inlineStr"/>
      <c r="AI1653" t="n">
        <v>3.8</v>
      </c>
      <c r="AJ1653" t="n">
        <v>14.66</v>
      </c>
    </row>
    <row r="1654">
      <c r="A1654" t="inlineStr">
        <is>
          <t>Universidade Federal de Juiz de Fora- (UFJF)</t>
        </is>
      </c>
      <c r="B1654" t="inlineStr">
        <is>
          <t>Brazil</t>
        </is>
      </c>
      <c r="C1654" t="inlineStr">
        <is>
          <t>1201-1400</t>
        </is>
      </c>
      <c r="D1654" t="inlineStr"/>
      <c r="E1654" t="n">
        <v>3.8</v>
      </c>
      <c r="F1654" t="n">
        <v>2</v>
      </c>
      <c r="G1654" t="n">
        <v>30.3</v>
      </c>
      <c r="H1654" t="n">
        <v>2.8</v>
      </c>
      <c r="I1654" t="inlineStr"/>
      <c r="J1654" t="inlineStr"/>
      <c r="K1654" t="n">
        <v>35.2</v>
      </c>
      <c r="L1654" t="n">
        <v>1.3</v>
      </c>
      <c r="M1654" t="n">
        <v>1</v>
      </c>
      <c r="N1654" t="inlineStr">
        <is>
          <t>1501+</t>
        </is>
      </c>
      <c r="O1654" t="inlineStr">
        <is>
          <t>9.7–22.7</t>
        </is>
      </c>
      <c r="P1654" t="n">
        <v>18.5</v>
      </c>
      <c r="Q1654" t="n">
        <v>12.1</v>
      </c>
      <c r="R1654" t="n">
        <v>27.5</v>
      </c>
      <c r="S1654" t="n">
        <v>18.6</v>
      </c>
      <c r="T1654" t="n">
        <v>29.8</v>
      </c>
      <c r="U1654" t="inlineStr">
        <is>
          <t>26,483</t>
        </is>
      </c>
      <c r="V1654" t="n">
        <v>16.6</v>
      </c>
      <c r="W1654" t="inlineStr">
        <is>
          <t>0%</t>
        </is>
      </c>
      <c r="X1654" t="inlineStr">
        <is>
          <t>50 : 50</t>
        </is>
      </c>
      <c r="Y1654" t="n">
        <v>1201</v>
      </c>
      <c r="Z1654" t="n">
        <v>1501</v>
      </c>
      <c r="AA1654" t="n">
        <v>16.2</v>
      </c>
      <c r="AB1654" t="inlineStr">
        <is>
          <t>U1653</t>
        </is>
      </c>
      <c r="AC1654" t="inlineStr">
        <is>
          <t>BR</t>
        </is>
      </c>
      <c r="AD1654" t="n">
        <v>16.2</v>
      </c>
      <c r="AE1654" t="n">
        <v>2.8</v>
      </c>
      <c r="AF1654" t="n">
        <v>16.6</v>
      </c>
      <c r="AG1654" t="inlineStr">
        <is>
          <t>1:16.6</t>
        </is>
      </c>
      <c r="AH1654" t="inlineStr">
        <is>
          <t>0%</t>
        </is>
      </c>
      <c r="AI1654" t="n">
        <v>3.8</v>
      </c>
      <c r="AJ1654" t="n">
        <v>7.79</v>
      </c>
    </row>
    <row r="1655">
      <c r="A1655" t="inlineStr">
        <is>
          <t xml:space="preserve">Universidade Federal de Minas Gerais      </t>
        </is>
      </c>
      <c r="B1655" t="inlineStr">
        <is>
          <t>Brazil</t>
        </is>
      </c>
      <c r="C1655" t="inlineStr">
        <is>
          <t>671-680</t>
        </is>
      </c>
      <c r="D1655" t="inlineStr"/>
      <c r="E1655" t="n">
        <v>32.4</v>
      </c>
      <c r="F1655" t="n">
        <v>8.9</v>
      </c>
      <c r="G1655" t="n">
        <v>13.8</v>
      </c>
      <c r="H1655" t="n">
        <v>7</v>
      </c>
      <c r="I1655" t="n">
        <v>8</v>
      </c>
      <c r="J1655" t="n">
        <v>1.5</v>
      </c>
      <c r="K1655" t="n">
        <v>64</v>
      </c>
      <c r="L1655" t="n">
        <v>39.7</v>
      </c>
      <c r="M1655" t="n">
        <v>6.7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n">
        <v>671</v>
      </c>
      <c r="Z1655" t="inlineStr"/>
      <c r="AA1655" t="inlineStr"/>
      <c r="AB1655" t="inlineStr">
        <is>
          <t>U1654</t>
        </is>
      </c>
      <c r="AC1655" t="inlineStr">
        <is>
          <t>BR</t>
        </is>
      </c>
      <c r="AD1655" t="inlineStr"/>
      <c r="AE1655" t="n">
        <v>7</v>
      </c>
      <c r="AF1655" t="inlineStr"/>
      <c r="AG1655" t="inlineStr"/>
      <c r="AH1655" t="inlineStr"/>
      <c r="AI1655" t="n">
        <v>32.4</v>
      </c>
      <c r="AJ1655" t="n">
        <v>15.51</v>
      </c>
    </row>
    <row r="1656">
      <c r="A1656" t="inlineStr">
        <is>
          <t>Universidade Federal de Ouro Preto (UFOP)</t>
        </is>
      </c>
      <c r="B1656" t="inlineStr">
        <is>
          <t>Brazil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>
        <is>
          <t>1501+</t>
        </is>
      </c>
      <c r="O1656" t="inlineStr">
        <is>
          <t>9.7–22.7</t>
        </is>
      </c>
      <c r="P1656" t="n">
        <v>22.1</v>
      </c>
      <c r="Q1656" t="n">
        <v>12</v>
      </c>
      <c r="R1656" t="n">
        <v>20.7</v>
      </c>
      <c r="S1656" t="n">
        <v>25.5</v>
      </c>
      <c r="T1656" t="n">
        <v>24.7</v>
      </c>
      <c r="U1656" t="inlineStr">
        <is>
          <t>14,799</t>
        </is>
      </c>
      <c r="V1656" t="n">
        <v>16.3</v>
      </c>
      <c r="W1656" t="inlineStr">
        <is>
          <t>1%</t>
        </is>
      </c>
      <c r="X1656" t="inlineStr">
        <is>
          <t>49 : 51</t>
        </is>
      </c>
      <c r="Y1656" t="inlineStr"/>
      <c r="Z1656" t="n">
        <v>1501</v>
      </c>
      <c r="AA1656" t="n">
        <v>16.2</v>
      </c>
      <c r="AB1656" t="inlineStr">
        <is>
          <t>U1655</t>
        </is>
      </c>
      <c r="AC1656" t="inlineStr">
        <is>
          <t>BR</t>
        </is>
      </c>
      <c r="AD1656" t="n">
        <v>16.2</v>
      </c>
      <c r="AE1656" t="n">
        <v>20.7</v>
      </c>
      <c r="AF1656" t="n">
        <v>16.3</v>
      </c>
      <c r="AG1656" t="inlineStr">
        <is>
          <t>1:16.3</t>
        </is>
      </c>
      <c r="AH1656" t="inlineStr">
        <is>
          <t>1%</t>
        </is>
      </c>
      <c r="AI1656" t="inlineStr"/>
      <c r="AJ1656" t="n">
        <v>11.93</v>
      </c>
    </row>
    <row r="1657">
      <c r="A1657" t="inlineStr">
        <is>
          <t xml:space="preserve">Universidade Federal de Pelotas </t>
        </is>
      </c>
      <c r="B1657" t="inlineStr">
        <is>
          <t>Brazil</t>
        </is>
      </c>
      <c r="C1657" t="inlineStr">
        <is>
          <t>1201-1400</t>
        </is>
      </c>
      <c r="D1657" t="inlineStr"/>
      <c r="E1657" t="n">
        <v>4.7</v>
      </c>
      <c r="F1657" t="n">
        <v>1.3</v>
      </c>
      <c r="G1657" t="n">
        <v>26</v>
      </c>
      <c r="H1657" t="n">
        <v>4.7</v>
      </c>
      <c r="I1657" t="inlineStr"/>
      <c r="J1657" t="n">
        <v>1.3</v>
      </c>
      <c r="K1657" t="n">
        <v>21.7</v>
      </c>
      <c r="L1657" t="n">
        <v>1.3</v>
      </c>
      <c r="M1657" t="n">
        <v>1.3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n">
        <v>1201</v>
      </c>
      <c r="Z1657" t="inlineStr"/>
      <c r="AA1657" t="inlineStr"/>
      <c r="AB1657" t="inlineStr">
        <is>
          <t>U1656</t>
        </is>
      </c>
      <c r="AC1657" t="inlineStr">
        <is>
          <t>BR</t>
        </is>
      </c>
      <c r="AD1657" t="inlineStr"/>
      <c r="AE1657" t="n">
        <v>4.7</v>
      </c>
      <c r="AF1657" t="inlineStr"/>
      <c r="AG1657" t="inlineStr"/>
      <c r="AH1657" t="inlineStr"/>
      <c r="AI1657" t="n">
        <v>4.7</v>
      </c>
      <c r="AJ1657" t="n">
        <v>14.81</v>
      </c>
    </row>
    <row r="1658">
      <c r="A1658" t="inlineStr">
        <is>
          <t xml:space="preserve">Universidade Federal de Pernambuco (UFPE) </t>
        </is>
      </c>
      <c r="B1658" t="inlineStr">
        <is>
          <t>Brazil</t>
        </is>
      </c>
      <c r="C1658" t="inlineStr">
        <is>
          <t>1001-1200</t>
        </is>
      </c>
      <c r="D1658" t="inlineStr"/>
      <c r="E1658" t="n">
        <v>11.6</v>
      </c>
      <c r="F1658" t="n">
        <v>2.4</v>
      </c>
      <c r="G1658" t="n">
        <v>15.5</v>
      </c>
      <c r="H1658" t="n">
        <v>4.1</v>
      </c>
      <c r="I1658" t="n">
        <v>1.5</v>
      </c>
      <c r="J1658" t="n">
        <v>1.2</v>
      </c>
      <c r="K1658" t="n">
        <v>55.1</v>
      </c>
      <c r="L1658" t="n">
        <v>3.7</v>
      </c>
      <c r="M1658" t="n">
        <v>1.2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n">
        <v>1001</v>
      </c>
      <c r="Z1658" t="inlineStr"/>
      <c r="AA1658" t="inlineStr"/>
      <c r="AB1658" t="inlineStr">
        <is>
          <t>U1657</t>
        </is>
      </c>
      <c r="AC1658" t="inlineStr">
        <is>
          <t>BR</t>
        </is>
      </c>
      <c r="AD1658" t="inlineStr"/>
      <c r="AE1658" t="n">
        <v>4.1</v>
      </c>
      <c r="AF1658" t="inlineStr"/>
      <c r="AG1658" t="inlineStr"/>
      <c r="AH1658" t="inlineStr"/>
      <c r="AI1658" t="n">
        <v>11.6</v>
      </c>
      <c r="AJ1658" t="n">
        <v>14.63</v>
      </c>
    </row>
    <row r="1659">
      <c r="A1659" t="inlineStr">
        <is>
          <t>Universidade Federal de São Carlos (UFSCar)</t>
        </is>
      </c>
      <c r="B1659" t="inlineStr">
        <is>
          <t>Brazil</t>
        </is>
      </c>
      <c r="C1659" t="inlineStr">
        <is>
          <t>1001-1200</t>
        </is>
      </c>
      <c r="D1659" t="inlineStr"/>
      <c r="E1659" t="n">
        <v>11.8</v>
      </c>
      <c r="F1659" t="n">
        <v>6.4</v>
      </c>
      <c r="G1659" t="n">
        <v>15.5</v>
      </c>
      <c r="H1659" t="n">
        <v>17.8</v>
      </c>
      <c r="I1659" t="n">
        <v>2.6</v>
      </c>
      <c r="J1659" t="n">
        <v>1.6</v>
      </c>
      <c r="K1659" t="n">
        <v>45.5</v>
      </c>
      <c r="L1659" t="n">
        <v>1.8</v>
      </c>
      <c r="M1659" t="n">
        <v>2.7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n">
        <v>1001</v>
      </c>
      <c r="Z1659" t="inlineStr"/>
      <c r="AA1659" t="inlineStr"/>
      <c r="AB1659" t="inlineStr">
        <is>
          <t>U1658</t>
        </is>
      </c>
      <c r="AC1659" t="inlineStr">
        <is>
          <t>BR</t>
        </is>
      </c>
      <c r="AD1659" t="inlineStr"/>
      <c r="AE1659" t="n">
        <v>17.8</v>
      </c>
      <c r="AF1659" t="inlineStr"/>
      <c r="AG1659" t="inlineStr"/>
      <c r="AH1659" t="inlineStr"/>
      <c r="AI1659" t="n">
        <v>11.8</v>
      </c>
      <c r="AJ1659" t="n">
        <v>18.78</v>
      </c>
    </row>
    <row r="1660">
      <c r="A1660" t="inlineStr">
        <is>
          <t>Universidade Federal de São Paulo</t>
        </is>
      </c>
      <c r="B1660" t="inlineStr">
        <is>
          <t>Brazil</t>
        </is>
      </c>
      <c r="C1660" t="inlineStr">
        <is>
          <t>691-700</t>
        </is>
      </c>
      <c r="D1660" t="inlineStr"/>
      <c r="E1660" t="n">
        <v>10.5</v>
      </c>
      <c r="F1660" t="n">
        <v>5.1</v>
      </c>
      <c r="G1660" t="n">
        <v>95.59999999999999</v>
      </c>
      <c r="H1660" t="n">
        <v>6</v>
      </c>
      <c r="I1660" t="n">
        <v>4.7</v>
      </c>
      <c r="J1660" t="n">
        <v>1.5</v>
      </c>
      <c r="K1660" t="n">
        <v>54</v>
      </c>
      <c r="L1660" t="n">
        <v>2.9</v>
      </c>
      <c r="M1660" t="n">
        <v>30.1</v>
      </c>
      <c r="N1660" t="inlineStr">
        <is>
          <t>801–1000</t>
        </is>
      </c>
      <c r="O1660" t="inlineStr">
        <is>
          <t>32.7–36.9</t>
        </is>
      </c>
      <c r="P1660" t="n">
        <v>33.2</v>
      </c>
      <c r="Q1660" t="n">
        <v>22.5</v>
      </c>
      <c r="R1660" t="n">
        <v>48.2</v>
      </c>
      <c r="S1660" t="n">
        <v>47.2</v>
      </c>
      <c r="T1660" t="n">
        <v>35.2</v>
      </c>
      <c r="U1660" t="inlineStr">
        <is>
          <t>19,803</t>
        </is>
      </c>
      <c r="V1660" t="n">
        <v>11.3</v>
      </c>
      <c r="W1660" t="inlineStr">
        <is>
          <t>1%</t>
        </is>
      </c>
      <c r="X1660" t="inlineStr">
        <is>
          <t>59 : 41</t>
        </is>
      </c>
      <c r="Y1660" t="n">
        <v>691</v>
      </c>
      <c r="Z1660" t="n">
        <v>801</v>
      </c>
      <c r="AA1660" t="n">
        <v>34.8</v>
      </c>
      <c r="AB1660" t="inlineStr">
        <is>
          <t>U1659</t>
        </is>
      </c>
      <c r="AC1660" t="inlineStr">
        <is>
          <t>BR</t>
        </is>
      </c>
      <c r="AD1660" t="n">
        <v>34.8</v>
      </c>
      <c r="AE1660" t="n">
        <v>6</v>
      </c>
      <c r="AF1660" t="n">
        <v>11.3</v>
      </c>
      <c r="AG1660" t="inlineStr">
        <is>
          <t>1:11.3</t>
        </is>
      </c>
      <c r="AH1660" t="inlineStr">
        <is>
          <t>1%</t>
        </is>
      </c>
      <c r="AI1660" t="n">
        <v>10.5</v>
      </c>
      <c r="AJ1660" t="n">
        <v>15.52</v>
      </c>
    </row>
    <row r="1661">
      <c r="A1661" t="inlineStr">
        <is>
          <t xml:space="preserve">Universidade Federal de Santa Catarina </t>
        </is>
      </c>
      <c r="B1661" t="inlineStr">
        <is>
          <t>Brazil</t>
        </is>
      </c>
      <c r="C1661" t="inlineStr">
        <is>
          <t>781-790</t>
        </is>
      </c>
      <c r="D1661" t="inlineStr"/>
      <c r="E1661" t="n">
        <v>19.3</v>
      </c>
      <c r="F1661" t="n">
        <v>4.8</v>
      </c>
      <c r="G1661" t="n">
        <v>19.2</v>
      </c>
      <c r="H1661" t="n">
        <v>8.5</v>
      </c>
      <c r="I1661" t="n">
        <v>4.1</v>
      </c>
      <c r="J1661" t="n">
        <v>2.2</v>
      </c>
      <c r="K1661" t="n">
        <v>62.1</v>
      </c>
      <c r="L1661" t="n">
        <v>17.3</v>
      </c>
      <c r="M1661" t="n">
        <v>52.1</v>
      </c>
      <c r="N1661" t="inlineStr">
        <is>
          <t>801–1000</t>
        </is>
      </c>
      <c r="O1661" t="inlineStr">
        <is>
          <t>32.7–36.9</t>
        </is>
      </c>
      <c r="P1661" t="n">
        <v>32.5</v>
      </c>
      <c r="Q1661" t="n">
        <v>21.6</v>
      </c>
      <c r="R1661" t="n">
        <v>41.6</v>
      </c>
      <c r="S1661" t="n">
        <v>64.2</v>
      </c>
      <c r="T1661" t="n">
        <v>35.3</v>
      </c>
      <c r="U1661" t="inlineStr">
        <is>
          <t>42,576</t>
        </is>
      </c>
      <c r="V1661" t="n">
        <v>17.7</v>
      </c>
      <c r="W1661" t="inlineStr">
        <is>
          <t>2%</t>
        </is>
      </c>
      <c r="X1661" t="inlineStr">
        <is>
          <t>49 : 51</t>
        </is>
      </c>
      <c r="Y1661" t="n">
        <v>781</v>
      </c>
      <c r="Z1661" t="n">
        <v>801</v>
      </c>
      <c r="AA1661" t="n">
        <v>34.8</v>
      </c>
      <c r="AB1661" t="inlineStr">
        <is>
          <t>U1660</t>
        </is>
      </c>
      <c r="AC1661" t="inlineStr">
        <is>
          <t>BR</t>
        </is>
      </c>
      <c r="AD1661" t="n">
        <v>34.8</v>
      </c>
      <c r="AE1661" t="n">
        <v>8.5</v>
      </c>
      <c r="AF1661" t="n">
        <v>17.7</v>
      </c>
      <c r="AG1661" t="inlineStr">
        <is>
          <t>1:17.7</t>
        </is>
      </c>
      <c r="AH1661" t="inlineStr">
        <is>
          <t>2%</t>
        </is>
      </c>
      <c r="AI1661" t="n">
        <v>19.3</v>
      </c>
      <c r="AJ1661" t="n">
        <v>15.83</v>
      </c>
    </row>
    <row r="1662">
      <c r="A1662" t="inlineStr">
        <is>
          <t>Universidade Federal de Santa Maria</t>
        </is>
      </c>
      <c r="B1662" t="inlineStr">
        <is>
          <t>Brazil</t>
        </is>
      </c>
      <c r="C1662" t="inlineStr">
        <is>
          <t>1201-1400</t>
        </is>
      </c>
      <c r="D1662" t="inlineStr"/>
      <c r="E1662" t="n">
        <v>6.4</v>
      </c>
      <c r="F1662" t="n">
        <v>1.5</v>
      </c>
      <c r="G1662" t="n">
        <v>17.5</v>
      </c>
      <c r="H1662" t="n">
        <v>5.2</v>
      </c>
      <c r="I1662" t="n">
        <v>2.5</v>
      </c>
      <c r="J1662" t="n">
        <v>1.4</v>
      </c>
      <c r="K1662" t="n">
        <v>37.9</v>
      </c>
      <c r="L1662" t="n">
        <v>6.3</v>
      </c>
      <c r="M1662" t="n">
        <v>11.5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n">
        <v>1201</v>
      </c>
      <c r="Z1662" t="inlineStr"/>
      <c r="AA1662" t="inlineStr"/>
      <c r="AB1662" t="inlineStr">
        <is>
          <t>U1661</t>
        </is>
      </c>
      <c r="AC1662" t="inlineStr">
        <is>
          <t>BR</t>
        </is>
      </c>
      <c r="AD1662" t="inlineStr"/>
      <c r="AE1662" t="n">
        <v>5.2</v>
      </c>
      <c r="AF1662" t="inlineStr"/>
      <c r="AG1662" t="inlineStr"/>
      <c r="AH1662" t="inlineStr"/>
      <c r="AI1662" t="n">
        <v>6.4</v>
      </c>
      <c r="AJ1662" t="n">
        <v>14.96</v>
      </c>
    </row>
    <row r="1663">
      <c r="A1663" t="inlineStr">
        <is>
          <t>Universidade Federal de Sergipe</t>
        </is>
      </c>
      <c r="B1663" t="inlineStr">
        <is>
          <t>Brazil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>
        <is>
          <t>1501+</t>
        </is>
      </c>
      <c r="O1663" t="inlineStr">
        <is>
          <t>9.7–22.7</t>
        </is>
      </c>
      <c r="P1663" t="n">
        <v>17</v>
      </c>
      <c r="Q1663" t="n">
        <v>10.4</v>
      </c>
      <c r="R1663" t="n">
        <v>36.4</v>
      </c>
      <c r="S1663" t="n">
        <v>18.1</v>
      </c>
      <c r="T1663" t="n">
        <v>28.1</v>
      </c>
      <c r="U1663" t="inlineStr">
        <is>
          <t>26,133</t>
        </is>
      </c>
      <c r="V1663" t="n">
        <v>16</v>
      </c>
      <c r="W1663" t="inlineStr">
        <is>
          <t>0%</t>
        </is>
      </c>
      <c r="X1663" t="inlineStr">
        <is>
          <t>52 : 48</t>
        </is>
      </c>
      <c r="Y1663" t="inlineStr"/>
      <c r="Z1663" t="n">
        <v>1501</v>
      </c>
      <c r="AA1663" t="n">
        <v>16.2</v>
      </c>
      <c r="AB1663" t="inlineStr">
        <is>
          <t>U1662</t>
        </is>
      </c>
      <c r="AC1663" t="inlineStr">
        <is>
          <t>BR</t>
        </is>
      </c>
      <c r="AD1663" t="n">
        <v>16.2</v>
      </c>
      <c r="AE1663" t="n">
        <v>36.4</v>
      </c>
      <c r="AF1663" t="n">
        <v>16</v>
      </c>
      <c r="AG1663" t="inlineStr">
        <is>
          <t>1:16.0</t>
        </is>
      </c>
      <c r="AH1663" t="inlineStr">
        <is>
          <t>0%</t>
        </is>
      </c>
      <c r="AI1663" t="inlineStr"/>
      <c r="AJ1663" t="n">
        <v>16.67</v>
      </c>
    </row>
    <row r="1664">
      <c r="A1664" t="inlineStr">
        <is>
          <t>Universidade Federal de Uberlândia</t>
        </is>
      </c>
      <c r="B1664" t="inlineStr">
        <is>
          <t>Brazil</t>
        </is>
      </c>
      <c r="C1664" t="inlineStr">
        <is>
          <t>1401+</t>
        </is>
      </c>
      <c r="D1664" t="inlineStr"/>
      <c r="E1664" t="n">
        <v>3.8</v>
      </c>
      <c r="F1664" t="n">
        <v>1.7</v>
      </c>
      <c r="G1664" t="n">
        <v>13.8</v>
      </c>
      <c r="H1664" t="n">
        <v>3.5</v>
      </c>
      <c r="I1664" t="n">
        <v>2.1</v>
      </c>
      <c r="J1664" t="n">
        <v>1.3</v>
      </c>
      <c r="K1664" t="n">
        <v>28.6</v>
      </c>
      <c r="L1664" t="n">
        <v>2.2</v>
      </c>
      <c r="M1664" t="n">
        <v>3.2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n">
        <v>1401</v>
      </c>
      <c r="Z1664" t="inlineStr"/>
      <c r="AA1664" t="inlineStr"/>
      <c r="AB1664" t="inlineStr">
        <is>
          <t>U1663</t>
        </is>
      </c>
      <c r="AC1664" t="inlineStr">
        <is>
          <t>BR</t>
        </is>
      </c>
      <c r="AD1664" t="inlineStr"/>
      <c r="AE1664" t="n">
        <v>3.5</v>
      </c>
      <c r="AF1664" t="inlineStr"/>
      <c r="AG1664" t="inlineStr"/>
      <c r="AH1664" t="inlineStr"/>
      <c r="AI1664" t="n">
        <v>3.8</v>
      </c>
      <c r="AJ1664" t="n">
        <v>14.45</v>
      </c>
    </row>
    <row r="1665">
      <c r="A1665" t="inlineStr">
        <is>
          <t>Universidade Federal de Viçosa (UFV)</t>
        </is>
      </c>
      <c r="B1665" t="inlineStr">
        <is>
          <t>Brazil</t>
        </is>
      </c>
      <c r="C1665" t="inlineStr">
        <is>
          <t>1201-1400</t>
        </is>
      </c>
      <c r="D1665" t="inlineStr"/>
      <c r="E1665" t="n">
        <v>5.1</v>
      </c>
      <c r="F1665" t="n">
        <v>2.4</v>
      </c>
      <c r="G1665" t="n">
        <v>10.9</v>
      </c>
      <c r="H1665" t="n">
        <v>7.8</v>
      </c>
      <c r="I1665" t="n">
        <v>2.4</v>
      </c>
      <c r="J1665" t="n">
        <v>1.9</v>
      </c>
      <c r="K1665" t="n">
        <v>20.2</v>
      </c>
      <c r="L1665" t="n">
        <v>3.8</v>
      </c>
      <c r="M1665" t="n">
        <v>1.3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n">
        <v>1201</v>
      </c>
      <c r="Z1665" t="inlineStr"/>
      <c r="AA1665" t="inlineStr"/>
      <c r="AB1665" t="inlineStr">
        <is>
          <t>U1664</t>
        </is>
      </c>
      <c r="AC1665" t="inlineStr">
        <is>
          <t>BR</t>
        </is>
      </c>
      <c r="AD1665" t="inlineStr"/>
      <c r="AE1665" t="n">
        <v>7.8</v>
      </c>
      <c r="AF1665" t="inlineStr"/>
      <c r="AG1665" t="inlineStr"/>
      <c r="AH1665" t="inlineStr"/>
      <c r="AI1665" t="n">
        <v>5.1</v>
      </c>
      <c r="AJ1665" t="n">
        <v>15.75</v>
      </c>
    </row>
    <row r="1666">
      <c r="A1666" t="inlineStr">
        <is>
          <t>Universidade Federal do ABC (UFABC)</t>
        </is>
      </c>
      <c r="B1666" t="inlineStr">
        <is>
          <t>Brazil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>
        <is>
          <t>1201–1500</t>
        </is>
      </c>
      <c r="O1666" t="inlineStr">
        <is>
          <t>22.8–28.2</t>
        </is>
      </c>
      <c r="P1666" t="n">
        <v>16.8</v>
      </c>
      <c r="Q1666" t="n">
        <v>17.6</v>
      </c>
      <c r="R1666" t="n">
        <v>41.1</v>
      </c>
      <c r="S1666" t="n">
        <v>26.6</v>
      </c>
      <c r="T1666" t="n">
        <v>45.9</v>
      </c>
      <c r="U1666" t="inlineStr">
        <is>
          <t>18,805</t>
        </is>
      </c>
      <c r="V1666" t="n">
        <v>25.3</v>
      </c>
      <c r="W1666" t="inlineStr">
        <is>
          <t>1%</t>
        </is>
      </c>
      <c r="X1666" t="inlineStr">
        <is>
          <t>37 : 63</t>
        </is>
      </c>
      <c r="Y1666" t="inlineStr"/>
      <c r="Z1666" t="n">
        <v>1201</v>
      </c>
      <c r="AA1666" t="n">
        <v>25.5</v>
      </c>
      <c r="AB1666" t="inlineStr">
        <is>
          <t>U1665</t>
        </is>
      </c>
      <c r="AC1666" t="inlineStr">
        <is>
          <t>BR</t>
        </is>
      </c>
      <c r="AD1666" t="n">
        <v>25.5</v>
      </c>
      <c r="AE1666" t="n">
        <v>41.1</v>
      </c>
      <c r="AF1666" t="n">
        <v>25.3</v>
      </c>
      <c r="AG1666" t="inlineStr">
        <is>
          <t>1:25.3</t>
        </is>
      </c>
      <c r="AH1666" t="inlineStr">
        <is>
          <t>1%</t>
        </is>
      </c>
      <c r="AI1666" t="inlineStr"/>
      <c r="AJ1666" t="n">
        <v>26.17</v>
      </c>
    </row>
    <row r="1667">
      <c r="A1667" t="inlineStr">
        <is>
          <t>Universidade Federal do Ceará (UFC)</t>
        </is>
      </c>
      <c r="B1667" t="inlineStr">
        <is>
          <t>Brazil</t>
        </is>
      </c>
      <c r="C1667" t="inlineStr">
        <is>
          <t>1201-1400</t>
        </is>
      </c>
      <c r="D1667" t="inlineStr"/>
      <c r="E1667" t="n">
        <v>7.4</v>
      </c>
      <c r="F1667" t="n">
        <v>2.8</v>
      </c>
      <c r="G1667" t="n">
        <v>6.3</v>
      </c>
      <c r="H1667" t="n">
        <v>5.3</v>
      </c>
      <c r="I1667" t="n">
        <v>1.3</v>
      </c>
      <c r="J1667" t="n">
        <v>1.2</v>
      </c>
      <c r="K1667" t="n">
        <v>43.4</v>
      </c>
      <c r="L1667" t="n">
        <v>3.7</v>
      </c>
      <c r="M1667" t="n">
        <v>2</v>
      </c>
      <c r="N1667" t="inlineStr">
        <is>
          <t>1201–1500</t>
        </is>
      </c>
      <c r="O1667" t="inlineStr">
        <is>
          <t>22.8–28.2</t>
        </is>
      </c>
      <c r="P1667" t="n">
        <v>24.2</v>
      </c>
      <c r="Q1667" t="n">
        <v>16.6</v>
      </c>
      <c r="R1667" t="n">
        <v>24.6</v>
      </c>
      <c r="S1667" t="n">
        <v>44.5</v>
      </c>
      <c r="T1667" t="n">
        <v>27.2</v>
      </c>
      <c r="U1667" t="inlineStr">
        <is>
          <t>40,899</t>
        </is>
      </c>
      <c r="V1667" t="n">
        <v>19.8</v>
      </c>
      <c r="W1667" t="inlineStr">
        <is>
          <t>1%</t>
        </is>
      </c>
      <c r="X1667" t="inlineStr">
        <is>
          <t>44 : 56</t>
        </is>
      </c>
      <c r="Y1667" t="n">
        <v>1201</v>
      </c>
      <c r="Z1667" t="n">
        <v>1201</v>
      </c>
      <c r="AA1667" t="n">
        <v>25.5</v>
      </c>
      <c r="AB1667" t="inlineStr">
        <is>
          <t>U1666</t>
        </is>
      </c>
      <c r="AC1667" t="inlineStr">
        <is>
          <t>BR</t>
        </is>
      </c>
      <c r="AD1667" t="n">
        <v>25.5</v>
      </c>
      <c r="AE1667" t="n">
        <v>5.3</v>
      </c>
      <c r="AF1667" t="n">
        <v>19.8</v>
      </c>
      <c r="AG1667" t="inlineStr">
        <is>
          <t>1:19.8</t>
        </is>
      </c>
      <c r="AH1667" t="inlineStr">
        <is>
          <t>1%</t>
        </is>
      </c>
      <c r="AI1667" t="n">
        <v>7.4</v>
      </c>
      <c r="AJ1667" t="n">
        <v>10.28</v>
      </c>
    </row>
    <row r="1668">
      <c r="A1668" t="inlineStr">
        <is>
          <t>Universidade Federal do Estado do Rio de Janeiro - UNIRIO</t>
        </is>
      </c>
      <c r="B1668" t="inlineStr">
        <is>
          <t>Brazil</t>
        </is>
      </c>
      <c r="C1668" t="inlineStr">
        <is>
          <t>1401+</t>
        </is>
      </c>
      <c r="D1668" t="inlineStr"/>
      <c r="E1668" t="n">
        <v>2.9</v>
      </c>
      <c r="F1668" t="n">
        <v>2</v>
      </c>
      <c r="G1668" t="n">
        <v>8.1</v>
      </c>
      <c r="H1668" t="n">
        <v>2.1</v>
      </c>
      <c r="I1668" t="inlineStr"/>
      <c r="J1668" t="inlineStr"/>
      <c r="K1668" t="n">
        <v>8.6</v>
      </c>
      <c r="L1668" t="n">
        <v>1.5</v>
      </c>
      <c r="M1668" t="n">
        <v>1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n">
        <v>1401</v>
      </c>
      <c r="Z1668" t="inlineStr"/>
      <c r="AA1668" t="inlineStr"/>
      <c r="AB1668" t="inlineStr">
        <is>
          <t>U1667</t>
        </is>
      </c>
      <c r="AC1668" t="inlineStr">
        <is>
          <t>BR</t>
        </is>
      </c>
      <c r="AD1668" t="inlineStr"/>
      <c r="AE1668" t="n">
        <v>2.1</v>
      </c>
      <c r="AF1668" t="inlineStr"/>
      <c r="AG1668" t="inlineStr"/>
      <c r="AH1668" t="inlineStr"/>
      <c r="AI1668" t="n">
        <v>2.9</v>
      </c>
      <c r="AJ1668" t="n">
        <v>14.02</v>
      </c>
    </row>
    <row r="1669">
      <c r="A1669" t="inlineStr">
        <is>
          <t>Universidade Federal do Maranhão (UFMA)</t>
        </is>
      </c>
      <c r="B1669" t="inlineStr">
        <is>
          <t>Brazil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>
        <is>
          <t>1501+</t>
        </is>
      </c>
      <c r="O1669" t="inlineStr">
        <is>
          <t>9.7–22.7</t>
        </is>
      </c>
      <c r="P1669" t="n">
        <v>15.2</v>
      </c>
      <c r="Q1669" t="n">
        <v>10.3</v>
      </c>
      <c r="R1669" t="n">
        <v>14.5</v>
      </c>
      <c r="S1669" t="n">
        <v>18.7</v>
      </c>
      <c r="T1669" t="n">
        <v>23.2</v>
      </c>
      <c r="U1669" t="inlineStr">
        <is>
          <t>37,016</t>
        </is>
      </c>
      <c r="V1669" t="n">
        <v>19.2</v>
      </c>
      <c r="W1669" t="inlineStr">
        <is>
          <t>0%</t>
        </is>
      </c>
      <c r="X1669" t="inlineStr">
        <is>
          <t>51 : 49</t>
        </is>
      </c>
      <c r="Y1669" t="inlineStr"/>
      <c r="Z1669" t="n">
        <v>1501</v>
      </c>
      <c r="AA1669" t="n">
        <v>16.2</v>
      </c>
      <c r="AB1669" t="inlineStr">
        <is>
          <t>U1668</t>
        </is>
      </c>
      <c r="AC1669" t="inlineStr">
        <is>
          <t>BR</t>
        </is>
      </c>
      <c r="AD1669" t="n">
        <v>16.2</v>
      </c>
      <c r="AE1669" t="n">
        <v>14.5</v>
      </c>
      <c r="AF1669" t="n">
        <v>19.2</v>
      </c>
      <c r="AG1669" t="inlineStr">
        <is>
          <t>1:19.2</t>
        </is>
      </c>
      <c r="AH1669" t="inlineStr">
        <is>
          <t>0%</t>
        </is>
      </c>
      <c r="AI1669" t="inlineStr"/>
      <c r="AJ1669" t="n">
        <v>8.800000000000001</v>
      </c>
    </row>
    <row r="1670">
      <c r="A1670" t="inlineStr">
        <is>
          <t>Universidade Federal do Parà - UFPA</t>
        </is>
      </c>
      <c r="B1670" t="inlineStr">
        <is>
          <t>Brazil</t>
        </is>
      </c>
      <c r="C1670" t="inlineStr">
        <is>
          <t>1401+</t>
        </is>
      </c>
      <c r="D1670" t="inlineStr"/>
      <c r="E1670" t="n">
        <v>3.6</v>
      </c>
      <c r="F1670" t="n">
        <v>1.7</v>
      </c>
      <c r="G1670" t="n">
        <v>6.3</v>
      </c>
      <c r="H1670" t="n">
        <v>2.6</v>
      </c>
      <c r="I1670" t="n">
        <v>2.5</v>
      </c>
      <c r="J1670" t="n">
        <v>1.1</v>
      </c>
      <c r="K1670" t="n">
        <v>35.4</v>
      </c>
      <c r="L1670" t="n">
        <v>1.3</v>
      </c>
      <c r="M1670" t="n">
        <v>1.9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n">
        <v>1401</v>
      </c>
      <c r="Z1670" t="inlineStr"/>
      <c r="AA1670" t="inlineStr"/>
      <c r="AB1670" t="inlineStr">
        <is>
          <t>U1669</t>
        </is>
      </c>
      <c r="AC1670" t="inlineStr">
        <is>
          <t>BR</t>
        </is>
      </c>
      <c r="AD1670" t="inlineStr"/>
      <c r="AE1670" t="n">
        <v>2.6</v>
      </c>
      <c r="AF1670" t="inlineStr"/>
      <c r="AG1670" t="inlineStr"/>
      <c r="AH1670" t="inlineStr"/>
      <c r="AI1670" t="n">
        <v>3.6</v>
      </c>
      <c r="AJ1670" t="n">
        <v>14.18</v>
      </c>
    </row>
    <row r="1671">
      <c r="A1671" t="inlineStr">
        <is>
          <t>Universidade Federal do Paraná (UFPR)</t>
        </is>
      </c>
      <c r="B1671" t="inlineStr">
        <is>
          <t>Brazil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>
        <is>
          <t>1201–1500</t>
        </is>
      </c>
      <c r="O1671" t="inlineStr">
        <is>
          <t>22.8–28.2</t>
        </is>
      </c>
      <c r="P1671" t="n">
        <v>28.4</v>
      </c>
      <c r="Q1671" t="n">
        <v>16.4</v>
      </c>
      <c r="R1671" t="n">
        <v>29.1</v>
      </c>
      <c r="S1671" t="n">
        <v>49.2</v>
      </c>
      <c r="T1671" t="n">
        <v>27.6</v>
      </c>
      <c r="U1671" t="inlineStr">
        <is>
          <t>39,031</t>
        </is>
      </c>
      <c r="V1671" t="n">
        <v>15.6</v>
      </c>
      <c r="W1671" t="inlineStr">
        <is>
          <t>1%</t>
        </is>
      </c>
      <c r="X1671" t="inlineStr">
        <is>
          <t>56 : 44</t>
        </is>
      </c>
      <c r="Y1671" t="inlineStr"/>
      <c r="Z1671" t="n">
        <v>1201</v>
      </c>
      <c r="AA1671" t="n">
        <v>25.5</v>
      </c>
      <c r="AB1671" t="inlineStr">
        <is>
          <t>U1670</t>
        </is>
      </c>
      <c r="AC1671" t="inlineStr">
        <is>
          <t>BR</t>
        </is>
      </c>
      <c r="AD1671" t="n">
        <v>25.5</v>
      </c>
      <c r="AE1671" t="n">
        <v>29.1</v>
      </c>
      <c r="AF1671" t="n">
        <v>15.6</v>
      </c>
      <c r="AG1671" t="inlineStr">
        <is>
          <t>1:15.6</t>
        </is>
      </c>
      <c r="AH1671" t="inlineStr">
        <is>
          <t>1%</t>
        </is>
      </c>
      <c r="AI1671" t="inlineStr"/>
      <c r="AJ1671" t="n">
        <v>17.48</v>
      </c>
    </row>
    <row r="1672">
      <c r="A1672" t="inlineStr">
        <is>
          <t>Universidade Federal do Paraná - UFPR</t>
        </is>
      </c>
      <c r="B1672" t="inlineStr">
        <is>
          <t>Brazil</t>
        </is>
      </c>
      <c r="C1672" t="inlineStr">
        <is>
          <t>1001-1200</t>
        </is>
      </c>
      <c r="D1672" t="inlineStr"/>
      <c r="E1672" t="n">
        <v>13</v>
      </c>
      <c r="F1672" t="n">
        <v>5.8</v>
      </c>
      <c r="G1672" t="n">
        <v>20.1</v>
      </c>
      <c r="H1672" t="n">
        <v>5.2</v>
      </c>
      <c r="I1672" t="n">
        <v>2.9</v>
      </c>
      <c r="J1672" t="n">
        <v>6</v>
      </c>
      <c r="K1672" t="n">
        <v>52.6</v>
      </c>
      <c r="L1672" t="n">
        <v>9.6</v>
      </c>
      <c r="M1672" t="n">
        <v>2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n">
        <v>1001</v>
      </c>
      <c r="Z1672" t="inlineStr"/>
      <c r="AA1672" t="inlineStr"/>
      <c r="AB1672" t="inlineStr">
        <is>
          <t>U1671</t>
        </is>
      </c>
      <c r="AC1672" t="inlineStr">
        <is>
          <t>BR</t>
        </is>
      </c>
      <c r="AD1672" t="inlineStr"/>
      <c r="AE1672" t="n">
        <v>5.2</v>
      </c>
      <c r="AF1672" t="inlineStr"/>
      <c r="AG1672" t="inlineStr"/>
      <c r="AH1672" t="inlineStr"/>
      <c r="AI1672" t="n">
        <v>13</v>
      </c>
      <c r="AJ1672" t="n">
        <v>14.96</v>
      </c>
    </row>
    <row r="1673">
      <c r="A1673" t="inlineStr">
        <is>
          <t>Universidade Federal do Rio de Janeiro</t>
        </is>
      </c>
      <c r="B1673" t="inlineStr">
        <is>
          <t>Brazil</t>
        </is>
      </c>
      <c r="C1673" t="inlineStr">
        <is>
          <t>304</t>
        </is>
      </c>
      <c r="D1673" t="n">
        <v>35.8</v>
      </c>
      <c r="E1673" t="n">
        <v>61.9</v>
      </c>
      <c r="F1673" t="n">
        <v>23.3</v>
      </c>
      <c r="G1673" t="n">
        <v>13.7</v>
      </c>
      <c r="H1673" t="n">
        <v>7.8</v>
      </c>
      <c r="I1673" t="n">
        <v>7.6</v>
      </c>
      <c r="J1673" t="n">
        <v>1.5</v>
      </c>
      <c r="K1673" t="n">
        <v>79.7</v>
      </c>
      <c r="L1673" t="n">
        <v>81.40000000000001</v>
      </c>
      <c r="M1673" t="n">
        <v>59.6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n">
        <v>304</v>
      </c>
      <c r="Z1673" t="inlineStr"/>
      <c r="AA1673" t="inlineStr"/>
      <c r="AB1673" t="inlineStr">
        <is>
          <t>U1672</t>
        </is>
      </c>
      <c r="AC1673" t="inlineStr">
        <is>
          <t>BR</t>
        </is>
      </c>
      <c r="AD1673" t="n">
        <v>35.8</v>
      </c>
      <c r="AE1673" t="n">
        <v>7.8</v>
      </c>
      <c r="AF1673" t="inlineStr"/>
      <c r="AG1673" t="inlineStr"/>
      <c r="AH1673" t="inlineStr"/>
      <c r="AI1673" t="n">
        <v>61.9</v>
      </c>
      <c r="AJ1673" t="n">
        <v>15.75</v>
      </c>
    </row>
    <row r="1674">
      <c r="A1674" t="inlineStr">
        <is>
          <t>Universidade Federal do Rio Grande Do Norte</t>
        </is>
      </c>
      <c r="B1674" t="inlineStr">
        <is>
          <t>Brazil</t>
        </is>
      </c>
      <c r="C1674" t="inlineStr">
        <is>
          <t>1201-1400</t>
        </is>
      </c>
      <c r="D1674" t="inlineStr"/>
      <c r="E1674" t="n">
        <v>5.2</v>
      </c>
      <c r="F1674" t="n">
        <v>1.2</v>
      </c>
      <c r="G1674" t="n">
        <v>9.5</v>
      </c>
      <c r="H1674" t="n">
        <v>3.4</v>
      </c>
      <c r="I1674" t="inlineStr"/>
      <c r="J1674" t="inlineStr"/>
      <c r="K1674" t="n">
        <v>45</v>
      </c>
      <c r="L1674" t="n">
        <v>1.3</v>
      </c>
      <c r="M1674" t="n">
        <v>1.4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n">
        <v>1201</v>
      </c>
      <c r="Z1674" t="inlineStr"/>
      <c r="AA1674" t="inlineStr"/>
      <c r="AB1674" t="inlineStr">
        <is>
          <t>U1673</t>
        </is>
      </c>
      <c r="AC1674" t="inlineStr">
        <is>
          <t>BR</t>
        </is>
      </c>
      <c r="AD1674" t="inlineStr"/>
      <c r="AE1674" t="n">
        <v>3.4</v>
      </c>
      <c r="AF1674" t="inlineStr"/>
      <c r="AG1674" t="inlineStr"/>
      <c r="AH1674" t="inlineStr"/>
      <c r="AI1674" t="n">
        <v>5.2</v>
      </c>
      <c r="AJ1674" t="n">
        <v>14.42</v>
      </c>
    </row>
    <row r="1675">
      <c r="A1675" t="inlineStr">
        <is>
          <t xml:space="preserve">Universidade Federal do Rio Grande Do Sul </t>
        </is>
      </c>
      <c r="B1675" t="inlineStr">
        <is>
          <t>Brazil</t>
        </is>
      </c>
      <c r="C1675" t="inlineStr">
        <is>
          <t>691-700</t>
        </is>
      </c>
      <c r="D1675" t="inlineStr"/>
      <c r="E1675" t="n">
        <v>28</v>
      </c>
      <c r="F1675" t="n">
        <v>5.3</v>
      </c>
      <c r="G1675" t="n">
        <v>12.8</v>
      </c>
      <c r="H1675" t="n">
        <v>10.1</v>
      </c>
      <c r="I1675" t="n">
        <v>2.2</v>
      </c>
      <c r="J1675" t="n">
        <v>1.6</v>
      </c>
      <c r="K1675" t="n">
        <v>80.09999999999999</v>
      </c>
      <c r="L1675" t="n">
        <v>25.9</v>
      </c>
      <c r="M1675" t="n">
        <v>31.3</v>
      </c>
      <c r="N1675" t="inlineStr">
        <is>
          <t>601–800</t>
        </is>
      </c>
      <c r="O1675" t="inlineStr">
        <is>
          <t>37.0–41.8</t>
        </is>
      </c>
      <c r="P1675" t="n">
        <v>36.4</v>
      </c>
      <c r="Q1675" t="n">
        <v>22.5</v>
      </c>
      <c r="R1675" t="n">
        <v>54.1</v>
      </c>
      <c r="S1675" t="n">
        <v>52.9</v>
      </c>
      <c r="T1675" t="n">
        <v>34.1</v>
      </c>
      <c r="U1675" t="inlineStr">
        <is>
          <t>45,760</t>
        </is>
      </c>
      <c r="V1675" t="n">
        <v>16.5</v>
      </c>
      <c r="W1675" t="inlineStr">
        <is>
          <t>1%</t>
        </is>
      </c>
      <c r="X1675" t="inlineStr">
        <is>
          <t>51 : 49</t>
        </is>
      </c>
      <c r="Y1675" t="n">
        <v>691</v>
      </c>
      <c r="Z1675" t="n">
        <v>601</v>
      </c>
      <c r="AA1675" t="n">
        <v>39.4</v>
      </c>
      <c r="AB1675" t="inlineStr">
        <is>
          <t>U1674</t>
        </is>
      </c>
      <c r="AC1675" t="inlineStr">
        <is>
          <t>BR</t>
        </is>
      </c>
      <c r="AD1675" t="n">
        <v>39.4</v>
      </c>
      <c r="AE1675" t="n">
        <v>10.1</v>
      </c>
      <c r="AF1675" t="n">
        <v>16.5</v>
      </c>
      <c r="AG1675" t="inlineStr">
        <is>
          <t>1:16.5</t>
        </is>
      </c>
      <c r="AH1675" t="inlineStr">
        <is>
          <t>1%</t>
        </is>
      </c>
      <c r="AI1675" t="n">
        <v>28</v>
      </c>
      <c r="AJ1675" t="n">
        <v>16.49</v>
      </c>
    </row>
    <row r="1676">
      <c r="A1676" t="inlineStr">
        <is>
          <t xml:space="preserve">Universidade Federal Fluminense </t>
        </is>
      </c>
      <c r="B1676" t="inlineStr">
        <is>
          <t>Brazil</t>
        </is>
      </c>
      <c r="C1676" t="inlineStr">
        <is>
          <t>1001-1200</t>
        </is>
      </c>
      <c r="D1676" t="inlineStr"/>
      <c r="E1676" t="n">
        <v>9.6</v>
      </c>
      <c r="F1676" t="n">
        <v>2.5</v>
      </c>
      <c r="G1676" t="n">
        <v>12.8</v>
      </c>
      <c r="H1676" t="n">
        <v>3.6</v>
      </c>
      <c r="I1676" t="n">
        <v>6.3</v>
      </c>
      <c r="J1676" t="n">
        <v>1.2</v>
      </c>
      <c r="K1676" t="n">
        <v>52.2</v>
      </c>
      <c r="L1676" t="n">
        <v>10.9</v>
      </c>
      <c r="M1676" t="n">
        <v>13.1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n">
        <v>1001</v>
      </c>
      <c r="Z1676" t="inlineStr"/>
      <c r="AA1676" t="inlineStr"/>
      <c r="AB1676" t="inlineStr">
        <is>
          <t>U1675</t>
        </is>
      </c>
      <c r="AC1676" t="inlineStr">
        <is>
          <t>BR</t>
        </is>
      </c>
      <c r="AD1676" t="inlineStr"/>
      <c r="AE1676" t="n">
        <v>3.6</v>
      </c>
      <c r="AF1676" t="inlineStr"/>
      <c r="AG1676" t="inlineStr"/>
      <c r="AH1676" t="inlineStr"/>
      <c r="AI1676" t="n">
        <v>9.6</v>
      </c>
      <c r="AJ1676" t="n">
        <v>14.48</v>
      </c>
    </row>
    <row r="1677">
      <c r="A1677" t="inlineStr">
        <is>
          <t>Universidade Federal Rural do Semi-Arido</t>
        </is>
      </c>
      <c r="B1677" t="inlineStr">
        <is>
          <t>Brazil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>
        <is>
          <t>1501+</t>
        </is>
      </c>
      <c r="O1677" t="inlineStr">
        <is>
          <t>9.7–22.7</t>
        </is>
      </c>
      <c r="P1677" t="n">
        <v>19.1</v>
      </c>
      <c r="Q1677" t="n">
        <v>9</v>
      </c>
      <c r="R1677" t="n">
        <v>5.7</v>
      </c>
      <c r="S1677" t="n">
        <v>16.6</v>
      </c>
      <c r="T1677" t="n">
        <v>18.3</v>
      </c>
      <c r="U1677" t="inlineStr">
        <is>
          <t>8,687</t>
        </is>
      </c>
      <c r="V1677" t="n">
        <v>12.4</v>
      </c>
      <c r="W1677" t="inlineStr">
        <is>
          <t>0%</t>
        </is>
      </c>
      <c r="X1677" t="inlineStr">
        <is>
          <t>49 : 51</t>
        </is>
      </c>
      <c r="Y1677" t="inlineStr"/>
      <c r="Z1677" t="n">
        <v>1501</v>
      </c>
      <c r="AA1677" t="n">
        <v>16.2</v>
      </c>
      <c r="AB1677" t="inlineStr">
        <is>
          <t>U1676</t>
        </is>
      </c>
      <c r="AC1677" t="inlineStr">
        <is>
          <t>BR</t>
        </is>
      </c>
      <c r="AD1677" t="n">
        <v>16.2</v>
      </c>
      <c r="AE1677" t="n">
        <v>5.7</v>
      </c>
      <c r="AF1677" t="n">
        <v>12.4</v>
      </c>
      <c r="AG1677" t="inlineStr">
        <is>
          <t>1:12.4</t>
        </is>
      </c>
      <c r="AH1677" t="inlineStr">
        <is>
          <t>0%</t>
        </is>
      </c>
      <c r="AI1677" t="inlineStr"/>
      <c r="AJ1677" t="n">
        <v>4.26</v>
      </c>
    </row>
    <row r="1678">
      <c r="A1678" t="inlineStr">
        <is>
          <t>Universidade Lusófona</t>
        </is>
      </c>
      <c r="B1678" t="inlineStr">
        <is>
          <t>Portugal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>
        <is>
          <t>1201–1500</t>
        </is>
      </c>
      <c r="O1678" t="inlineStr">
        <is>
          <t>22.8–28.2</t>
        </is>
      </c>
      <c r="P1678" t="n">
        <v>23.2</v>
      </c>
      <c r="Q1678" t="n">
        <v>8.6</v>
      </c>
      <c r="R1678" t="n">
        <v>35.7</v>
      </c>
      <c r="S1678" t="n">
        <v>17.8</v>
      </c>
      <c r="T1678" t="n">
        <v>59.7</v>
      </c>
      <c r="U1678" t="inlineStr">
        <is>
          <t>11,153</t>
        </is>
      </c>
      <c r="V1678" t="n">
        <v>6.4</v>
      </c>
      <c r="W1678" t="inlineStr">
        <is>
          <t>18%</t>
        </is>
      </c>
      <c r="X1678" t="inlineStr">
        <is>
          <t>54 : 46</t>
        </is>
      </c>
      <c r="Y1678" t="inlineStr"/>
      <c r="Z1678" t="n">
        <v>1201</v>
      </c>
      <c r="AA1678" t="n">
        <v>25.5</v>
      </c>
      <c r="AB1678" t="inlineStr">
        <is>
          <t>U1677</t>
        </is>
      </c>
      <c r="AC1678" t="inlineStr">
        <is>
          <t>PO</t>
        </is>
      </c>
      <c r="AD1678" t="n">
        <v>25.5</v>
      </c>
      <c r="AE1678" t="n">
        <v>35.7</v>
      </c>
      <c r="AF1678" t="n">
        <v>6.4</v>
      </c>
      <c r="AG1678" t="inlineStr">
        <is>
          <t>1:6.4</t>
        </is>
      </c>
      <c r="AH1678" t="inlineStr">
        <is>
          <t>18%</t>
        </is>
      </c>
      <c r="AI1678" t="inlineStr"/>
      <c r="AJ1678" t="n">
        <v>23.16</v>
      </c>
    </row>
    <row r="1679">
      <c r="A1679" t="inlineStr">
        <is>
          <t>Universidade Nova de Lisboa</t>
        </is>
      </c>
      <c r="B1679" t="inlineStr">
        <is>
          <t>Portugal</t>
        </is>
      </c>
      <c r="C1679" t="inlineStr">
        <is>
          <t>388</t>
        </is>
      </c>
      <c r="D1679" t="n">
        <v>30.2</v>
      </c>
      <c r="E1679" t="n">
        <v>28.7</v>
      </c>
      <c r="F1679" t="n">
        <v>21.8</v>
      </c>
      <c r="G1679" t="n">
        <v>15.9</v>
      </c>
      <c r="H1679" t="n">
        <v>23.9</v>
      </c>
      <c r="I1679" t="n">
        <v>25.3</v>
      </c>
      <c r="J1679" t="n">
        <v>57</v>
      </c>
      <c r="K1679" t="n">
        <v>86.3</v>
      </c>
      <c r="L1679" t="n">
        <v>48.7</v>
      </c>
      <c r="M1679" t="n">
        <v>38.2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n">
        <v>388</v>
      </c>
      <c r="Z1679" t="inlineStr"/>
      <c r="AA1679" t="inlineStr"/>
      <c r="AB1679" t="inlineStr">
        <is>
          <t>U1678</t>
        </is>
      </c>
      <c r="AC1679" t="inlineStr">
        <is>
          <t>PO</t>
        </is>
      </c>
      <c r="AD1679" t="n">
        <v>30.2</v>
      </c>
      <c r="AE1679" t="n">
        <v>23.9</v>
      </c>
      <c r="AF1679" t="inlineStr"/>
      <c r="AG1679" t="inlineStr"/>
      <c r="AH1679" t="inlineStr"/>
      <c r="AI1679" t="n">
        <v>28.7</v>
      </c>
      <c r="AJ1679" t="n">
        <v>20.63</v>
      </c>
    </row>
    <row r="1680">
      <c r="A1680" t="inlineStr">
        <is>
          <t>Universidade Nove de Julho (Uninove)</t>
        </is>
      </c>
      <c r="B1680" t="inlineStr">
        <is>
          <t>Brazil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>
        <is>
          <t>1501+</t>
        </is>
      </c>
      <c r="O1680" t="inlineStr">
        <is>
          <t>9.7–22.7</t>
        </is>
      </c>
      <c r="P1680" t="n">
        <v>17.9</v>
      </c>
      <c r="Q1680" t="n">
        <v>8.1</v>
      </c>
      <c r="R1680" t="n">
        <v>9.6</v>
      </c>
      <c r="S1680" t="n">
        <v>17.5</v>
      </c>
      <c r="T1680" t="n">
        <v>26.9</v>
      </c>
      <c r="U1680" t="inlineStr">
        <is>
          <t>82,463</t>
        </is>
      </c>
      <c r="V1680" t="n">
        <v>23.6</v>
      </c>
      <c r="W1680" t="inlineStr">
        <is>
          <t>1%</t>
        </is>
      </c>
      <c r="X1680" t="inlineStr">
        <is>
          <t>58 : 42</t>
        </is>
      </c>
      <c r="Y1680" t="inlineStr"/>
      <c r="Z1680" t="n">
        <v>1501</v>
      </c>
      <c r="AA1680" t="n">
        <v>16.2</v>
      </c>
      <c r="AB1680" t="inlineStr">
        <is>
          <t>U1679</t>
        </is>
      </c>
      <c r="AC1680" t="inlineStr">
        <is>
          <t>BR</t>
        </is>
      </c>
      <c r="AD1680" t="n">
        <v>16.2</v>
      </c>
      <c r="AE1680" t="n">
        <v>9.6</v>
      </c>
      <c r="AF1680" t="n">
        <v>23.6</v>
      </c>
      <c r="AG1680" t="inlineStr">
        <is>
          <t>1:23.6</t>
        </is>
      </c>
      <c r="AH1680" t="inlineStr">
        <is>
          <t>1%</t>
        </is>
      </c>
      <c r="AI1680" t="inlineStr"/>
      <c r="AJ1680" t="n">
        <v>7.05</v>
      </c>
    </row>
    <row r="1681">
      <c r="A1681" t="inlineStr">
        <is>
          <t>Universidade Presbiteriana Mackenzie</t>
        </is>
      </c>
      <c r="B1681" t="inlineStr">
        <is>
          <t>Brazil</t>
        </is>
      </c>
      <c r="C1681" t="inlineStr">
        <is>
          <t>1201-1400</t>
        </is>
      </c>
      <c r="D1681" t="inlineStr"/>
      <c r="E1681" t="n">
        <v>3.5</v>
      </c>
      <c r="F1681" t="n">
        <v>8.699999999999999</v>
      </c>
      <c r="G1681" t="n">
        <v>12.3</v>
      </c>
      <c r="H1681" t="n">
        <v>2.1</v>
      </c>
      <c r="I1681" t="n">
        <v>2.4</v>
      </c>
      <c r="J1681" t="n">
        <v>1.1</v>
      </c>
      <c r="K1681" t="n">
        <v>12.5</v>
      </c>
      <c r="L1681" t="n">
        <v>48.3</v>
      </c>
      <c r="M1681" t="n">
        <v>1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n">
        <v>1201</v>
      </c>
      <c r="Z1681" t="inlineStr"/>
      <c r="AA1681" t="inlineStr"/>
      <c r="AB1681" t="inlineStr">
        <is>
          <t>U1680</t>
        </is>
      </c>
      <c r="AC1681" t="inlineStr">
        <is>
          <t>BR</t>
        </is>
      </c>
      <c r="AD1681" t="inlineStr"/>
      <c r="AE1681" t="n">
        <v>2.1</v>
      </c>
      <c r="AF1681" t="inlineStr"/>
      <c r="AG1681" t="inlineStr"/>
      <c r="AH1681" t="inlineStr"/>
      <c r="AI1681" t="n">
        <v>3.5</v>
      </c>
      <c r="AJ1681" t="n">
        <v>14.02</v>
      </c>
    </row>
    <row r="1682">
      <c r="A1682" t="inlineStr">
        <is>
          <t>Universidade Tecnológica Federal do Paraná (UTFPR)</t>
        </is>
      </c>
      <c r="B1682" t="inlineStr">
        <is>
          <t>Brazil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>
        <is>
          <t>1501+</t>
        </is>
      </c>
      <c r="O1682" t="inlineStr">
        <is>
          <t>9.7–22.7</t>
        </is>
      </c>
      <c r="P1682" t="n">
        <v>16.7</v>
      </c>
      <c r="Q1682" t="n">
        <v>10.2</v>
      </c>
      <c r="R1682" t="n">
        <v>22.3</v>
      </c>
      <c r="S1682" t="n">
        <v>42.3</v>
      </c>
      <c r="T1682" t="n">
        <v>25.3</v>
      </c>
      <c r="U1682" t="inlineStr">
        <is>
          <t>39,007</t>
        </is>
      </c>
      <c r="V1682" t="n">
        <v>15.3</v>
      </c>
      <c r="W1682" t="inlineStr">
        <is>
          <t>1%</t>
        </is>
      </c>
      <c r="X1682" t="inlineStr">
        <is>
          <t>30 : 70</t>
        </is>
      </c>
      <c r="Y1682" t="inlineStr"/>
      <c r="Z1682" t="n">
        <v>1501</v>
      </c>
      <c r="AA1682" t="n">
        <v>16.2</v>
      </c>
      <c r="AB1682" t="inlineStr">
        <is>
          <t>U1681</t>
        </is>
      </c>
      <c r="AC1682" t="inlineStr">
        <is>
          <t>BR</t>
        </is>
      </c>
      <c r="AD1682" t="n">
        <v>16.2</v>
      </c>
      <c r="AE1682" t="n">
        <v>22.3</v>
      </c>
      <c r="AF1682" t="n">
        <v>15.3</v>
      </c>
      <c r="AG1682" t="inlineStr">
        <is>
          <t>1:15.3</t>
        </is>
      </c>
      <c r="AH1682" t="inlineStr">
        <is>
          <t>1%</t>
        </is>
      </c>
      <c r="AI1682" t="inlineStr"/>
      <c r="AJ1682" t="n">
        <v>11.61</v>
      </c>
    </row>
    <row r="1683">
      <c r="A1683" t="inlineStr">
        <is>
          <t>Université 8 Mai 1945 Guelma</t>
        </is>
      </c>
      <c r="B1683" t="inlineStr">
        <is>
          <t>Algeria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>
        <is>
          <t>1501+</t>
        </is>
      </c>
      <c r="O1683" t="inlineStr">
        <is>
          <t>9.7–22.7</t>
        </is>
      </c>
      <c r="P1683" t="n">
        <v>14.7</v>
      </c>
      <c r="Q1683" t="n">
        <v>8.6</v>
      </c>
      <c r="R1683" t="n">
        <v>25.4</v>
      </c>
      <c r="S1683" t="n">
        <v>15.9</v>
      </c>
      <c r="T1683" t="n">
        <v>37</v>
      </c>
      <c r="U1683" t="inlineStr">
        <is>
          <t>18,030</t>
        </is>
      </c>
      <c r="V1683" t="n">
        <v>20.9</v>
      </c>
      <c r="W1683" t="inlineStr">
        <is>
          <t>1%</t>
        </is>
      </c>
      <c r="X1683" t="inlineStr">
        <is>
          <t>70 : 30</t>
        </is>
      </c>
      <c r="Y1683" t="inlineStr"/>
      <c r="Z1683" t="n">
        <v>1501</v>
      </c>
      <c r="AA1683" t="n">
        <v>16.2</v>
      </c>
      <c r="AB1683" t="inlineStr">
        <is>
          <t>U1682</t>
        </is>
      </c>
      <c r="AC1683" t="inlineStr">
        <is>
          <t>AL</t>
        </is>
      </c>
      <c r="AD1683" t="n">
        <v>16.2</v>
      </c>
      <c r="AE1683" t="n">
        <v>25.4</v>
      </c>
      <c r="AF1683" t="n">
        <v>20.9</v>
      </c>
      <c r="AG1683" t="inlineStr">
        <is>
          <t>1:20.9</t>
        </is>
      </c>
      <c r="AH1683" t="inlineStr">
        <is>
          <t>1%</t>
        </is>
      </c>
      <c r="AI1683" t="inlineStr"/>
      <c r="AJ1683" t="n">
        <v>14.54</v>
      </c>
    </row>
    <row r="1684">
      <c r="A1684" t="inlineStr">
        <is>
          <t>Université Côte d\'Azur</t>
        </is>
      </c>
      <c r="B1684" t="inlineStr">
        <is>
          <t>France</t>
        </is>
      </c>
      <c r="C1684" t="inlineStr">
        <is>
          <t>731-740</t>
        </is>
      </c>
      <c r="D1684" t="inlineStr"/>
      <c r="E1684" t="n">
        <v>15.5</v>
      </c>
      <c r="F1684" t="n">
        <v>4.1</v>
      </c>
      <c r="G1684" t="n">
        <v>5.7</v>
      </c>
      <c r="H1684" t="n">
        <v>18.3</v>
      </c>
      <c r="I1684" t="n">
        <v>29.3</v>
      </c>
      <c r="J1684" t="n">
        <v>38.3</v>
      </c>
      <c r="K1684" t="n">
        <v>78.40000000000001</v>
      </c>
      <c r="L1684" t="n">
        <v>8.9</v>
      </c>
      <c r="M1684" t="n">
        <v>18.4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n">
        <v>731</v>
      </c>
      <c r="Z1684" t="inlineStr"/>
      <c r="AA1684" t="inlineStr"/>
      <c r="AB1684" t="inlineStr">
        <is>
          <t>U1683</t>
        </is>
      </c>
      <c r="AC1684" t="inlineStr">
        <is>
          <t>FR</t>
        </is>
      </c>
      <c r="AD1684" t="inlineStr"/>
      <c r="AE1684" t="n">
        <v>18.3</v>
      </c>
      <c r="AF1684" t="inlineStr"/>
      <c r="AG1684" t="inlineStr"/>
      <c r="AH1684" t="inlineStr"/>
      <c r="AI1684" t="n">
        <v>15.5</v>
      </c>
      <c r="AJ1684" t="n">
        <v>18.93</v>
      </c>
    </row>
    <row r="1685">
      <c r="A1685" t="inlineStr">
        <is>
          <t>Université catholique de Louvain (UCLouvain)</t>
        </is>
      </c>
      <c r="B1685" t="inlineStr">
        <is>
          <t>Belgium</t>
        </is>
      </c>
      <c r="C1685" t="inlineStr">
        <is>
          <t>203</t>
        </is>
      </c>
      <c r="D1685" t="n">
        <v>46</v>
      </c>
      <c r="E1685" t="n">
        <v>48.4</v>
      </c>
      <c r="F1685" t="n">
        <v>25.9</v>
      </c>
      <c r="G1685" t="n">
        <v>4.6</v>
      </c>
      <c r="H1685" t="n">
        <v>55</v>
      </c>
      <c r="I1685" t="n">
        <v>91</v>
      </c>
      <c r="J1685" t="n">
        <v>47.6</v>
      </c>
      <c r="K1685" t="n">
        <v>89.90000000000001</v>
      </c>
      <c r="L1685" t="n">
        <v>76.40000000000001</v>
      </c>
      <c r="M1685" t="n">
        <v>27.1</v>
      </c>
      <c r="N1685">
        <f>168</f>
        <v/>
      </c>
      <c r="O1685" t="inlineStr">
        <is>
          <t>60.8</t>
        </is>
      </c>
      <c r="P1685" t="n">
        <v>39.5</v>
      </c>
      <c r="Q1685" t="n">
        <v>49.4</v>
      </c>
      <c r="R1685" t="n">
        <v>83.09999999999999</v>
      </c>
      <c r="S1685" t="n">
        <v>92</v>
      </c>
      <c r="T1685" t="n">
        <v>83.09999999999999</v>
      </c>
      <c r="U1685" t="inlineStr">
        <is>
          <t>25,409</t>
        </is>
      </c>
      <c r="V1685" t="n">
        <v>37.3</v>
      </c>
      <c r="W1685" t="inlineStr">
        <is>
          <t>20%</t>
        </is>
      </c>
      <c r="X1685" t="inlineStr">
        <is>
          <t>54 : 46</t>
        </is>
      </c>
      <c r="Y1685" t="n">
        <v>203</v>
      </c>
      <c r="Z1685" t="n">
        <v>168</v>
      </c>
      <c r="AA1685" t="n">
        <v>60.8</v>
      </c>
      <c r="AB1685" t="inlineStr">
        <is>
          <t>U1684</t>
        </is>
      </c>
      <c r="AC1685" t="inlineStr">
        <is>
          <t>BE</t>
        </is>
      </c>
      <c r="AD1685" t="n">
        <v>46</v>
      </c>
      <c r="AE1685" t="n">
        <v>55</v>
      </c>
      <c r="AF1685" t="n">
        <v>37.3</v>
      </c>
      <c r="AG1685" t="inlineStr">
        <is>
          <t>1:37.3</t>
        </is>
      </c>
      <c r="AH1685" t="inlineStr">
        <is>
          <t>20%</t>
        </is>
      </c>
      <c r="AI1685" t="n">
        <v>48.4</v>
      </c>
      <c r="AJ1685" t="n">
        <v>56.05</v>
      </c>
    </row>
    <row r="1686">
      <c r="A1686" t="inlineStr">
        <is>
          <t>Università Cattolica del Sacro Cuore</t>
        </is>
      </c>
      <c r="B1686" t="inlineStr">
        <is>
          <t>Italy</t>
        </is>
      </c>
      <c r="C1686" t="inlineStr">
        <is>
          <t>442</t>
        </is>
      </c>
      <c r="D1686" t="n">
        <v>26.8</v>
      </c>
      <c r="E1686" t="n">
        <v>24.2</v>
      </c>
      <c r="F1686" t="n">
        <v>35.5</v>
      </c>
      <c r="G1686" t="n">
        <v>27.6</v>
      </c>
      <c r="H1686" t="n">
        <v>19.2</v>
      </c>
      <c r="I1686" t="n">
        <v>15.5</v>
      </c>
      <c r="J1686" t="n">
        <v>7.1</v>
      </c>
      <c r="K1686" t="n">
        <v>60.5</v>
      </c>
      <c r="L1686" t="n">
        <v>32.3</v>
      </c>
      <c r="M1686" t="n">
        <v>54.8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n">
        <v>442</v>
      </c>
      <c r="Z1686" t="inlineStr"/>
      <c r="AA1686" t="inlineStr"/>
      <c r="AB1686" t="inlineStr">
        <is>
          <t>U1685</t>
        </is>
      </c>
      <c r="AC1686" t="inlineStr">
        <is>
          <t>IT</t>
        </is>
      </c>
      <c r="AD1686" t="n">
        <v>26.8</v>
      </c>
      <c r="AE1686" t="n">
        <v>19.2</v>
      </c>
      <c r="AF1686" t="inlineStr"/>
      <c r="AG1686" t="inlineStr"/>
      <c r="AH1686" t="inlineStr"/>
      <c r="AI1686" t="n">
        <v>24.2</v>
      </c>
      <c r="AJ1686" t="n">
        <v>19.21</v>
      </c>
    </row>
    <row r="1687">
      <c r="A1687" t="inlineStr">
        <is>
          <t>Université Chouaïb Doukkali</t>
        </is>
      </c>
      <c r="B1687" t="inlineStr">
        <is>
          <t>Morocco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>
        <is>
          <t>1501+</t>
        </is>
      </c>
      <c r="O1687" t="inlineStr">
        <is>
          <t>9.7–22.7</t>
        </is>
      </c>
      <c r="P1687" t="n">
        <v>13.4</v>
      </c>
      <c r="Q1687" t="n">
        <v>10.8</v>
      </c>
      <c r="R1687" t="n">
        <v>28.8</v>
      </c>
      <c r="S1687" t="n">
        <v>18.9</v>
      </c>
      <c r="T1687" t="n">
        <v>26.7</v>
      </c>
      <c r="U1687" t="inlineStr">
        <is>
          <t>23,437</t>
        </is>
      </c>
      <c r="V1687" t="n">
        <v>34.5</v>
      </c>
      <c r="W1687" t="inlineStr">
        <is>
          <t>2%</t>
        </is>
      </c>
      <c r="X1687" t="inlineStr">
        <is>
          <t>58 : 42</t>
        </is>
      </c>
      <c r="Y1687" t="inlineStr"/>
      <c r="Z1687" t="n">
        <v>1501</v>
      </c>
      <c r="AA1687" t="n">
        <v>16.2</v>
      </c>
      <c r="AB1687" t="inlineStr">
        <is>
          <t>U1686</t>
        </is>
      </c>
      <c r="AC1687" t="inlineStr">
        <is>
          <t>MO</t>
        </is>
      </c>
      <c r="AD1687" t="n">
        <v>16.2</v>
      </c>
      <c r="AE1687" t="n">
        <v>28.8</v>
      </c>
      <c r="AF1687" t="n">
        <v>34.5</v>
      </c>
      <c r="AG1687" t="inlineStr">
        <is>
          <t>1:34.5</t>
        </is>
      </c>
      <c r="AH1687" t="inlineStr">
        <is>
          <t>2%</t>
        </is>
      </c>
      <c r="AI1687" t="inlineStr"/>
      <c r="AJ1687" t="n">
        <v>14.24</v>
      </c>
    </row>
    <row r="1688">
      <c r="A1688" t="inlineStr">
        <is>
          <t>Université Claude Bernard Lyon 1</t>
        </is>
      </c>
      <c r="B1688" t="inlineStr">
        <is>
          <t>France</t>
        </is>
      </c>
      <c r="C1688" t="inlineStr">
        <is>
          <t>562</t>
        </is>
      </c>
      <c r="D1688" t="n">
        <v>22.2</v>
      </c>
      <c r="E1688" t="n">
        <v>18.1</v>
      </c>
      <c r="F1688" t="n">
        <v>3.7</v>
      </c>
      <c r="G1688" t="n">
        <v>7.9</v>
      </c>
      <c r="H1688" t="n">
        <v>48.3</v>
      </c>
      <c r="I1688" t="n">
        <v>7.4</v>
      </c>
      <c r="J1688" t="n">
        <v>12</v>
      </c>
      <c r="K1688" t="n">
        <v>93.7</v>
      </c>
      <c r="L1688" t="n">
        <v>12.4</v>
      </c>
      <c r="M1688" t="n">
        <v>11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n">
        <v>562</v>
      </c>
      <c r="Z1688" t="inlineStr"/>
      <c r="AA1688" t="inlineStr"/>
      <c r="AB1688" t="inlineStr">
        <is>
          <t>U1687</t>
        </is>
      </c>
      <c r="AC1688" t="inlineStr">
        <is>
          <t>FR</t>
        </is>
      </c>
      <c r="AD1688" t="n">
        <v>22.2</v>
      </c>
      <c r="AE1688" t="n">
        <v>48.3</v>
      </c>
      <c r="AF1688" t="inlineStr"/>
      <c r="AG1688" t="inlineStr"/>
      <c r="AH1688" t="inlineStr"/>
      <c r="AI1688" t="n">
        <v>18.1</v>
      </c>
      <c r="AJ1688" t="n">
        <v>28.02</v>
      </c>
    </row>
    <row r="1689">
      <c r="A1689" t="inlineStr">
        <is>
          <t>Université de Bretagne Occidentale</t>
        </is>
      </c>
      <c r="B1689" t="inlineStr">
        <is>
          <t>France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>
        <is>
          <t>801–1000</t>
        </is>
      </c>
      <c r="O1689" t="inlineStr">
        <is>
          <t>32.7–36.9</t>
        </is>
      </c>
      <c r="P1689" t="n">
        <v>20.3</v>
      </c>
      <c r="Q1689" t="n">
        <v>19.6</v>
      </c>
      <c r="R1689" t="n">
        <v>52</v>
      </c>
      <c r="S1689" t="n">
        <v>47.8</v>
      </c>
      <c r="T1689" t="n">
        <v>60.5</v>
      </c>
      <c r="U1689" t="inlineStr">
        <is>
          <t>23,163</t>
        </is>
      </c>
      <c r="V1689" t="n">
        <v>33.1</v>
      </c>
      <c r="W1689" t="inlineStr">
        <is>
          <t>11%</t>
        </is>
      </c>
      <c r="X1689" t="inlineStr">
        <is>
          <t>59 : 41</t>
        </is>
      </c>
      <c r="Y1689" t="inlineStr"/>
      <c r="Z1689" t="n">
        <v>801</v>
      </c>
      <c r="AA1689" t="n">
        <v>34.8</v>
      </c>
      <c r="AB1689" t="inlineStr">
        <is>
          <t>U1688</t>
        </is>
      </c>
      <c r="AC1689" t="inlineStr">
        <is>
          <t>FR</t>
        </is>
      </c>
      <c r="AD1689" t="n">
        <v>34.8</v>
      </c>
      <c r="AE1689" t="n">
        <v>52</v>
      </c>
      <c r="AF1689" t="n">
        <v>33.1</v>
      </c>
      <c r="AG1689" t="inlineStr">
        <is>
          <t>1:33.1</t>
        </is>
      </c>
      <c r="AH1689" t="inlineStr">
        <is>
          <t>11%</t>
        </is>
      </c>
      <c r="AI1689" t="inlineStr"/>
      <c r="AJ1689" t="n">
        <v>34.05</v>
      </c>
    </row>
    <row r="1690">
      <c r="A1690" t="inlineStr">
        <is>
          <t>Université de Caen Normandie</t>
        </is>
      </c>
      <c r="B1690" t="inlineStr">
        <is>
          <t>France</t>
        </is>
      </c>
      <c r="C1690" t="inlineStr">
        <is>
          <t>1001-1200</t>
        </is>
      </c>
      <c r="D1690" t="inlineStr"/>
      <c r="E1690" t="n">
        <v>8.800000000000001</v>
      </c>
      <c r="F1690" t="n">
        <v>2.8</v>
      </c>
      <c r="G1690" t="n">
        <v>6.6</v>
      </c>
      <c r="H1690" t="n">
        <v>6.3</v>
      </c>
      <c r="I1690" t="n">
        <v>8.1</v>
      </c>
      <c r="J1690" t="n">
        <v>6.2</v>
      </c>
      <c r="K1690" t="n">
        <v>74.59999999999999</v>
      </c>
      <c r="L1690" t="n">
        <v>2.1</v>
      </c>
      <c r="M1690" t="n">
        <v>1.9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n">
        <v>1001</v>
      </c>
      <c r="Z1690" t="inlineStr"/>
      <c r="AA1690" t="inlineStr"/>
      <c r="AB1690" t="inlineStr">
        <is>
          <t>U1689</t>
        </is>
      </c>
      <c r="AC1690" t="inlineStr">
        <is>
          <t>FR</t>
        </is>
      </c>
      <c r="AD1690" t="inlineStr"/>
      <c r="AE1690" t="n">
        <v>6.3</v>
      </c>
      <c r="AF1690" t="inlineStr"/>
      <c r="AG1690" t="inlineStr"/>
      <c r="AH1690" t="inlineStr"/>
      <c r="AI1690" t="n">
        <v>8.800000000000001</v>
      </c>
      <c r="AJ1690" t="n">
        <v>15.3</v>
      </c>
    </row>
    <row r="1691">
      <c r="A1691" t="inlineStr">
        <is>
          <t>Université de Franche-Comté</t>
        </is>
      </c>
      <c r="B1691" t="inlineStr">
        <is>
          <t>France</t>
        </is>
      </c>
      <c r="C1691" t="inlineStr">
        <is>
          <t>711-720</t>
        </is>
      </c>
      <c r="D1691" t="inlineStr"/>
      <c r="E1691" t="n">
        <v>6.5</v>
      </c>
      <c r="F1691" t="n">
        <v>2.1</v>
      </c>
      <c r="G1691" t="n">
        <v>100</v>
      </c>
      <c r="H1691" t="n">
        <v>12.4</v>
      </c>
      <c r="I1691" t="inlineStr"/>
      <c r="J1691" t="inlineStr"/>
      <c r="K1691" t="n">
        <v>76.7</v>
      </c>
      <c r="L1691" t="n">
        <v>3.2</v>
      </c>
      <c r="M1691" t="n">
        <v>1.7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n">
        <v>711</v>
      </c>
      <c r="Z1691" t="inlineStr"/>
      <c r="AA1691" t="inlineStr"/>
      <c r="AB1691" t="inlineStr">
        <is>
          <t>U1690</t>
        </is>
      </c>
      <c r="AC1691" t="inlineStr">
        <is>
          <t>FR</t>
        </is>
      </c>
      <c r="AD1691" t="inlineStr"/>
      <c r="AE1691" t="n">
        <v>12.4</v>
      </c>
      <c r="AF1691" t="inlineStr"/>
      <c r="AG1691" t="inlineStr"/>
      <c r="AH1691" t="inlineStr"/>
      <c r="AI1691" t="n">
        <v>6.5</v>
      </c>
      <c r="AJ1691" t="n">
        <v>17.15</v>
      </c>
    </row>
    <row r="1692">
      <c r="A1692" t="inlineStr">
        <is>
          <t>Université de Fribourg</t>
        </is>
      </c>
      <c r="B1692" t="inlineStr">
        <is>
          <t>Switzerland</t>
        </is>
      </c>
      <c r="C1692" t="inlineStr">
        <is>
          <t>539</t>
        </is>
      </c>
      <c r="D1692" t="n">
        <v>22.8</v>
      </c>
      <c r="E1692" t="n">
        <v>10.3</v>
      </c>
      <c r="F1692" t="n">
        <v>3</v>
      </c>
      <c r="G1692" t="n">
        <v>7.5</v>
      </c>
      <c r="H1692" t="n">
        <v>25.4</v>
      </c>
      <c r="I1692" t="n">
        <v>99.90000000000001</v>
      </c>
      <c r="J1692" t="n">
        <v>38.3</v>
      </c>
      <c r="K1692" t="n">
        <v>58.3</v>
      </c>
      <c r="L1692" t="n">
        <v>40.6</v>
      </c>
      <c r="M1692" t="n">
        <v>51.8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n">
        <v>539</v>
      </c>
      <c r="Z1692" t="inlineStr"/>
      <c r="AA1692" t="inlineStr"/>
      <c r="AB1692" t="inlineStr">
        <is>
          <t>U1691</t>
        </is>
      </c>
      <c r="AC1692" t="inlineStr">
        <is>
          <t>SW</t>
        </is>
      </c>
      <c r="AD1692" t="n">
        <v>22.8</v>
      </c>
      <c r="AE1692" t="n">
        <v>25.4</v>
      </c>
      <c r="AF1692" t="inlineStr"/>
      <c r="AG1692" t="inlineStr"/>
      <c r="AH1692" t="inlineStr"/>
      <c r="AI1692" t="n">
        <v>10.3</v>
      </c>
      <c r="AJ1692" t="n">
        <v>21.09</v>
      </c>
    </row>
    <row r="1693">
      <c r="A1693" t="inlineStr">
        <is>
          <t>Université de Gabès</t>
        </is>
      </c>
      <c r="B1693" t="inlineStr">
        <is>
          <t>Tunisia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>
        <is>
          <t>1501+</t>
        </is>
      </c>
      <c r="O1693" t="inlineStr">
        <is>
          <t>9.7–22.7</t>
        </is>
      </c>
      <c r="P1693" t="n">
        <v>20.8</v>
      </c>
      <c r="Q1693" t="n">
        <v>9.4</v>
      </c>
      <c r="R1693" t="n">
        <v>28.9</v>
      </c>
      <c r="S1693" t="n">
        <v>16.7</v>
      </c>
      <c r="T1693" t="n">
        <v>42.8</v>
      </c>
      <c r="U1693" t="inlineStr">
        <is>
          <t>12,714</t>
        </is>
      </c>
      <c r="V1693" t="n">
        <v>12.4</v>
      </c>
      <c r="W1693" t="inlineStr">
        <is>
          <t>1%</t>
        </is>
      </c>
      <c r="X1693" t="inlineStr">
        <is>
          <t>74 : 26</t>
        </is>
      </c>
      <c r="Y1693" t="inlineStr"/>
      <c r="Z1693" t="n">
        <v>1501</v>
      </c>
      <c r="AA1693" t="n">
        <v>16.2</v>
      </c>
      <c r="AB1693" t="inlineStr">
        <is>
          <t>U1692</t>
        </is>
      </c>
      <c r="AC1693" t="inlineStr">
        <is>
          <t>TU</t>
        </is>
      </c>
      <c r="AD1693" t="n">
        <v>16.2</v>
      </c>
      <c r="AE1693" t="n">
        <v>28.9</v>
      </c>
      <c r="AF1693" t="n">
        <v>12.4</v>
      </c>
      <c r="AG1693" t="inlineStr">
        <is>
          <t>1:12.4</t>
        </is>
      </c>
      <c r="AH1693" t="inlineStr">
        <is>
          <t>1%</t>
        </is>
      </c>
      <c r="AI1693" t="inlineStr"/>
      <c r="AJ1693" t="n">
        <v>17.43</v>
      </c>
    </row>
    <row r="1694">
      <c r="A1694" t="inlineStr">
        <is>
          <t>Université de Liège</t>
        </is>
      </c>
      <c r="B1694" t="inlineStr">
        <is>
          <t>Belgium</t>
        </is>
      </c>
      <c r="C1694" t="inlineStr">
        <is>
          <t>396</t>
        </is>
      </c>
      <c r="D1694" t="n">
        <v>29.7</v>
      </c>
      <c r="E1694" t="n">
        <v>17</v>
      </c>
      <c r="F1694" t="n">
        <v>11.8</v>
      </c>
      <c r="G1694" t="n">
        <v>9.6</v>
      </c>
      <c r="H1694" t="n">
        <v>38</v>
      </c>
      <c r="I1694" t="n">
        <v>50.3</v>
      </c>
      <c r="J1694" t="n">
        <v>53</v>
      </c>
      <c r="K1694" t="n">
        <v>94.59999999999999</v>
      </c>
      <c r="L1694" t="n">
        <v>23.6</v>
      </c>
      <c r="M1694" t="n">
        <v>81.2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n">
        <v>396</v>
      </c>
      <c r="Z1694" t="inlineStr"/>
      <c r="AA1694" t="inlineStr"/>
      <c r="AB1694" t="inlineStr">
        <is>
          <t>U1693</t>
        </is>
      </c>
      <c r="AC1694" t="inlineStr">
        <is>
          <t>BE</t>
        </is>
      </c>
      <c r="AD1694" t="n">
        <v>29.7</v>
      </c>
      <c r="AE1694" t="n">
        <v>38</v>
      </c>
      <c r="AF1694" t="inlineStr"/>
      <c r="AG1694" t="inlineStr"/>
      <c r="AH1694" t="inlineStr"/>
      <c r="AI1694" t="n">
        <v>17</v>
      </c>
      <c r="AJ1694" t="n">
        <v>24.9</v>
      </c>
    </row>
    <row r="1695">
      <c r="A1695" t="inlineStr">
        <is>
          <t>Université de Lille</t>
        </is>
      </c>
      <c r="B1695" t="inlineStr">
        <is>
          <t>France</t>
        </is>
      </c>
      <c r="C1695" t="inlineStr">
        <is>
          <t>721-730</t>
        </is>
      </c>
      <c r="D1695" t="inlineStr"/>
      <c r="E1695" t="n">
        <v>23.5</v>
      </c>
      <c r="F1695" t="n">
        <v>5.5</v>
      </c>
      <c r="G1695" t="n">
        <v>4.8</v>
      </c>
      <c r="H1695" t="n">
        <v>14.7</v>
      </c>
      <c r="I1695" t="n">
        <v>14.6</v>
      </c>
      <c r="J1695" t="n">
        <v>15.8</v>
      </c>
      <c r="K1695" t="n">
        <v>93.3</v>
      </c>
      <c r="L1695" t="n">
        <v>4.5</v>
      </c>
      <c r="M1695" t="n">
        <v>10.9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n">
        <v>721</v>
      </c>
      <c r="Z1695" t="inlineStr"/>
      <c r="AA1695" t="inlineStr"/>
      <c r="AB1695" t="inlineStr">
        <is>
          <t>U1694</t>
        </is>
      </c>
      <c r="AC1695" t="inlineStr">
        <is>
          <t>FR</t>
        </is>
      </c>
      <c r="AD1695" t="inlineStr"/>
      <c r="AE1695" t="n">
        <v>14.7</v>
      </c>
      <c r="AF1695" t="inlineStr"/>
      <c r="AG1695" t="inlineStr"/>
      <c r="AH1695" t="inlineStr"/>
      <c r="AI1695" t="n">
        <v>23.5</v>
      </c>
      <c r="AJ1695" t="n">
        <v>17.84</v>
      </c>
    </row>
    <row r="1696">
      <c r="A1696" t="inlineStr">
        <is>
          <t>Université de Limoges</t>
        </is>
      </c>
      <c r="B1696" t="inlineStr">
        <is>
          <t>France</t>
        </is>
      </c>
      <c r="C1696" t="inlineStr">
        <is>
          <t>1201-1400</t>
        </is>
      </c>
      <c r="D1696" t="inlineStr"/>
      <c r="E1696" t="n">
        <v>6.6</v>
      </c>
      <c r="F1696" t="n">
        <v>2.3</v>
      </c>
      <c r="G1696" t="n">
        <v>17.2</v>
      </c>
      <c r="H1696" t="n">
        <v>5.5</v>
      </c>
      <c r="I1696" t="inlineStr"/>
      <c r="J1696" t="inlineStr"/>
      <c r="K1696" t="n">
        <v>58.8</v>
      </c>
      <c r="L1696" t="n">
        <v>2.9</v>
      </c>
      <c r="M1696" t="n">
        <v>1.1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n">
        <v>1201</v>
      </c>
      <c r="Z1696" t="inlineStr"/>
      <c r="AA1696" t="inlineStr"/>
      <c r="AB1696" t="inlineStr">
        <is>
          <t>U1695</t>
        </is>
      </c>
      <c r="AC1696" t="inlineStr">
        <is>
          <t>FR</t>
        </is>
      </c>
      <c r="AD1696" t="inlineStr"/>
      <c r="AE1696" t="n">
        <v>5.5</v>
      </c>
      <c r="AF1696" t="inlineStr"/>
      <c r="AG1696" t="inlineStr"/>
      <c r="AH1696" t="inlineStr"/>
      <c r="AI1696" t="n">
        <v>6.6</v>
      </c>
      <c r="AJ1696" t="n">
        <v>15.06</v>
      </c>
    </row>
    <row r="1697">
      <c r="A1697" t="inlineStr">
        <is>
          <t>Université de Lorraine</t>
        </is>
      </c>
      <c r="B1697" t="inlineStr">
        <is>
          <t>France</t>
        </is>
      </c>
      <c r="C1697" t="inlineStr">
        <is>
          <t>801-850</t>
        </is>
      </c>
      <c r="D1697" t="inlineStr"/>
      <c r="E1697" t="n">
        <v>13.6</v>
      </c>
      <c r="F1697" t="n">
        <v>3.3</v>
      </c>
      <c r="G1697" t="n">
        <v>7</v>
      </c>
      <c r="H1697" t="n">
        <v>12.9</v>
      </c>
      <c r="I1697" t="n">
        <v>27.6</v>
      </c>
      <c r="J1697" t="n">
        <v>27.4</v>
      </c>
      <c r="K1697" t="n">
        <v>95.90000000000001</v>
      </c>
      <c r="L1697" t="n">
        <v>14.8</v>
      </c>
      <c r="M1697" t="n">
        <v>11.8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n">
        <v>801</v>
      </c>
      <c r="Z1697" t="inlineStr"/>
      <c r="AA1697" t="inlineStr"/>
      <c r="AB1697" t="inlineStr">
        <is>
          <t>U1696</t>
        </is>
      </c>
      <c r="AC1697" t="inlineStr">
        <is>
          <t>FR</t>
        </is>
      </c>
      <c r="AD1697" t="inlineStr"/>
      <c r="AE1697" t="n">
        <v>12.9</v>
      </c>
      <c r="AF1697" t="inlineStr"/>
      <c r="AG1697" t="inlineStr"/>
      <c r="AH1697" t="inlineStr"/>
      <c r="AI1697" t="n">
        <v>13.6</v>
      </c>
      <c r="AJ1697" t="n">
        <v>17.3</v>
      </c>
    </row>
    <row r="1698">
      <c r="A1698" t="inlineStr">
        <is>
          <t>Université de Montpellier</t>
        </is>
      </c>
      <c r="B1698" t="inlineStr">
        <is>
          <t>France</t>
        </is>
      </c>
      <c r="C1698" t="inlineStr">
        <is>
          <t>448</t>
        </is>
      </c>
      <c r="D1698" t="n">
        <v>26.6</v>
      </c>
      <c r="E1698" t="n">
        <v>18.6</v>
      </c>
      <c r="F1698" t="n">
        <v>3.4</v>
      </c>
      <c r="G1698" t="n">
        <v>8.5</v>
      </c>
      <c r="H1698" t="n">
        <v>57.2</v>
      </c>
      <c r="I1698" t="n">
        <v>22.8</v>
      </c>
      <c r="J1698" t="n">
        <v>29.9</v>
      </c>
      <c r="K1698" t="n">
        <v>99.5</v>
      </c>
      <c r="L1698" t="n">
        <v>13.1</v>
      </c>
      <c r="M1698" t="n">
        <v>17.3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n">
        <v>448</v>
      </c>
      <c r="Z1698" t="inlineStr"/>
      <c r="AA1698" t="inlineStr"/>
      <c r="AB1698" t="inlineStr">
        <is>
          <t>U1697</t>
        </is>
      </c>
      <c r="AC1698" t="inlineStr">
        <is>
          <t>FR</t>
        </is>
      </c>
      <c r="AD1698" t="n">
        <v>26.6</v>
      </c>
      <c r="AE1698" t="n">
        <v>57.2</v>
      </c>
      <c r="AF1698" t="inlineStr"/>
      <c r="AG1698" t="inlineStr"/>
      <c r="AH1698" t="inlineStr"/>
      <c r="AI1698" t="n">
        <v>18.6</v>
      </c>
      <c r="AJ1698" t="n">
        <v>30.72</v>
      </c>
    </row>
    <row r="1699">
      <c r="A1699" t="inlineStr">
        <is>
          <t xml:space="preserve">Université de Montréal </t>
        </is>
      </c>
      <c r="B1699" t="inlineStr">
        <is>
          <t>Canada</t>
        </is>
      </c>
      <c r="C1699" t="inlineStr">
        <is>
          <t>159</t>
        </is>
      </c>
      <c r="D1699" t="n">
        <v>51.3</v>
      </c>
      <c r="E1699" t="n">
        <v>55.5</v>
      </c>
      <c r="F1699" t="n">
        <v>32.8</v>
      </c>
      <c r="G1699" t="n">
        <v>76</v>
      </c>
      <c r="H1699" t="n">
        <v>19.3</v>
      </c>
      <c r="I1699" t="n">
        <v>87.59999999999999</v>
      </c>
      <c r="J1699" t="n">
        <v>54.1</v>
      </c>
      <c r="K1699" t="n">
        <v>84.90000000000001</v>
      </c>
      <c r="L1699" t="n">
        <v>54.2</v>
      </c>
      <c r="M1699" t="n">
        <v>91.40000000000001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n">
        <v>159</v>
      </c>
      <c r="Z1699" t="inlineStr"/>
      <c r="AA1699" t="inlineStr"/>
      <c r="AB1699" t="inlineStr">
        <is>
          <t>U1698</t>
        </is>
      </c>
      <c r="AC1699" t="inlineStr">
        <is>
          <t>CA</t>
        </is>
      </c>
      <c r="AD1699" t="n">
        <v>51.3</v>
      </c>
      <c r="AE1699" t="n">
        <v>19.3</v>
      </c>
      <c r="AF1699" t="inlineStr"/>
      <c r="AG1699" t="inlineStr"/>
      <c r="AH1699" t="inlineStr"/>
      <c r="AI1699" t="n">
        <v>55.5</v>
      </c>
      <c r="AJ1699" t="n">
        <v>19.24</v>
      </c>
    </row>
    <row r="1700">
      <c r="A1700" t="inlineStr">
        <is>
          <t>Université de Nantes</t>
        </is>
      </c>
      <c r="B1700" t="inlineStr">
        <is>
          <t>France</t>
        </is>
      </c>
      <c r="C1700" t="inlineStr">
        <is>
          <t>851-900</t>
        </is>
      </c>
      <c r="D1700" t="inlineStr"/>
      <c r="E1700" t="n">
        <v>10.4</v>
      </c>
      <c r="F1700" t="n">
        <v>3.4</v>
      </c>
      <c r="G1700" t="n">
        <v>7.8</v>
      </c>
      <c r="H1700" t="n">
        <v>21.4</v>
      </c>
      <c r="I1700" t="n">
        <v>19.8</v>
      </c>
      <c r="J1700" t="n">
        <v>15.1</v>
      </c>
      <c r="K1700" t="n">
        <v>87.3</v>
      </c>
      <c r="L1700" t="n">
        <v>2.8</v>
      </c>
      <c r="M1700" t="n">
        <v>7.5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n">
        <v>851</v>
      </c>
      <c r="Z1700" t="inlineStr"/>
      <c r="AA1700" t="inlineStr"/>
      <c r="AB1700" t="inlineStr">
        <is>
          <t>U1699</t>
        </is>
      </c>
      <c r="AC1700" t="inlineStr">
        <is>
          <t>FR</t>
        </is>
      </c>
      <c r="AD1700" t="inlineStr"/>
      <c r="AE1700" t="n">
        <v>21.4</v>
      </c>
      <c r="AF1700" t="inlineStr"/>
      <c r="AG1700" t="inlineStr"/>
      <c r="AH1700" t="inlineStr"/>
      <c r="AI1700" t="n">
        <v>10.4</v>
      </c>
      <c r="AJ1700" t="n">
        <v>19.87</v>
      </c>
    </row>
    <row r="1701">
      <c r="A1701" t="inlineStr">
        <is>
          <t>Université de Poitiers</t>
        </is>
      </c>
      <c r="B1701" t="inlineStr">
        <is>
          <t>France</t>
        </is>
      </c>
      <c r="C1701" t="inlineStr">
        <is>
          <t>1001-1200</t>
        </is>
      </c>
      <c r="D1701" t="inlineStr"/>
      <c r="E1701" t="n">
        <v>7.9</v>
      </c>
      <c r="F1701" t="n">
        <v>1.7</v>
      </c>
      <c r="G1701" t="n">
        <v>5.4</v>
      </c>
      <c r="H1701" t="n">
        <v>5.2</v>
      </c>
      <c r="I1701" t="inlineStr"/>
      <c r="J1701" t="n">
        <v>26.4</v>
      </c>
      <c r="K1701" t="n">
        <v>75.3</v>
      </c>
      <c r="L1701" t="n">
        <v>6.7</v>
      </c>
      <c r="M1701" t="n">
        <v>2.1</v>
      </c>
      <c r="N1701" t="inlineStr">
        <is>
          <t>801–1000</t>
        </is>
      </c>
      <c r="O1701" t="inlineStr">
        <is>
          <t>32.7–36.9</t>
        </is>
      </c>
      <c r="P1701" t="n">
        <v>28.6</v>
      </c>
      <c r="Q1701" t="n">
        <v>25.7</v>
      </c>
      <c r="R1701" t="n">
        <v>36</v>
      </c>
      <c r="S1701" t="n">
        <v>45</v>
      </c>
      <c r="T1701" t="n">
        <v>58.9</v>
      </c>
      <c r="U1701" t="inlineStr">
        <is>
          <t>29,280</t>
        </is>
      </c>
      <c r="V1701" t="n">
        <v>31.5</v>
      </c>
      <c r="W1701" t="inlineStr">
        <is>
          <t>11%</t>
        </is>
      </c>
      <c r="X1701" t="inlineStr">
        <is>
          <t>57 : 43</t>
        </is>
      </c>
      <c r="Y1701" t="n">
        <v>1001</v>
      </c>
      <c r="Z1701" t="n">
        <v>801</v>
      </c>
      <c r="AA1701" t="n">
        <v>34.8</v>
      </c>
      <c r="AB1701" t="inlineStr">
        <is>
          <t>U1700</t>
        </is>
      </c>
      <c r="AC1701" t="inlineStr">
        <is>
          <t>FR</t>
        </is>
      </c>
      <c r="AD1701" t="n">
        <v>34.8</v>
      </c>
      <c r="AE1701" t="n">
        <v>5.2</v>
      </c>
      <c r="AF1701" t="n">
        <v>31.5</v>
      </c>
      <c r="AG1701" t="inlineStr">
        <is>
          <t>1:31.5</t>
        </is>
      </c>
      <c r="AH1701" t="inlineStr">
        <is>
          <t>11%</t>
        </is>
      </c>
      <c r="AI1701" t="n">
        <v>7.9</v>
      </c>
      <c r="AJ1701" t="n">
        <v>22.68</v>
      </c>
    </row>
    <row r="1702">
      <c r="A1702" t="inlineStr">
        <is>
          <t>Université de Rennes 1 (University of Rennes)</t>
        </is>
      </c>
      <c r="B1702" t="inlineStr">
        <is>
          <t>France</t>
        </is>
      </c>
      <c r="C1702" t="inlineStr">
        <is>
          <t>721-730</t>
        </is>
      </c>
      <c r="D1702" t="inlineStr"/>
      <c r="E1702" t="n">
        <v>14.9</v>
      </c>
      <c r="F1702" t="n">
        <v>5.2</v>
      </c>
      <c r="G1702" t="n">
        <v>11.6</v>
      </c>
      <c r="H1702" t="n">
        <v>28.3</v>
      </c>
      <c r="I1702" t="n">
        <v>11.9</v>
      </c>
      <c r="J1702" t="n">
        <v>11</v>
      </c>
      <c r="K1702" t="n">
        <v>88.09999999999999</v>
      </c>
      <c r="L1702" t="n">
        <v>6.8</v>
      </c>
      <c r="M1702" t="n">
        <v>6.9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n">
        <v>721</v>
      </c>
      <c r="Z1702" t="inlineStr"/>
      <c r="AA1702" t="inlineStr"/>
      <c r="AB1702" t="inlineStr">
        <is>
          <t>U1701</t>
        </is>
      </c>
      <c r="AC1702" t="inlineStr">
        <is>
          <t>FR</t>
        </is>
      </c>
      <c r="AD1702" t="inlineStr"/>
      <c r="AE1702" t="n">
        <v>28.3</v>
      </c>
      <c r="AF1702" t="inlineStr"/>
      <c r="AG1702" t="inlineStr"/>
      <c r="AH1702" t="inlineStr"/>
      <c r="AI1702" t="n">
        <v>14.9</v>
      </c>
      <c r="AJ1702" t="n">
        <v>21.96</v>
      </c>
    </row>
    <row r="1703">
      <c r="A1703" t="inlineStr">
        <is>
          <t>Université de Sfax</t>
        </is>
      </c>
      <c r="B1703" t="inlineStr">
        <is>
          <t>Tunisia</t>
        </is>
      </c>
      <c r="C1703" t="inlineStr">
        <is>
          <t>1001-1200</t>
        </is>
      </c>
      <c r="D1703" t="inlineStr"/>
      <c r="E1703" t="n">
        <v>7</v>
      </c>
      <c r="F1703" t="n">
        <v>4.1</v>
      </c>
      <c r="G1703" t="n">
        <v>44</v>
      </c>
      <c r="H1703" t="n">
        <v>3.7</v>
      </c>
      <c r="I1703" t="n">
        <v>1.1</v>
      </c>
      <c r="J1703" t="n">
        <v>3.2</v>
      </c>
      <c r="K1703" t="n">
        <v>50.8</v>
      </c>
      <c r="L1703" t="n">
        <v>10.3</v>
      </c>
      <c r="M1703" t="n">
        <v>8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n">
        <v>1001</v>
      </c>
      <c r="Z1703" t="inlineStr"/>
      <c r="AA1703" t="inlineStr"/>
      <c r="AB1703" t="inlineStr">
        <is>
          <t>U1702</t>
        </is>
      </c>
      <c r="AC1703" t="inlineStr">
        <is>
          <t>TU</t>
        </is>
      </c>
      <c r="AD1703" t="inlineStr"/>
      <c r="AE1703" t="n">
        <v>3.7</v>
      </c>
      <c r="AF1703" t="inlineStr"/>
      <c r="AG1703" t="inlineStr"/>
      <c r="AH1703" t="inlineStr"/>
      <c r="AI1703" t="n">
        <v>7</v>
      </c>
      <c r="AJ1703" t="n">
        <v>14.51</v>
      </c>
    </row>
    <row r="1704">
      <c r="A1704" t="inlineStr">
        <is>
          <t>Université de Sherbrooke</t>
        </is>
      </c>
      <c r="B1704" t="inlineStr">
        <is>
          <t>Canada</t>
        </is>
      </c>
      <c r="C1704" t="inlineStr">
        <is>
          <t>851-900</t>
        </is>
      </c>
      <c r="D1704" t="inlineStr"/>
      <c r="E1704" t="n">
        <v>6.8</v>
      </c>
      <c r="F1704" t="n">
        <v>4.2</v>
      </c>
      <c r="G1704" t="n">
        <v>18.8</v>
      </c>
      <c r="H1704" t="n">
        <v>16.9</v>
      </c>
      <c r="I1704" t="n">
        <v>54.7</v>
      </c>
      <c r="J1704" t="n">
        <v>7.6</v>
      </c>
      <c r="K1704" t="n">
        <v>43</v>
      </c>
      <c r="L1704" t="n">
        <v>23.4</v>
      </c>
      <c r="M1704" t="n">
        <v>8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n">
        <v>851</v>
      </c>
      <c r="Z1704" t="inlineStr"/>
      <c r="AA1704" t="inlineStr"/>
      <c r="AB1704" t="inlineStr">
        <is>
          <t>U1703</t>
        </is>
      </c>
      <c r="AC1704" t="inlineStr">
        <is>
          <t>CA</t>
        </is>
      </c>
      <c r="AD1704" t="inlineStr"/>
      <c r="AE1704" t="n">
        <v>16.9</v>
      </c>
      <c r="AF1704" t="inlineStr"/>
      <c r="AG1704" t="inlineStr"/>
      <c r="AH1704" t="inlineStr"/>
      <c r="AI1704" t="n">
        <v>6.8</v>
      </c>
      <c r="AJ1704" t="n">
        <v>18.51</v>
      </c>
    </row>
    <row r="1705">
      <c r="A1705" t="inlineStr">
        <is>
          <t>Université de Skikda</t>
        </is>
      </c>
      <c r="B1705" t="inlineStr">
        <is>
          <t>Algeria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>
        <is>
          <t>1201–1500</t>
        </is>
      </c>
      <c r="O1705" t="inlineStr">
        <is>
          <t>22.8–28.2</t>
        </is>
      </c>
      <c r="P1705" t="n">
        <v>12.5</v>
      </c>
      <c r="Q1705" t="n">
        <v>7.6</v>
      </c>
      <c r="R1705" t="n">
        <v>51.3</v>
      </c>
      <c r="S1705" t="n">
        <v>15.8</v>
      </c>
      <c r="T1705" t="n">
        <v>40.6</v>
      </c>
      <c r="U1705" t="inlineStr">
        <is>
          <t>32,675</t>
        </is>
      </c>
      <c r="V1705" t="n">
        <v>29.4</v>
      </c>
      <c r="W1705" t="inlineStr">
        <is>
          <t>0%</t>
        </is>
      </c>
      <c r="X1705" t="inlineStr">
        <is>
          <t>71 : 29</t>
        </is>
      </c>
      <c r="Y1705" t="inlineStr"/>
      <c r="Z1705" t="n">
        <v>1201</v>
      </c>
      <c r="AA1705" t="n">
        <v>25.5</v>
      </c>
      <c r="AB1705" t="inlineStr">
        <is>
          <t>U1704</t>
        </is>
      </c>
      <c r="AC1705" t="inlineStr">
        <is>
          <t>AL</t>
        </is>
      </c>
      <c r="AD1705" t="n">
        <v>25.5</v>
      </c>
      <c r="AE1705" t="n">
        <v>51.3</v>
      </c>
      <c r="AF1705" t="n">
        <v>29.4</v>
      </c>
      <c r="AG1705" t="inlineStr">
        <is>
          <t>1:29.4</t>
        </is>
      </c>
      <c r="AH1705" t="inlineStr">
        <is>
          <t>0%</t>
        </is>
      </c>
      <c r="AI1705" t="inlineStr"/>
      <c r="AJ1705" t="n">
        <v>22.74</v>
      </c>
    </row>
    <row r="1706">
      <c r="A1706" t="inlineStr">
        <is>
          <t>Université de Sousse</t>
        </is>
      </c>
      <c r="B1706" t="inlineStr">
        <is>
          <t>Tunisia</t>
        </is>
      </c>
      <c r="C1706" t="inlineStr">
        <is>
          <t>1001-1200</t>
        </is>
      </c>
      <c r="D1706" t="inlineStr"/>
      <c r="E1706" t="n">
        <v>4.5</v>
      </c>
      <c r="F1706" t="n">
        <v>1.8</v>
      </c>
      <c r="G1706" t="n">
        <v>51.1</v>
      </c>
      <c r="H1706" t="n">
        <v>1.7</v>
      </c>
      <c r="I1706" t="n">
        <v>1.1</v>
      </c>
      <c r="J1706" t="n">
        <v>2.2</v>
      </c>
      <c r="K1706" t="n">
        <v>37</v>
      </c>
      <c r="L1706" t="n">
        <v>3.9</v>
      </c>
      <c r="M1706" t="n">
        <v>1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n">
        <v>1001</v>
      </c>
      <c r="Z1706" t="inlineStr"/>
      <c r="AA1706" t="inlineStr"/>
      <c r="AB1706" t="inlineStr">
        <is>
          <t>U1705</t>
        </is>
      </c>
      <c r="AC1706" t="inlineStr">
        <is>
          <t>TU</t>
        </is>
      </c>
      <c r="AD1706" t="inlineStr"/>
      <c r="AE1706" t="n">
        <v>1.7</v>
      </c>
      <c r="AF1706" t="inlineStr"/>
      <c r="AG1706" t="inlineStr"/>
      <c r="AH1706" t="inlineStr"/>
      <c r="AI1706" t="n">
        <v>4.5</v>
      </c>
      <c r="AJ1706" t="n">
        <v>13.9</v>
      </c>
    </row>
    <row r="1707">
      <c r="A1707" t="inlineStr">
        <is>
          <t>Université de Strasbourg</t>
        </is>
      </c>
      <c r="B1707" t="inlineStr">
        <is>
          <t>France</t>
        </is>
      </c>
      <c r="C1707" t="inlineStr">
        <is>
          <t>456</t>
        </is>
      </c>
      <c r="D1707" t="n">
        <v>26.3</v>
      </c>
      <c r="E1707" t="n">
        <v>39.1</v>
      </c>
      <c r="F1707" t="n">
        <v>10.3</v>
      </c>
      <c r="G1707" t="n">
        <v>5.1</v>
      </c>
      <c r="H1707" t="n">
        <v>20.7</v>
      </c>
      <c r="I1707" t="n">
        <v>34.2</v>
      </c>
      <c r="J1707" t="n">
        <v>35.9</v>
      </c>
      <c r="K1707" t="n">
        <v>90.7</v>
      </c>
      <c r="L1707" t="n">
        <v>20.4</v>
      </c>
      <c r="M1707" t="n">
        <v>5.4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n">
        <v>456</v>
      </c>
      <c r="Z1707" t="inlineStr"/>
      <c r="AA1707" t="inlineStr"/>
      <c r="AB1707" t="inlineStr">
        <is>
          <t>U1706</t>
        </is>
      </c>
      <c r="AC1707" t="inlineStr">
        <is>
          <t>FR</t>
        </is>
      </c>
      <c r="AD1707" t="n">
        <v>26.3</v>
      </c>
      <c r="AE1707" t="n">
        <v>20.7</v>
      </c>
      <c r="AF1707" t="inlineStr"/>
      <c r="AG1707" t="inlineStr"/>
      <c r="AH1707" t="inlineStr"/>
      <c r="AI1707" t="n">
        <v>39.1</v>
      </c>
      <c r="AJ1707" t="n">
        <v>19.66</v>
      </c>
    </row>
    <row r="1708">
      <c r="A1708" t="inlineStr">
        <is>
          <t>Université de Toulouse II-Le Mirail</t>
        </is>
      </c>
      <c r="B1708" t="inlineStr">
        <is>
          <t>France</t>
        </is>
      </c>
      <c r="C1708" t="inlineStr">
        <is>
          <t>1001-1200</t>
        </is>
      </c>
      <c r="D1708" t="inlineStr"/>
      <c r="E1708" t="n">
        <v>9.4</v>
      </c>
      <c r="F1708" t="n">
        <v>2.7</v>
      </c>
      <c r="G1708" t="n">
        <v>1.3</v>
      </c>
      <c r="H1708" t="n">
        <v>7.1</v>
      </c>
      <c r="I1708" t="n">
        <v>27.2</v>
      </c>
      <c r="J1708" t="n">
        <v>19.7</v>
      </c>
      <c r="K1708" t="n">
        <v>67</v>
      </c>
      <c r="L1708" t="n">
        <v>2.1</v>
      </c>
      <c r="M1708" t="n">
        <v>1.2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n">
        <v>1001</v>
      </c>
      <c r="Z1708" t="inlineStr"/>
      <c r="AA1708" t="inlineStr"/>
      <c r="AB1708" t="inlineStr">
        <is>
          <t>U1707</t>
        </is>
      </c>
      <c r="AC1708" t="inlineStr">
        <is>
          <t>FR</t>
        </is>
      </c>
      <c r="AD1708" t="inlineStr"/>
      <c r="AE1708" t="n">
        <v>7.1</v>
      </c>
      <c r="AF1708" t="inlineStr"/>
      <c r="AG1708" t="inlineStr"/>
      <c r="AH1708" t="inlineStr"/>
      <c r="AI1708" t="n">
        <v>9.4</v>
      </c>
      <c r="AJ1708" t="n">
        <v>15.54</v>
      </c>
    </row>
    <row r="1709">
      <c r="A1709" t="inlineStr">
        <is>
          <t>Université de Tunis</t>
        </is>
      </c>
      <c r="B1709" t="inlineStr">
        <is>
          <t>Tunisia</t>
        </is>
      </c>
      <c r="C1709" t="inlineStr">
        <is>
          <t>1001-1200</t>
        </is>
      </c>
      <c r="D1709" t="inlineStr"/>
      <c r="E1709" t="n">
        <v>7.2</v>
      </c>
      <c r="F1709" t="n">
        <v>3.9</v>
      </c>
      <c r="G1709" t="n">
        <v>19.4</v>
      </c>
      <c r="H1709" t="n">
        <v>1.9</v>
      </c>
      <c r="I1709" t="n">
        <v>2</v>
      </c>
      <c r="J1709" t="n">
        <v>1.8</v>
      </c>
      <c r="K1709" t="n">
        <v>27</v>
      </c>
      <c r="L1709" t="n">
        <v>48.1</v>
      </c>
      <c r="M1709" t="n">
        <v>1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n">
        <v>1001</v>
      </c>
      <c r="Z1709" t="inlineStr"/>
      <c r="AA1709" t="inlineStr"/>
      <c r="AB1709" t="inlineStr">
        <is>
          <t>U1708</t>
        </is>
      </c>
      <c r="AC1709" t="inlineStr">
        <is>
          <t>TU</t>
        </is>
      </c>
      <c r="AD1709" t="inlineStr"/>
      <c r="AE1709" t="n">
        <v>1.9</v>
      </c>
      <c r="AF1709" t="inlineStr"/>
      <c r="AG1709" t="inlineStr"/>
      <c r="AH1709" t="inlineStr"/>
      <c r="AI1709" t="n">
        <v>7.2</v>
      </c>
      <c r="AJ1709" t="n">
        <v>13.96</v>
      </c>
    </row>
    <row r="1710">
      <c r="A1710" t="inlineStr">
        <is>
          <t>Université de Tunis El Manar</t>
        </is>
      </c>
      <c r="B1710" t="inlineStr">
        <is>
          <t>Tunisia</t>
        </is>
      </c>
      <c r="C1710" t="inlineStr">
        <is>
          <t>771-780</t>
        </is>
      </c>
      <c r="D1710" t="inlineStr"/>
      <c r="E1710" t="n">
        <v>9.4</v>
      </c>
      <c r="F1710" t="n">
        <v>4.3</v>
      </c>
      <c r="G1710" t="n">
        <v>26</v>
      </c>
      <c r="H1710" t="n">
        <v>5.1</v>
      </c>
      <c r="I1710" t="n">
        <v>39.5</v>
      </c>
      <c r="J1710" t="n">
        <v>7.8</v>
      </c>
      <c r="K1710" t="n">
        <v>82.09999999999999</v>
      </c>
      <c r="L1710" t="n">
        <v>54.1</v>
      </c>
      <c r="M1710" t="n">
        <v>16.3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n">
        <v>771</v>
      </c>
      <c r="Z1710" t="inlineStr"/>
      <c r="AA1710" t="inlineStr"/>
      <c r="AB1710" t="inlineStr">
        <is>
          <t>U1709</t>
        </is>
      </c>
      <c r="AC1710" t="inlineStr">
        <is>
          <t>TU</t>
        </is>
      </c>
      <c r="AD1710" t="inlineStr"/>
      <c r="AE1710" t="n">
        <v>5.1</v>
      </c>
      <c r="AF1710" t="inlineStr"/>
      <c r="AG1710" t="inlineStr"/>
      <c r="AH1710" t="inlineStr"/>
      <c r="AI1710" t="n">
        <v>9.4</v>
      </c>
      <c r="AJ1710" t="n">
        <v>14.93</v>
      </c>
    </row>
    <row r="1711">
      <c r="A1711" t="inlineStr">
        <is>
          <t>Università degli Studi della Tuscia (University of Tuscia)</t>
        </is>
      </c>
      <c r="B1711" t="inlineStr">
        <is>
          <t>Italy</t>
        </is>
      </c>
      <c r="C1711" t="inlineStr">
        <is>
          <t>901-950</t>
        </is>
      </c>
      <c r="D1711" t="inlineStr"/>
      <c r="E1711" t="n">
        <v>4.6</v>
      </c>
      <c r="F1711" t="n">
        <v>1.2</v>
      </c>
      <c r="G1711" t="n">
        <v>5.6</v>
      </c>
      <c r="H1711" t="n">
        <v>43.6</v>
      </c>
      <c r="I1711" t="n">
        <v>13.7</v>
      </c>
      <c r="J1711" t="n">
        <v>10.4</v>
      </c>
      <c r="K1711" t="n">
        <v>32.4</v>
      </c>
      <c r="L1711" t="n">
        <v>2</v>
      </c>
      <c r="M1711" t="n">
        <v>2.2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n">
        <v>901</v>
      </c>
      <c r="Z1711" t="inlineStr"/>
      <c r="AA1711" t="inlineStr"/>
      <c r="AB1711" t="inlineStr">
        <is>
          <t>U1710</t>
        </is>
      </c>
      <c r="AC1711" t="inlineStr">
        <is>
          <t>IT</t>
        </is>
      </c>
      <c r="AD1711" t="inlineStr"/>
      <c r="AE1711" t="n">
        <v>43.6</v>
      </c>
      <c r="AF1711" t="inlineStr"/>
      <c r="AG1711" t="inlineStr"/>
      <c r="AH1711" t="inlineStr"/>
      <c r="AI1711" t="n">
        <v>4.6</v>
      </c>
      <c r="AJ1711" t="n">
        <v>26.6</v>
      </c>
    </row>
    <row r="1712">
      <c r="A1712" t="inlineStr">
        <is>
          <t>Università degli studi di Bergamo</t>
        </is>
      </c>
      <c r="B1712" t="inlineStr">
        <is>
          <t>Italy</t>
        </is>
      </c>
      <c r="C1712" t="inlineStr">
        <is>
          <t>1201-1400</t>
        </is>
      </c>
      <c r="D1712" t="inlineStr"/>
      <c r="E1712" t="n">
        <v>5.7</v>
      </c>
      <c r="F1712" t="n">
        <v>2.4</v>
      </c>
      <c r="G1712" t="n">
        <v>1.9</v>
      </c>
      <c r="H1712" t="n">
        <v>6.5</v>
      </c>
      <c r="I1712" t="n">
        <v>4.3</v>
      </c>
      <c r="J1712" t="n">
        <v>6.7</v>
      </c>
      <c r="K1712" t="n">
        <v>27.8</v>
      </c>
      <c r="L1712" t="n">
        <v>4.3</v>
      </c>
      <c r="M1712" t="n">
        <v>1.2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n">
        <v>1201</v>
      </c>
      <c r="Z1712" t="inlineStr"/>
      <c r="AA1712" t="inlineStr"/>
      <c r="AB1712" t="inlineStr">
        <is>
          <t>U1711</t>
        </is>
      </c>
      <c r="AC1712" t="inlineStr">
        <is>
          <t>IT</t>
        </is>
      </c>
      <c r="AD1712" t="inlineStr"/>
      <c r="AE1712" t="n">
        <v>6.5</v>
      </c>
      <c r="AF1712" t="inlineStr"/>
      <c r="AG1712" t="inlineStr"/>
      <c r="AH1712" t="inlineStr"/>
      <c r="AI1712" t="n">
        <v>5.7</v>
      </c>
      <c r="AJ1712" t="n">
        <v>15.36</v>
      </c>
    </row>
    <row r="1713">
      <c r="A1713" t="inlineStr">
        <is>
          <t>Università degli Studi di Pavia</t>
        </is>
      </c>
      <c r="B1713" t="inlineStr">
        <is>
          <t>Italy</t>
        </is>
      </c>
      <c r="C1713" t="inlineStr">
        <is>
          <t>440</t>
        </is>
      </c>
      <c r="D1713" t="n">
        <v>27</v>
      </c>
      <c r="E1713" t="n">
        <v>21.7</v>
      </c>
      <c r="F1713" t="n">
        <v>7.4</v>
      </c>
      <c r="G1713" t="n">
        <v>8.300000000000001</v>
      </c>
      <c r="H1713" t="n">
        <v>64.59999999999999</v>
      </c>
      <c r="I1713" t="n">
        <v>6.2</v>
      </c>
      <c r="J1713" t="n">
        <v>12.6</v>
      </c>
      <c r="K1713" t="n">
        <v>82.7</v>
      </c>
      <c r="L1713" t="n">
        <v>13.5</v>
      </c>
      <c r="M1713" t="n">
        <v>15.4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n">
        <v>440</v>
      </c>
      <c r="Z1713" t="inlineStr"/>
      <c r="AA1713" t="inlineStr"/>
      <c r="AB1713" t="inlineStr">
        <is>
          <t>U1712</t>
        </is>
      </c>
      <c r="AC1713" t="inlineStr">
        <is>
          <t>IT</t>
        </is>
      </c>
      <c r="AD1713" t="n">
        <v>27</v>
      </c>
      <c r="AE1713" t="n">
        <v>64.59999999999999</v>
      </c>
      <c r="AF1713" t="inlineStr"/>
      <c r="AG1713" t="inlineStr"/>
      <c r="AH1713" t="inlineStr"/>
      <c r="AI1713" t="n">
        <v>21.7</v>
      </c>
      <c r="AJ1713" t="n">
        <v>32.96</v>
      </c>
    </row>
    <row r="1714">
      <c r="A1714" t="inlineStr">
        <is>
          <t>Università degli Studi di Perugia</t>
        </is>
      </c>
      <c r="B1714" t="inlineStr">
        <is>
          <t>Italy</t>
        </is>
      </c>
      <c r="C1714" t="inlineStr">
        <is>
          <t>801-850</t>
        </is>
      </c>
      <c r="D1714" t="inlineStr"/>
      <c r="E1714" t="n">
        <v>9.1</v>
      </c>
      <c r="F1714" t="n">
        <v>2.3</v>
      </c>
      <c r="G1714" t="n">
        <v>3.5</v>
      </c>
      <c r="H1714" t="n">
        <v>40.9</v>
      </c>
      <c r="I1714" t="n">
        <v>6.4</v>
      </c>
      <c r="J1714" t="n">
        <v>5.4</v>
      </c>
      <c r="K1714" t="n">
        <v>65.90000000000001</v>
      </c>
      <c r="L1714" t="n">
        <v>1.7</v>
      </c>
      <c r="M1714" t="n">
        <v>11.5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n">
        <v>801</v>
      </c>
      <c r="Z1714" t="inlineStr"/>
      <c r="AA1714" t="inlineStr"/>
      <c r="AB1714" t="inlineStr">
        <is>
          <t>U1713</t>
        </is>
      </c>
      <c r="AC1714" t="inlineStr">
        <is>
          <t>IT</t>
        </is>
      </c>
      <c r="AD1714" t="inlineStr"/>
      <c r="AE1714" t="n">
        <v>40.9</v>
      </c>
      <c r="AF1714" t="inlineStr"/>
      <c r="AG1714" t="inlineStr"/>
      <c r="AH1714" t="inlineStr"/>
      <c r="AI1714" t="n">
        <v>9.1</v>
      </c>
      <c r="AJ1714" t="n">
        <v>25.78</v>
      </c>
    </row>
    <row r="1715">
      <c r="A1715" t="inlineStr">
        <is>
          <t>Università degli Studi di Udine</t>
        </is>
      </c>
      <c r="B1715" t="inlineStr">
        <is>
          <t>Italy</t>
        </is>
      </c>
      <c r="C1715" t="inlineStr">
        <is>
          <t>1001-1200</t>
        </is>
      </c>
      <c r="D1715" t="inlineStr"/>
      <c r="E1715" t="n">
        <v>7.1</v>
      </c>
      <c r="F1715" t="n">
        <v>2.7</v>
      </c>
      <c r="G1715" t="n">
        <v>11.3</v>
      </c>
      <c r="H1715" t="n">
        <v>16.7</v>
      </c>
      <c r="I1715" t="n">
        <v>4.2</v>
      </c>
      <c r="J1715" t="n">
        <v>3.7</v>
      </c>
      <c r="K1715" t="n">
        <v>53.5</v>
      </c>
      <c r="L1715" t="n">
        <v>1.9</v>
      </c>
      <c r="M1715" t="n">
        <v>4.3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n">
        <v>1001</v>
      </c>
      <c r="Z1715" t="inlineStr"/>
      <c r="AA1715" t="inlineStr"/>
      <c r="AB1715" t="inlineStr">
        <is>
          <t>U1714</t>
        </is>
      </c>
      <c r="AC1715" t="inlineStr">
        <is>
          <t>IT</t>
        </is>
      </c>
      <c r="AD1715" t="inlineStr"/>
      <c r="AE1715" t="n">
        <v>16.7</v>
      </c>
      <c r="AF1715" t="inlineStr"/>
      <c r="AG1715" t="inlineStr"/>
      <c r="AH1715" t="inlineStr"/>
      <c r="AI1715" t="n">
        <v>7.1</v>
      </c>
      <c r="AJ1715" t="n">
        <v>18.45</v>
      </c>
    </row>
    <row r="1716">
      <c r="A1716" t="inlineStr">
        <is>
          <t>Università degli studi Roma Tre</t>
        </is>
      </c>
      <c r="B1716" t="inlineStr">
        <is>
          <t>Italy</t>
        </is>
      </c>
      <c r="C1716" t="inlineStr">
        <is>
          <t>901-950</t>
        </is>
      </c>
      <c r="D1716" t="inlineStr"/>
      <c r="E1716" t="n">
        <v>17.4</v>
      </c>
      <c r="F1716" t="n">
        <v>8</v>
      </c>
      <c r="G1716" t="n">
        <v>2.2</v>
      </c>
      <c r="H1716" t="n">
        <v>12.1</v>
      </c>
      <c r="I1716" t="n">
        <v>8.5</v>
      </c>
      <c r="J1716" t="n">
        <v>4.2</v>
      </c>
      <c r="K1716" t="n">
        <v>62.5</v>
      </c>
      <c r="L1716" t="n">
        <v>7.1</v>
      </c>
      <c r="M1716" t="n">
        <v>19.7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n">
        <v>901</v>
      </c>
      <c r="Z1716" t="inlineStr"/>
      <c r="AA1716" t="inlineStr"/>
      <c r="AB1716" t="inlineStr">
        <is>
          <t>U1715</t>
        </is>
      </c>
      <c r="AC1716" t="inlineStr">
        <is>
          <t>IT</t>
        </is>
      </c>
      <c r="AD1716" t="inlineStr"/>
      <c r="AE1716" t="n">
        <v>12.1</v>
      </c>
      <c r="AF1716" t="inlineStr"/>
      <c r="AG1716" t="inlineStr"/>
      <c r="AH1716" t="inlineStr"/>
      <c r="AI1716" t="n">
        <v>17.4</v>
      </c>
      <c r="AJ1716" t="n">
        <v>17.06</v>
      </c>
    </row>
    <row r="1717">
      <c r="A1717" t="inlineStr">
        <is>
          <t>Università del Salento</t>
        </is>
      </c>
      <c r="B1717" t="inlineStr">
        <is>
          <t>Italy</t>
        </is>
      </c>
      <c r="C1717" t="inlineStr">
        <is>
          <t>1001-1200</t>
        </is>
      </c>
      <c r="D1717" t="inlineStr"/>
      <c r="E1717" t="n">
        <v>7.1</v>
      </c>
      <c r="F1717" t="n">
        <v>1.7</v>
      </c>
      <c r="G1717" t="n">
        <v>6.9</v>
      </c>
      <c r="H1717" t="n">
        <v>21.7</v>
      </c>
      <c r="I1717" t="n">
        <v>1.7</v>
      </c>
      <c r="J1717" t="n">
        <v>1.5</v>
      </c>
      <c r="K1717" t="n">
        <v>65.2</v>
      </c>
      <c r="L1717" t="n">
        <v>1.6</v>
      </c>
      <c r="M1717" t="n">
        <v>2.7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n">
        <v>1001</v>
      </c>
      <c r="Z1717" t="inlineStr"/>
      <c r="AA1717" t="inlineStr"/>
      <c r="AB1717" t="inlineStr">
        <is>
          <t>U1716</t>
        </is>
      </c>
      <c r="AC1717" t="inlineStr">
        <is>
          <t>IT</t>
        </is>
      </c>
      <c r="AD1717" t="inlineStr"/>
      <c r="AE1717" t="n">
        <v>21.7</v>
      </c>
      <c r="AF1717" t="inlineStr"/>
      <c r="AG1717" t="inlineStr"/>
      <c r="AH1717" t="inlineStr"/>
      <c r="AI1717" t="n">
        <v>7.1</v>
      </c>
      <c r="AJ1717" t="n">
        <v>19.96</v>
      </c>
    </row>
    <row r="1718">
      <c r="A1718" t="inlineStr">
        <is>
          <t>Università della Svizzera italiana</t>
        </is>
      </c>
      <c r="B1718" t="inlineStr">
        <is>
          <t>Switzerland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>
        <is>
          <t>251–300</t>
        </is>
      </c>
      <c r="O1718" t="inlineStr">
        <is>
          <t>53.1–55.8</t>
        </is>
      </c>
      <c r="P1718" t="n">
        <v>34.8</v>
      </c>
      <c r="Q1718" t="n">
        <v>26.4</v>
      </c>
      <c r="R1718" t="n">
        <v>84</v>
      </c>
      <c r="S1718" t="n">
        <v>88.3</v>
      </c>
      <c r="T1718" t="n">
        <v>98.5</v>
      </c>
      <c r="U1718" t="inlineStr">
        <is>
          <t>3,714</t>
        </is>
      </c>
      <c r="V1718" t="n">
        <v>14</v>
      </c>
      <c r="W1718" t="inlineStr">
        <is>
          <t>67%</t>
        </is>
      </c>
      <c r="X1718" t="inlineStr">
        <is>
          <t>46 : 54</t>
        </is>
      </c>
      <c r="Y1718" t="inlineStr"/>
      <c r="Z1718" t="n">
        <v>251</v>
      </c>
      <c r="AA1718" t="n">
        <v>54.45</v>
      </c>
      <c r="AB1718" t="inlineStr">
        <is>
          <t>U1717</t>
        </is>
      </c>
      <c r="AC1718" t="inlineStr">
        <is>
          <t>SW</t>
        </is>
      </c>
      <c r="AD1718" t="n">
        <v>54.45</v>
      </c>
      <c r="AE1718" t="n">
        <v>84</v>
      </c>
      <c r="AF1718" t="n">
        <v>14</v>
      </c>
      <c r="AG1718" t="inlineStr">
        <is>
          <t>1:14.0</t>
        </is>
      </c>
      <c r="AH1718" t="inlineStr">
        <is>
          <t>67%</t>
        </is>
      </c>
      <c r="AI1718" t="inlineStr"/>
      <c r="AJ1718" t="n">
        <v>56.5</v>
      </c>
    </row>
    <row r="1719">
      <c r="A1719" t="inlineStr">
        <is>
          <t>Università di Padova</t>
        </is>
      </c>
      <c r="B1719" t="inlineStr">
        <is>
          <t>Italy</t>
        </is>
      </c>
      <c r="C1719" t="inlineStr">
        <is>
          <t>236</t>
        </is>
      </c>
      <c r="D1719" t="n">
        <v>42.3</v>
      </c>
      <c r="E1719" t="n">
        <v>58.9</v>
      </c>
      <c r="F1719" t="n">
        <v>27.3</v>
      </c>
      <c r="G1719" t="n">
        <v>8.5</v>
      </c>
      <c r="H1719" t="n">
        <v>45.7</v>
      </c>
      <c r="I1719" t="n">
        <v>9.199999999999999</v>
      </c>
      <c r="J1719" t="n">
        <v>11.1</v>
      </c>
      <c r="K1719" t="n">
        <v>94.90000000000001</v>
      </c>
      <c r="L1719" t="n">
        <v>18.8</v>
      </c>
      <c r="M1719" t="n">
        <v>87.7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n">
        <v>236</v>
      </c>
      <c r="Z1719" t="inlineStr"/>
      <c r="AA1719" t="inlineStr"/>
      <c r="AB1719" t="inlineStr">
        <is>
          <t>U1718</t>
        </is>
      </c>
      <c r="AC1719" t="inlineStr">
        <is>
          <t>IT</t>
        </is>
      </c>
      <c r="AD1719" t="n">
        <v>42.3</v>
      </c>
      <c r="AE1719" t="n">
        <v>45.7</v>
      </c>
      <c r="AF1719" t="inlineStr"/>
      <c r="AG1719" t="inlineStr"/>
      <c r="AH1719" t="inlineStr"/>
      <c r="AI1719" t="n">
        <v>58.9</v>
      </c>
      <c r="AJ1719" t="n">
        <v>27.24</v>
      </c>
    </row>
    <row r="1720">
      <c r="A1720" t="inlineStr">
        <is>
          <t>Université Djillali Liabès de Sidi Bel-Abbès</t>
        </is>
      </c>
      <c r="B1720" t="inlineStr">
        <is>
          <t>Algeria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>
        <is>
          <t>1001–1200</t>
        </is>
      </c>
      <c r="O1720" t="inlineStr">
        <is>
          <t>28.3–32.6</t>
        </is>
      </c>
      <c r="P1720" t="n">
        <v>30.6</v>
      </c>
      <c r="Q1720" t="n">
        <v>9.300000000000001</v>
      </c>
      <c r="R1720" t="n">
        <v>46</v>
      </c>
      <c r="S1720" t="n">
        <v>16.9</v>
      </c>
      <c r="T1720" t="n">
        <v>37.4</v>
      </c>
      <c r="U1720" t="inlineStr">
        <is>
          <t>27,917</t>
        </is>
      </c>
      <c r="V1720" t="n">
        <v>19.7</v>
      </c>
      <c r="W1720" t="inlineStr">
        <is>
          <t>1%</t>
        </is>
      </c>
      <c r="X1720" t="inlineStr">
        <is>
          <t>56 : 44</t>
        </is>
      </c>
      <c r="Y1720" t="inlineStr"/>
      <c r="Z1720" t="n">
        <v>1001</v>
      </c>
      <c r="AA1720" t="n">
        <v>30.45</v>
      </c>
      <c r="AB1720" t="inlineStr">
        <is>
          <t>U1719</t>
        </is>
      </c>
      <c r="AC1720" t="inlineStr">
        <is>
          <t>AL</t>
        </is>
      </c>
      <c r="AD1720" t="n">
        <v>30.45</v>
      </c>
      <c r="AE1720" t="n">
        <v>46</v>
      </c>
      <c r="AF1720" t="n">
        <v>19.7</v>
      </c>
      <c r="AG1720" t="inlineStr">
        <is>
          <t>1:19.7</t>
        </is>
      </c>
      <c r="AH1720" t="inlineStr">
        <is>
          <t>1%</t>
        </is>
      </c>
      <c r="AI1720" t="inlineStr"/>
      <c r="AJ1720" t="n">
        <v>21.25</v>
      </c>
    </row>
    <row r="1721">
      <c r="A1721" t="inlineStr">
        <is>
          <t>Université du Québec</t>
        </is>
      </c>
      <c r="B1721" t="inlineStr">
        <is>
          <t>Canada</t>
        </is>
      </c>
      <c r="C1721" t="inlineStr">
        <is>
          <t>851-900</t>
        </is>
      </c>
      <c r="D1721" t="inlineStr"/>
      <c r="E1721" t="n">
        <v>15.3</v>
      </c>
      <c r="F1721" t="n">
        <v>7.6</v>
      </c>
      <c r="G1721" t="n">
        <v>1.8</v>
      </c>
      <c r="H1721" t="n">
        <v>10.9</v>
      </c>
      <c r="I1721" t="n">
        <v>32.9</v>
      </c>
      <c r="J1721" t="n">
        <v>11</v>
      </c>
      <c r="K1721" t="n">
        <v>62.6</v>
      </c>
      <c r="L1721" t="n">
        <v>21.6</v>
      </c>
      <c r="M1721" t="n">
        <v>9.9</v>
      </c>
      <c r="N1721" t="inlineStr">
        <is>
          <t>401–500</t>
        </is>
      </c>
      <c r="O1721" t="inlineStr">
        <is>
          <t>45.4–49.0</t>
        </is>
      </c>
      <c r="P1721" t="n">
        <v>33.7</v>
      </c>
      <c r="Q1721" t="n">
        <v>33.8</v>
      </c>
      <c r="R1721" t="n">
        <v>57.2</v>
      </c>
      <c r="S1721" t="n">
        <v>71.5</v>
      </c>
      <c r="T1721" t="n">
        <v>74.3</v>
      </c>
      <c r="U1721" t="inlineStr">
        <is>
          <t>51,748</t>
        </is>
      </c>
      <c r="V1721" t="n">
        <v>18.4</v>
      </c>
      <c r="W1721" t="inlineStr">
        <is>
          <t>11%</t>
        </is>
      </c>
      <c r="X1721" t="inlineStr">
        <is>
          <t>58 : 42</t>
        </is>
      </c>
      <c r="Y1721" t="n">
        <v>851</v>
      </c>
      <c r="Z1721" t="n">
        <v>401</v>
      </c>
      <c r="AA1721" t="n">
        <v>47.2</v>
      </c>
      <c r="AB1721" t="inlineStr">
        <is>
          <t>U1720</t>
        </is>
      </c>
      <c r="AC1721" t="inlineStr">
        <is>
          <t>CA</t>
        </is>
      </c>
      <c r="AD1721" t="n">
        <v>47.2</v>
      </c>
      <c r="AE1721" t="n">
        <v>10.9</v>
      </c>
      <c r="AF1721" t="n">
        <v>18.4</v>
      </c>
      <c r="AG1721" t="inlineStr">
        <is>
          <t>1:18.4</t>
        </is>
      </c>
      <c r="AH1721" t="inlineStr">
        <is>
          <t>11%</t>
        </is>
      </c>
      <c r="AI1721" t="n">
        <v>15.3</v>
      </c>
      <c r="AJ1721" t="n">
        <v>32.38</v>
      </c>
    </row>
    <row r="1722">
      <c r="A1722" t="inlineStr">
        <is>
          <t>Université Frères Mentouri Constantine 1</t>
        </is>
      </c>
      <c r="B1722" t="inlineStr">
        <is>
          <t>Algeria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>
        <is>
          <t>1501+</t>
        </is>
      </c>
      <c r="O1722" t="inlineStr">
        <is>
          <t>9.7–22.7</t>
        </is>
      </c>
      <c r="P1722" t="n">
        <v>20.2</v>
      </c>
      <c r="Q1722" t="n">
        <v>8.1</v>
      </c>
      <c r="R1722" t="n">
        <v>13.5</v>
      </c>
      <c r="S1722" t="n">
        <v>18.2</v>
      </c>
      <c r="T1722" t="n">
        <v>38.3</v>
      </c>
      <c r="U1722" t="inlineStr">
        <is>
          <t>32,394</t>
        </is>
      </c>
      <c r="V1722" t="n">
        <v>16.2</v>
      </c>
      <c r="W1722" t="inlineStr">
        <is>
          <t>1%</t>
        </is>
      </c>
      <c r="X1722" t="inlineStr">
        <is>
          <t>65 : 35</t>
        </is>
      </c>
      <c r="Y1722" t="inlineStr"/>
      <c r="Z1722" t="n">
        <v>1501</v>
      </c>
      <c r="AA1722" t="n">
        <v>16.2</v>
      </c>
      <c r="AB1722" t="inlineStr">
        <is>
          <t>U1721</t>
        </is>
      </c>
      <c r="AC1722" t="inlineStr">
        <is>
          <t>AL</t>
        </is>
      </c>
      <c r="AD1722" t="n">
        <v>16.2</v>
      </c>
      <c r="AE1722" t="n">
        <v>13.5</v>
      </c>
      <c r="AF1722" t="n">
        <v>16.2</v>
      </c>
      <c r="AG1722" t="inlineStr">
        <is>
          <t>1:16.2</t>
        </is>
      </c>
      <c r="AH1722" t="inlineStr">
        <is>
          <t>1%</t>
        </is>
      </c>
      <c r="AI1722" t="inlineStr"/>
      <c r="AJ1722" t="n">
        <v>10.99</v>
      </c>
    </row>
    <row r="1723">
      <c r="A1723" t="inlineStr">
        <is>
          <t>Université Grenoble Alpes</t>
        </is>
      </c>
      <c r="B1723" t="inlineStr">
        <is>
          <t>France</t>
        </is>
      </c>
      <c r="C1723" t="inlineStr">
        <is>
          <t>334</t>
        </is>
      </c>
      <c r="D1723" t="n">
        <v>33.5</v>
      </c>
      <c r="E1723" t="n">
        <v>44.7</v>
      </c>
      <c r="F1723" t="n">
        <v>14.3</v>
      </c>
      <c r="G1723" t="n">
        <v>7.9</v>
      </c>
      <c r="H1723" t="n">
        <v>41.7</v>
      </c>
      <c r="I1723" t="n">
        <v>20.2</v>
      </c>
      <c r="J1723" t="n">
        <v>35.1</v>
      </c>
      <c r="K1723" t="n">
        <v>94.90000000000001</v>
      </c>
      <c r="L1723" t="n">
        <v>20.7</v>
      </c>
      <c r="M1723" t="n">
        <v>21.5</v>
      </c>
      <c r="N1723" t="inlineStr">
        <is>
          <t>301–350</t>
        </is>
      </c>
      <c r="O1723" t="inlineStr">
        <is>
          <t>51.1–53.0</t>
        </is>
      </c>
      <c r="P1723" t="n">
        <v>42.2</v>
      </c>
      <c r="Q1723" t="n">
        <v>37.9</v>
      </c>
      <c r="R1723" t="n">
        <v>66.90000000000001</v>
      </c>
      <c r="S1723" t="n">
        <v>69.09999999999999</v>
      </c>
      <c r="T1723" t="n">
        <v>71.59999999999999</v>
      </c>
      <c r="U1723" t="inlineStr">
        <is>
          <t>51,244</t>
        </is>
      </c>
      <c r="V1723" t="n">
        <v>18.4</v>
      </c>
      <c r="W1723" t="inlineStr">
        <is>
          <t>17%</t>
        </is>
      </c>
      <c r="X1723" t="inlineStr">
        <is>
          <t>53 : 47</t>
        </is>
      </c>
      <c r="Y1723" t="n">
        <v>334</v>
      </c>
      <c r="Z1723" t="n">
        <v>301</v>
      </c>
      <c r="AA1723" t="n">
        <v>52.05</v>
      </c>
      <c r="AB1723" t="inlineStr">
        <is>
          <t>U1722</t>
        </is>
      </c>
      <c r="AC1723" t="inlineStr">
        <is>
          <t>FR</t>
        </is>
      </c>
      <c r="AD1723" t="n">
        <v>33.5</v>
      </c>
      <c r="AE1723" t="n">
        <v>41.7</v>
      </c>
      <c r="AF1723" t="n">
        <v>18.4</v>
      </c>
      <c r="AG1723" t="inlineStr">
        <is>
          <t>1:18.4</t>
        </is>
      </c>
      <c r="AH1723" t="inlineStr">
        <is>
          <t>17%</t>
        </is>
      </c>
      <c r="AI1723" t="n">
        <v>44.7</v>
      </c>
      <c r="AJ1723" t="n">
        <v>43.21</v>
      </c>
    </row>
    <row r="1724">
      <c r="A1724" t="inlineStr">
        <is>
          <t>Université Hassan 1er</t>
        </is>
      </c>
      <c r="B1724" t="inlineStr">
        <is>
          <t>Morocco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>
        <is>
          <t>1501+</t>
        </is>
      </c>
      <c r="O1724" t="inlineStr">
        <is>
          <t>9.7–22.7</t>
        </is>
      </c>
      <c r="P1724" t="n">
        <v>24.9</v>
      </c>
      <c r="Q1724" t="n">
        <v>10.3</v>
      </c>
      <c r="R1724" t="n">
        <v>19.2</v>
      </c>
      <c r="S1724" t="n">
        <v>16.6</v>
      </c>
      <c r="T1724" t="n">
        <v>23.6</v>
      </c>
      <c r="U1724" t="inlineStr">
        <is>
          <t>50,518</t>
        </is>
      </c>
      <c r="V1724" t="n">
        <v>88.2</v>
      </c>
      <c r="W1724" t="inlineStr">
        <is>
          <t>2%</t>
        </is>
      </c>
      <c r="X1724" t="inlineStr">
        <is>
          <t>48 : 52</t>
        </is>
      </c>
      <c r="Y1724" t="inlineStr"/>
      <c r="Z1724" t="n">
        <v>1501</v>
      </c>
      <c r="AA1724" t="n">
        <v>16.2</v>
      </c>
      <c r="AB1724" t="inlineStr">
        <is>
          <t>U1723</t>
        </is>
      </c>
      <c r="AC1724" t="inlineStr">
        <is>
          <t>MO</t>
        </is>
      </c>
      <c r="AD1724" t="n">
        <v>16.2</v>
      </c>
      <c r="AE1724" t="n">
        <v>19.2</v>
      </c>
      <c r="AF1724" t="n">
        <v>88.2</v>
      </c>
      <c r="AG1724" t="inlineStr">
        <is>
          <t>1:88.2</t>
        </is>
      </c>
      <c r="AH1724" t="inlineStr">
        <is>
          <t>2%</t>
        </is>
      </c>
      <c r="AI1724" t="inlineStr"/>
      <c r="AJ1724" t="n">
        <v>10.32</v>
      </c>
    </row>
    <row r="1725">
      <c r="A1725" t="inlineStr">
        <is>
          <t>Université Hassan II de Casablanca</t>
        </is>
      </c>
      <c r="B1725" t="inlineStr">
        <is>
          <t>Morocco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>
        <is>
          <t>1201–1500</t>
        </is>
      </c>
      <c r="O1725" t="inlineStr">
        <is>
          <t>22.8–28.2</t>
        </is>
      </c>
      <c r="P1725" t="n">
        <v>19.5</v>
      </c>
      <c r="Q1725" t="n">
        <v>9.199999999999999</v>
      </c>
      <c r="R1725" t="n">
        <v>39.9</v>
      </c>
      <c r="S1725" t="n">
        <v>24.6</v>
      </c>
      <c r="T1725" t="n">
        <v>28.2</v>
      </c>
      <c r="U1725" t="inlineStr">
        <is>
          <t>125,790</t>
        </is>
      </c>
      <c r="V1725" t="n">
        <v>35.7</v>
      </c>
      <c r="W1725" t="inlineStr">
        <is>
          <t>2%</t>
        </is>
      </c>
      <c r="X1725" t="inlineStr">
        <is>
          <t>54 : 46</t>
        </is>
      </c>
      <c r="Y1725" t="inlineStr"/>
      <c r="Z1725" t="n">
        <v>1201</v>
      </c>
      <c r="AA1725" t="n">
        <v>25.5</v>
      </c>
      <c r="AB1725" t="inlineStr">
        <is>
          <t>U1724</t>
        </is>
      </c>
      <c r="AC1725" t="inlineStr">
        <is>
          <t>MO</t>
        </is>
      </c>
      <c r="AD1725" t="n">
        <v>25.5</v>
      </c>
      <c r="AE1725" t="n">
        <v>39.9</v>
      </c>
      <c r="AF1725" t="n">
        <v>35.7</v>
      </c>
      <c r="AG1725" t="inlineStr">
        <is>
          <t>1:35.7</t>
        </is>
      </c>
      <c r="AH1725" t="inlineStr">
        <is>
          <t>2%</t>
        </is>
      </c>
      <c r="AI1725" t="inlineStr"/>
      <c r="AJ1725" t="n">
        <v>17.13</v>
      </c>
    </row>
    <row r="1726">
      <c r="A1726" t="inlineStr">
        <is>
          <t>Université Jean Moulin Lyon 3</t>
        </is>
      </c>
      <c r="B1726" t="inlineStr">
        <is>
          <t>France</t>
        </is>
      </c>
      <c r="C1726" t="inlineStr">
        <is>
          <t>1201-1400</t>
        </is>
      </c>
      <c r="D1726" t="inlineStr"/>
      <c r="E1726" t="n">
        <v>8.800000000000001</v>
      </c>
      <c r="F1726" t="n">
        <v>5.2</v>
      </c>
      <c r="G1726" t="n">
        <v>1.8</v>
      </c>
      <c r="H1726" t="n">
        <v>2.3</v>
      </c>
      <c r="I1726" t="n">
        <v>18.7</v>
      </c>
      <c r="J1726" t="n">
        <v>30.2</v>
      </c>
      <c r="K1726" t="n">
        <v>8.5</v>
      </c>
      <c r="L1726" t="n">
        <v>4.4</v>
      </c>
      <c r="M1726" t="n">
        <v>1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n">
        <v>1201</v>
      </c>
      <c r="Z1726" t="inlineStr"/>
      <c r="AA1726" t="inlineStr"/>
      <c r="AB1726" t="inlineStr">
        <is>
          <t>U1725</t>
        </is>
      </c>
      <c r="AC1726" t="inlineStr">
        <is>
          <t>FR</t>
        </is>
      </c>
      <c r="AD1726" t="inlineStr"/>
      <c r="AE1726" t="n">
        <v>2.3</v>
      </c>
      <c r="AF1726" t="inlineStr"/>
      <c r="AG1726" t="inlineStr"/>
      <c r="AH1726" t="inlineStr"/>
      <c r="AI1726" t="n">
        <v>8.800000000000001</v>
      </c>
      <c r="AJ1726" t="n">
        <v>14.09</v>
      </c>
    </row>
    <row r="1727">
      <c r="A1727" t="inlineStr">
        <is>
          <t>Université Kasdi Merbah Ouargla</t>
        </is>
      </c>
      <c r="B1727" t="inlineStr">
        <is>
          <t>Algeria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>
        <is>
          <t>1501+</t>
        </is>
      </c>
      <c r="O1727" t="inlineStr">
        <is>
          <t>9.7–22.7</t>
        </is>
      </c>
      <c r="P1727" t="n">
        <v>20</v>
      </c>
      <c r="Q1727" t="n">
        <v>8.6</v>
      </c>
      <c r="R1727" t="n">
        <v>16</v>
      </c>
      <c r="S1727" t="n">
        <v>17.3</v>
      </c>
      <c r="T1727" t="n">
        <v>29.4</v>
      </c>
      <c r="U1727" t="inlineStr">
        <is>
          <t>33,148</t>
        </is>
      </c>
      <c r="V1727" t="n">
        <v>26.4</v>
      </c>
      <c r="W1727" t="inlineStr">
        <is>
          <t>0%</t>
        </is>
      </c>
      <c r="X1727" t="inlineStr">
        <is>
          <t>57 : 43</t>
        </is>
      </c>
      <c r="Y1727" t="inlineStr"/>
      <c r="Z1727" t="n">
        <v>1501</v>
      </c>
      <c r="AA1727" t="n">
        <v>16.2</v>
      </c>
      <c r="AB1727" t="inlineStr">
        <is>
          <t>U1726</t>
        </is>
      </c>
      <c r="AC1727" t="inlineStr">
        <is>
          <t>AL</t>
        </is>
      </c>
      <c r="AD1727" t="n">
        <v>16.2</v>
      </c>
      <c r="AE1727" t="n">
        <v>16</v>
      </c>
      <c r="AF1727" t="n">
        <v>26.4</v>
      </c>
      <c r="AG1727" t="inlineStr">
        <is>
          <t>1:26.4</t>
        </is>
      </c>
      <c r="AH1727" t="inlineStr">
        <is>
          <t>0%</t>
        </is>
      </c>
      <c r="AI1727" t="inlineStr"/>
      <c r="AJ1727" t="n">
        <v>9.859999999999999</v>
      </c>
    </row>
    <row r="1728">
      <c r="A1728" t="inlineStr">
        <is>
          <t>Université Laval</t>
        </is>
      </c>
      <c r="B1728" t="inlineStr">
        <is>
          <t>Canada</t>
        </is>
      </c>
      <c r="C1728" t="inlineStr">
        <is>
          <t>423</t>
        </is>
      </c>
      <c r="D1728" t="n">
        <v>28.1</v>
      </c>
      <c r="E1728" t="n">
        <v>19.2</v>
      </c>
      <c r="F1728" t="n">
        <v>8.1</v>
      </c>
      <c r="G1728" t="n">
        <v>26</v>
      </c>
      <c r="H1728" t="n">
        <v>23.8</v>
      </c>
      <c r="I1728" t="n">
        <v>55.8</v>
      </c>
      <c r="J1728" t="n">
        <v>41.6</v>
      </c>
      <c r="K1728" t="n">
        <v>80.2</v>
      </c>
      <c r="L1728" t="n">
        <v>36.4</v>
      </c>
      <c r="M1728" t="n">
        <v>78.40000000000001</v>
      </c>
      <c r="N1728" t="inlineStr">
        <is>
          <t>251–300</t>
        </is>
      </c>
      <c r="O1728" t="inlineStr">
        <is>
          <t>53.1–55.8</t>
        </is>
      </c>
      <c r="P1728" t="n">
        <v>40.7</v>
      </c>
      <c r="Q1728" t="n">
        <v>38.7</v>
      </c>
      <c r="R1728" t="n">
        <v>73.7</v>
      </c>
      <c r="S1728" t="n">
        <v>94.2</v>
      </c>
      <c r="T1728" t="n">
        <v>76.2</v>
      </c>
      <c r="U1728" t="inlineStr">
        <is>
          <t>30,362</t>
        </is>
      </c>
      <c r="V1728" t="n">
        <v>17.9</v>
      </c>
      <c r="W1728" t="inlineStr">
        <is>
          <t>16%</t>
        </is>
      </c>
      <c r="X1728" t="inlineStr">
        <is>
          <t>58 : 42</t>
        </is>
      </c>
      <c r="Y1728" t="n">
        <v>423</v>
      </c>
      <c r="Z1728" t="n">
        <v>251</v>
      </c>
      <c r="AA1728" t="n">
        <v>54.45</v>
      </c>
      <c r="AB1728" t="inlineStr">
        <is>
          <t>U1727</t>
        </is>
      </c>
      <c r="AC1728" t="inlineStr">
        <is>
          <t>CA</t>
        </is>
      </c>
      <c r="AD1728" t="n">
        <v>28.1</v>
      </c>
      <c r="AE1728" t="n">
        <v>23.8</v>
      </c>
      <c r="AF1728" t="n">
        <v>17.9</v>
      </c>
      <c r="AG1728" t="inlineStr">
        <is>
          <t>1:17.9</t>
        </is>
      </c>
      <c r="AH1728" t="inlineStr">
        <is>
          <t>16%</t>
        </is>
      </c>
      <c r="AI1728" t="n">
        <v>19.2</v>
      </c>
      <c r="AJ1728" t="n">
        <v>39.32</v>
      </c>
    </row>
    <row r="1729">
      <c r="A1729" t="inlineStr">
        <is>
          <t>Université Libre de Bruxelles</t>
        </is>
      </c>
      <c r="B1729" t="inlineStr">
        <is>
          <t>Belgium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>
        <is>
          <t>201–250</t>
        </is>
      </c>
      <c r="O1729" t="inlineStr">
        <is>
          <t>55.9–58.6</t>
        </is>
      </c>
      <c r="P1729" t="n">
        <v>35.8</v>
      </c>
      <c r="Q1729" t="n">
        <v>45</v>
      </c>
      <c r="R1729" t="n">
        <v>83.5</v>
      </c>
      <c r="S1729" t="n">
        <v>76.40000000000001</v>
      </c>
      <c r="T1729" t="n">
        <v>89.59999999999999</v>
      </c>
      <c r="U1729" t="inlineStr">
        <is>
          <t>30,287</t>
        </is>
      </c>
      <c r="V1729" t="n">
        <v>51.7</v>
      </c>
      <c r="W1729" t="inlineStr">
        <is>
          <t>30%</t>
        </is>
      </c>
      <c r="X1729" t="inlineStr">
        <is>
          <t>58 : 42</t>
        </is>
      </c>
      <c r="Y1729" t="inlineStr"/>
      <c r="Z1729" t="n">
        <v>201</v>
      </c>
      <c r="AA1729" t="n">
        <v>57.25</v>
      </c>
      <c r="AB1729" t="inlineStr">
        <is>
          <t>U1728</t>
        </is>
      </c>
      <c r="AC1729" t="inlineStr">
        <is>
          <t>BE</t>
        </is>
      </c>
      <c r="AD1729" t="n">
        <v>57.25</v>
      </c>
      <c r="AE1729" t="n">
        <v>83.5</v>
      </c>
      <c r="AF1729" t="n">
        <v>51.7</v>
      </c>
      <c r="AG1729" t="inlineStr">
        <is>
          <t>1:51.7</t>
        </is>
      </c>
      <c r="AH1729" t="inlineStr">
        <is>
          <t>30%</t>
        </is>
      </c>
      <c r="AI1729" t="inlineStr"/>
      <c r="AJ1729" t="n">
        <v>63.95</v>
      </c>
    </row>
    <row r="1730">
      <c r="A1730" t="inlineStr">
        <is>
          <t>Université Lumière Lyon 2</t>
        </is>
      </c>
      <c r="B1730" t="inlineStr">
        <is>
          <t>France</t>
        </is>
      </c>
      <c r="C1730" t="inlineStr">
        <is>
          <t>1001-1200</t>
        </is>
      </c>
      <c r="D1730" t="inlineStr"/>
      <c r="E1730" t="n">
        <v>10.1</v>
      </c>
      <c r="F1730" t="n">
        <v>2.5</v>
      </c>
      <c r="G1730" t="n">
        <v>4.5</v>
      </c>
      <c r="H1730" t="n">
        <v>6.2</v>
      </c>
      <c r="I1730" t="n">
        <v>26.7</v>
      </c>
      <c r="J1730" t="n">
        <v>35.5</v>
      </c>
      <c r="K1730" t="n">
        <v>59.1</v>
      </c>
      <c r="L1730" t="n">
        <v>1.3</v>
      </c>
      <c r="M1730" t="n">
        <v>1.7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n">
        <v>1001</v>
      </c>
      <c r="Z1730" t="inlineStr"/>
      <c r="AA1730" t="inlineStr"/>
      <c r="AB1730" t="inlineStr">
        <is>
          <t>U1729</t>
        </is>
      </c>
      <c r="AC1730" t="inlineStr">
        <is>
          <t>FR</t>
        </is>
      </c>
      <c r="AD1730" t="inlineStr"/>
      <c r="AE1730" t="n">
        <v>6.2</v>
      </c>
      <c r="AF1730" t="inlineStr"/>
      <c r="AG1730" t="inlineStr"/>
      <c r="AH1730" t="inlineStr"/>
      <c r="AI1730" t="n">
        <v>10.1</v>
      </c>
      <c r="AJ1730" t="n">
        <v>15.27</v>
      </c>
    </row>
    <row r="1731">
      <c r="A1731" t="inlineStr">
        <is>
          <t>Université Mohammed Premier</t>
        </is>
      </c>
      <c r="B1731" t="inlineStr">
        <is>
          <t>Morocco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>
        <is>
          <t>1501+</t>
        </is>
      </c>
      <c r="O1731" t="inlineStr">
        <is>
          <t>9.7–22.7</t>
        </is>
      </c>
      <c r="P1731" t="n">
        <v>19.2</v>
      </c>
      <c r="Q1731" t="n">
        <v>9.9</v>
      </c>
      <c r="R1731" t="n">
        <v>33.6</v>
      </c>
      <c r="S1731" t="n">
        <v>16.4</v>
      </c>
      <c r="T1731" t="n">
        <v>35.1</v>
      </c>
      <c r="U1731" t="inlineStr">
        <is>
          <t>84,135</t>
        </is>
      </c>
      <c r="V1731" t="n">
        <v>82.09999999999999</v>
      </c>
      <c r="W1731" t="inlineStr">
        <is>
          <t>1%</t>
        </is>
      </c>
      <c r="X1731" t="inlineStr">
        <is>
          <t>48 : 52</t>
        </is>
      </c>
      <c r="Y1731" t="inlineStr"/>
      <c r="Z1731" t="n">
        <v>1501</v>
      </c>
      <c r="AA1731" t="n">
        <v>16.2</v>
      </c>
      <c r="AB1731" t="inlineStr">
        <is>
          <t>U1730</t>
        </is>
      </c>
      <c r="AC1731" t="inlineStr">
        <is>
          <t>MO</t>
        </is>
      </c>
      <c r="AD1731" t="n">
        <v>16.2</v>
      </c>
      <c r="AE1731" t="n">
        <v>33.6</v>
      </c>
      <c r="AF1731" t="n">
        <v>82.09999999999999</v>
      </c>
      <c r="AG1731" t="inlineStr">
        <is>
          <t>1:82.1</t>
        </is>
      </c>
      <c r="AH1731" t="inlineStr">
        <is>
          <t>1%</t>
        </is>
      </c>
      <c r="AI1731" t="inlineStr"/>
      <c r="AJ1731" t="n">
        <v>17.25</v>
      </c>
    </row>
    <row r="1732">
      <c r="A1732" t="inlineStr">
        <is>
          <t>Université Mohammed V de Rabat</t>
        </is>
      </c>
      <c r="B1732" t="inlineStr">
        <is>
          <t>Morocco</t>
        </is>
      </c>
      <c r="C1732" t="inlineStr">
        <is>
          <t>1001-1200</t>
        </is>
      </c>
      <c r="D1732" t="inlineStr"/>
      <c r="E1732" t="n">
        <v>3.7</v>
      </c>
      <c r="F1732" t="n">
        <v>3.3</v>
      </c>
      <c r="G1732" t="n">
        <v>1.5</v>
      </c>
      <c r="H1732" t="n">
        <v>4.5</v>
      </c>
      <c r="I1732" t="n">
        <v>3.8</v>
      </c>
      <c r="J1732" t="n">
        <v>2.6</v>
      </c>
      <c r="K1732" t="n">
        <v>77.7</v>
      </c>
      <c r="L1732" t="n">
        <v>70.09999999999999</v>
      </c>
      <c r="M1732" t="n">
        <v>2.9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n">
        <v>1001</v>
      </c>
      <c r="Z1732" t="inlineStr"/>
      <c r="AA1732" t="inlineStr"/>
      <c r="AB1732" t="inlineStr">
        <is>
          <t>U1731</t>
        </is>
      </c>
      <c r="AC1732" t="inlineStr">
        <is>
          <t>MO</t>
        </is>
      </c>
      <c r="AD1732" t="inlineStr"/>
      <c r="AE1732" t="n">
        <v>4.5</v>
      </c>
      <c r="AF1732" t="inlineStr"/>
      <c r="AG1732" t="inlineStr"/>
      <c r="AH1732" t="inlineStr"/>
      <c r="AI1732" t="n">
        <v>3.7</v>
      </c>
      <c r="AJ1732" t="n">
        <v>14.75</v>
      </c>
    </row>
    <row r="1733">
      <c r="A1733" t="inlineStr">
        <is>
          <t>Université Mouloud Mammeri de Tizi-Ouzou</t>
        </is>
      </c>
      <c r="B1733" t="inlineStr">
        <is>
          <t>Algeria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>
        <is>
          <t>1501+</t>
        </is>
      </c>
      <c r="O1733" t="inlineStr">
        <is>
          <t>9.7–22.7</t>
        </is>
      </c>
      <c r="P1733" t="n">
        <v>16.8</v>
      </c>
      <c r="Q1733" t="n">
        <v>7.6</v>
      </c>
      <c r="R1733" t="n">
        <v>6.6</v>
      </c>
      <c r="S1733" t="n">
        <v>17.2</v>
      </c>
      <c r="T1733" t="n">
        <v>45.4</v>
      </c>
      <c r="U1733" t="inlineStr">
        <is>
          <t>43,829</t>
        </is>
      </c>
      <c r="V1733" t="n">
        <v>20.8</v>
      </c>
      <c r="W1733" t="inlineStr">
        <is>
          <t>0%</t>
        </is>
      </c>
      <c r="X1733" t="inlineStr">
        <is>
          <t>61 : 39</t>
        </is>
      </c>
      <c r="Y1733" t="inlineStr"/>
      <c r="Z1733" t="n">
        <v>1501</v>
      </c>
      <c r="AA1733" t="n">
        <v>16.2</v>
      </c>
      <c r="AB1733" t="inlineStr">
        <is>
          <t>U1732</t>
        </is>
      </c>
      <c r="AC1733" t="inlineStr">
        <is>
          <t>AL</t>
        </is>
      </c>
      <c r="AD1733" t="n">
        <v>16.2</v>
      </c>
      <c r="AE1733" t="n">
        <v>6.6</v>
      </c>
      <c r="AF1733" t="n">
        <v>20.8</v>
      </c>
      <c r="AG1733" t="inlineStr">
        <is>
          <t>1:20.8</t>
        </is>
      </c>
      <c r="AH1733" t="inlineStr">
        <is>
          <t>0%</t>
        </is>
      </c>
      <c r="AI1733" t="inlineStr"/>
      <c r="AJ1733" t="n">
        <v>10.36</v>
      </c>
    </row>
    <row r="1734">
      <c r="A1734" t="inlineStr">
        <is>
          <t xml:space="preserve">Université Paris 1 Panthéon-Sorbonne </t>
        </is>
      </c>
      <c r="B1734" t="inlineStr">
        <is>
          <t>France</t>
        </is>
      </c>
      <c r="C1734" t="inlineStr">
        <is>
          <t>283</t>
        </is>
      </c>
      <c r="D1734" t="n">
        <v>37.5</v>
      </c>
      <c r="E1734" t="n">
        <v>65.59999999999999</v>
      </c>
      <c r="F1734" t="n">
        <v>33.3</v>
      </c>
      <c r="G1734" t="n">
        <v>4.6</v>
      </c>
      <c r="H1734" t="n">
        <v>2.9</v>
      </c>
      <c r="I1734" t="n">
        <v>34.3</v>
      </c>
      <c r="J1734" t="n">
        <v>46.5</v>
      </c>
      <c r="K1734" t="n">
        <v>70.3</v>
      </c>
      <c r="L1734" t="n">
        <v>74.8</v>
      </c>
      <c r="M1734" t="n">
        <v>23.7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n">
        <v>283</v>
      </c>
      <c r="Z1734" t="inlineStr"/>
      <c r="AA1734" t="inlineStr"/>
      <c r="AB1734" t="inlineStr">
        <is>
          <t>U1733</t>
        </is>
      </c>
      <c r="AC1734" t="inlineStr">
        <is>
          <t>FR</t>
        </is>
      </c>
      <c r="AD1734" t="n">
        <v>37.5</v>
      </c>
      <c r="AE1734" t="n">
        <v>2.9</v>
      </c>
      <c r="AF1734" t="inlineStr"/>
      <c r="AG1734" t="inlineStr"/>
      <c r="AH1734" t="inlineStr"/>
      <c r="AI1734" t="n">
        <v>65.59999999999999</v>
      </c>
      <c r="AJ1734" t="n">
        <v>14.27</v>
      </c>
    </row>
    <row r="1735">
      <c r="A1735" t="inlineStr">
        <is>
          <t>Université Paris Cité</t>
        </is>
      </c>
      <c r="B1735" t="inlineStr">
        <is>
          <t>France</t>
        </is>
      </c>
      <c r="C1735" t="inlineStr">
        <is>
          <t>302</t>
        </is>
      </c>
      <c r="D1735" t="n">
        <v>35.9</v>
      </c>
      <c r="E1735" t="n">
        <v>27.8</v>
      </c>
      <c r="F1735" t="n">
        <v>6.2</v>
      </c>
      <c r="G1735" t="n">
        <v>9.199999999999999</v>
      </c>
      <c r="H1735" t="n">
        <v>87</v>
      </c>
      <c r="I1735" t="n">
        <v>12</v>
      </c>
      <c r="J1735" t="n">
        <v>35.2</v>
      </c>
      <c r="K1735" t="n">
        <v>99.2</v>
      </c>
      <c r="L1735" t="n">
        <v>15.2</v>
      </c>
      <c r="M1735" t="n">
        <v>18.4</v>
      </c>
      <c r="N1735">
        <f>152</f>
        <v/>
      </c>
      <c r="O1735" t="inlineStr">
        <is>
          <t>61.9</t>
        </is>
      </c>
      <c r="P1735" t="n">
        <v>47.9</v>
      </c>
      <c r="Q1735" t="n">
        <v>42.7</v>
      </c>
      <c r="R1735" t="n">
        <v>90.59999999999999</v>
      </c>
      <c r="S1735" t="n">
        <v>68.3</v>
      </c>
      <c r="T1735" t="n">
        <v>73.2</v>
      </c>
      <c r="U1735" t="inlineStr">
        <is>
          <t>61,690</t>
        </is>
      </c>
      <c r="V1735" t="n">
        <v>16.9</v>
      </c>
      <c r="W1735" t="inlineStr">
        <is>
          <t>18%</t>
        </is>
      </c>
      <c r="X1735" t="inlineStr">
        <is>
          <t>66 : 34</t>
        </is>
      </c>
      <c r="Y1735" t="n">
        <v>302</v>
      </c>
      <c r="Z1735" t="n">
        <v>152</v>
      </c>
      <c r="AA1735" t="n">
        <v>61.9</v>
      </c>
      <c r="AB1735" t="inlineStr">
        <is>
          <t>U1734</t>
        </is>
      </c>
      <c r="AC1735" t="inlineStr">
        <is>
          <t>FR</t>
        </is>
      </c>
      <c r="AD1735" t="n">
        <v>35.9</v>
      </c>
      <c r="AE1735" t="n">
        <v>87</v>
      </c>
      <c r="AF1735" t="n">
        <v>16.9</v>
      </c>
      <c r="AG1735" t="inlineStr">
        <is>
          <t>1:16.9</t>
        </is>
      </c>
      <c r="AH1735" t="inlineStr">
        <is>
          <t>18%</t>
        </is>
      </c>
      <c r="AI1735" t="n">
        <v>27.8</v>
      </c>
      <c r="AJ1735" t="n">
        <v>59.84</v>
      </c>
    </row>
    <row r="1736">
      <c r="A1736" t="inlineStr">
        <is>
          <t>Université Paris-Nanterre</t>
        </is>
      </c>
      <c r="B1736" t="inlineStr">
        <is>
          <t>France</t>
        </is>
      </c>
      <c r="C1736" t="inlineStr">
        <is>
          <t>1001-1200</t>
        </is>
      </c>
      <c r="D1736" t="inlineStr"/>
      <c r="E1736" t="n">
        <v>11.4</v>
      </c>
      <c r="F1736" t="n">
        <v>2.6</v>
      </c>
      <c r="G1736" t="n">
        <v>3.3</v>
      </c>
      <c r="H1736" t="n">
        <v>2.5</v>
      </c>
      <c r="I1736" t="n">
        <v>8.6</v>
      </c>
      <c r="J1736" t="n">
        <v>1.4</v>
      </c>
      <c r="K1736" t="n">
        <v>56.9</v>
      </c>
      <c r="L1736" t="n">
        <v>29.1</v>
      </c>
      <c r="M1736" t="n">
        <v>1.6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n">
        <v>1001</v>
      </c>
      <c r="Z1736" t="inlineStr"/>
      <c r="AA1736" t="inlineStr"/>
      <c r="AB1736" t="inlineStr">
        <is>
          <t>U1735</t>
        </is>
      </c>
      <c r="AC1736" t="inlineStr">
        <is>
          <t>FR</t>
        </is>
      </c>
      <c r="AD1736" t="inlineStr"/>
      <c r="AE1736" t="n">
        <v>2.5</v>
      </c>
      <c r="AF1736" t="inlineStr"/>
      <c r="AG1736" t="inlineStr"/>
      <c r="AH1736" t="inlineStr"/>
      <c r="AI1736" t="n">
        <v>11.4</v>
      </c>
      <c r="AJ1736" t="n">
        <v>14.15</v>
      </c>
    </row>
    <row r="1737">
      <c r="A1737" t="inlineStr">
        <is>
          <t>Université Paris-Saclay</t>
        </is>
      </c>
      <c r="B1737" t="inlineStr">
        <is>
          <t>France</t>
        </is>
      </c>
      <c r="C1737" t="inlineStr">
        <is>
          <t>73</t>
        </is>
      </c>
      <c r="D1737" t="n">
        <v>67</v>
      </c>
      <c r="E1737" t="n">
        <v>60.7</v>
      </c>
      <c r="F1737" t="n">
        <v>99.09999999999999</v>
      </c>
      <c r="G1737" t="n">
        <v>99.8</v>
      </c>
      <c r="H1737" t="n">
        <v>35</v>
      </c>
      <c r="I1737" t="n">
        <v>35.7</v>
      </c>
      <c r="J1737" t="n">
        <v>58.6</v>
      </c>
      <c r="K1737" t="n">
        <v>98.59999999999999</v>
      </c>
      <c r="L1737" t="n">
        <v>70.8</v>
      </c>
      <c r="M1737" t="n">
        <v>72.59999999999999</v>
      </c>
      <c r="N1737" t="inlineStr">
        <is>
          <t>58</t>
        </is>
      </c>
      <c r="O1737" t="inlineStr">
        <is>
          <t>74.4</t>
        </is>
      </c>
      <c r="P1737" t="n">
        <v>70.90000000000001</v>
      </c>
      <c r="Q1737" t="n">
        <v>66.09999999999999</v>
      </c>
      <c r="R1737" t="n">
        <v>82.40000000000001</v>
      </c>
      <c r="S1737" t="n">
        <v>92.40000000000001</v>
      </c>
      <c r="T1737" t="n">
        <v>78.59999999999999</v>
      </c>
      <c r="U1737" t="inlineStr">
        <is>
          <t>31,662</t>
        </is>
      </c>
      <c r="V1737" t="n">
        <v>13</v>
      </c>
      <c r="W1737" t="inlineStr">
        <is>
          <t>24%</t>
        </is>
      </c>
      <c r="X1737" t="inlineStr">
        <is>
          <t>50 : 50</t>
        </is>
      </c>
      <c r="Y1737" t="n">
        <v>73</v>
      </c>
      <c r="Z1737" t="n">
        <v>58</v>
      </c>
      <c r="AA1737" t="n">
        <v>74.40000000000001</v>
      </c>
      <c r="AB1737" t="inlineStr">
        <is>
          <t>U1736</t>
        </is>
      </c>
      <c r="AC1737" t="inlineStr">
        <is>
          <t>FR</t>
        </is>
      </c>
      <c r="AD1737" t="n">
        <v>67</v>
      </c>
      <c r="AE1737" t="n">
        <v>35</v>
      </c>
      <c r="AF1737" t="n">
        <v>13</v>
      </c>
      <c r="AG1737" t="inlineStr">
        <is>
          <t>1:13.0</t>
        </is>
      </c>
      <c r="AH1737" t="inlineStr">
        <is>
          <t>24%</t>
        </is>
      </c>
      <c r="AI1737" t="n">
        <v>60.7</v>
      </c>
      <c r="AJ1737" t="n">
        <v>57.65</v>
      </c>
    </row>
    <row r="1738">
      <c r="A1738" t="inlineStr">
        <is>
          <t>Université Paul Sabatier Toulouse III</t>
        </is>
      </c>
      <c r="B1738" t="inlineStr">
        <is>
          <t>France</t>
        </is>
      </c>
      <c r="C1738" t="inlineStr">
        <is>
          <t>580</t>
        </is>
      </c>
      <c r="D1738" t="n">
        <v>21.3</v>
      </c>
      <c r="E1738" t="n">
        <v>17.7</v>
      </c>
      <c r="F1738" t="n">
        <v>3.4</v>
      </c>
      <c r="G1738" t="n">
        <v>38.5</v>
      </c>
      <c r="H1738" t="n">
        <v>28</v>
      </c>
      <c r="I1738" t="n">
        <v>5.1</v>
      </c>
      <c r="J1738" t="n">
        <v>21.5</v>
      </c>
      <c r="K1738" t="n">
        <v>98.5</v>
      </c>
      <c r="L1738" t="n">
        <v>6</v>
      </c>
      <c r="M1738" t="n">
        <v>10.3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n">
        <v>580</v>
      </c>
      <c r="Z1738" t="inlineStr"/>
      <c r="AA1738" t="inlineStr"/>
      <c r="AB1738" t="inlineStr">
        <is>
          <t>U1737</t>
        </is>
      </c>
      <c r="AC1738" t="inlineStr">
        <is>
          <t>FR</t>
        </is>
      </c>
      <c r="AD1738" t="n">
        <v>21.3</v>
      </c>
      <c r="AE1738" t="n">
        <v>28</v>
      </c>
      <c r="AF1738" t="inlineStr"/>
      <c r="AG1738" t="inlineStr"/>
      <c r="AH1738" t="inlineStr"/>
      <c r="AI1738" t="n">
        <v>17.7</v>
      </c>
      <c r="AJ1738" t="n">
        <v>21.87</v>
      </c>
    </row>
    <row r="1739">
      <c r="A1739" t="inlineStr">
        <is>
          <t>Université Polytechnique Hauts-de-France</t>
        </is>
      </c>
      <c r="B1739" t="inlineStr">
        <is>
          <t>France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>
        <is>
          <t>1201–1500</t>
        </is>
      </c>
      <c r="O1739" t="inlineStr">
        <is>
          <t>22.8–28.2</t>
        </is>
      </c>
      <c r="P1739" t="n">
        <v>15.8</v>
      </c>
      <c r="Q1739" t="n">
        <v>8.699999999999999</v>
      </c>
      <c r="R1739" t="n">
        <v>36.6</v>
      </c>
      <c r="S1739" t="n">
        <v>57.8</v>
      </c>
      <c r="T1739" t="n">
        <v>70.3</v>
      </c>
      <c r="U1739" t="inlineStr">
        <is>
          <t>13,422</t>
        </is>
      </c>
      <c r="V1739" t="n">
        <v>27.9</v>
      </c>
      <c r="W1739" t="inlineStr">
        <is>
          <t>12%</t>
        </is>
      </c>
      <c r="X1739" t="inlineStr">
        <is>
          <t>47 : 53</t>
        </is>
      </c>
      <c r="Y1739" t="inlineStr"/>
      <c r="Z1739" t="n">
        <v>1201</v>
      </c>
      <c r="AA1739" t="n">
        <v>25.5</v>
      </c>
      <c r="AB1739" t="inlineStr">
        <is>
          <t>U1738</t>
        </is>
      </c>
      <c r="AC1739" t="inlineStr">
        <is>
          <t>FR</t>
        </is>
      </c>
      <c r="AD1739" t="n">
        <v>25.5</v>
      </c>
      <c r="AE1739" t="n">
        <v>36.6</v>
      </c>
      <c r="AF1739" t="n">
        <v>27.9</v>
      </c>
      <c r="AG1739" t="inlineStr">
        <is>
          <t>1:27.9</t>
        </is>
      </c>
      <c r="AH1739" t="inlineStr">
        <is>
          <t>12%</t>
        </is>
      </c>
      <c r="AI1739" t="inlineStr"/>
      <c r="AJ1739" t="n">
        <v>26.04</v>
      </c>
    </row>
    <row r="1740">
      <c r="A1740" t="inlineStr">
        <is>
          <t>Université PSL</t>
        </is>
      </c>
      <c r="B1740" t="inlineStr">
        <is>
          <t>France</t>
        </is>
      </c>
      <c r="C1740" t="inlineStr">
        <is>
          <t>24</t>
        </is>
      </c>
      <c r="D1740" t="n">
        <v>84.7</v>
      </c>
      <c r="E1740" t="n">
        <v>74.40000000000001</v>
      </c>
      <c r="F1740" t="n">
        <v>97.59999999999999</v>
      </c>
      <c r="G1740" t="n">
        <v>98.09999999999999</v>
      </c>
      <c r="H1740" t="n">
        <v>87.59999999999999</v>
      </c>
      <c r="I1740" t="n">
        <v>62.3</v>
      </c>
      <c r="J1740" t="n">
        <v>65</v>
      </c>
      <c r="K1740" t="n">
        <v>99.8</v>
      </c>
      <c r="L1740" t="n">
        <v>97.09999999999999</v>
      </c>
      <c r="M1740" t="n">
        <v>73.40000000000001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n">
        <v>24</v>
      </c>
      <c r="Z1740" t="inlineStr"/>
      <c r="AA1740" t="inlineStr"/>
      <c r="AB1740" t="inlineStr">
        <is>
          <t>U1739</t>
        </is>
      </c>
      <c r="AC1740" t="inlineStr">
        <is>
          <t>FR</t>
        </is>
      </c>
      <c r="AD1740" t="n">
        <v>84.7</v>
      </c>
      <c r="AE1740" t="n">
        <v>87.59999999999999</v>
      </c>
      <c r="AF1740" t="inlineStr"/>
      <c r="AG1740" t="inlineStr"/>
      <c r="AH1740" t="inlineStr"/>
      <c r="AI1740" t="n">
        <v>74.40000000000001</v>
      </c>
      <c r="AJ1740" t="n">
        <v>39.93</v>
      </c>
    </row>
    <row r="1741">
      <c r="A1741" t="inlineStr">
        <is>
          <t>Université Saint-Joseph de Beyrouth</t>
        </is>
      </c>
      <c r="B1741" t="inlineStr">
        <is>
          <t>Lebanon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>
        <is>
          <t>1201–1500</t>
        </is>
      </c>
      <c r="O1741" t="inlineStr">
        <is>
          <t>22.8–28.2</t>
        </is>
      </c>
      <c r="P1741" t="n">
        <v>32.6</v>
      </c>
      <c r="Q1741" t="n">
        <v>10.9</v>
      </c>
      <c r="R1741" t="n">
        <v>24.2</v>
      </c>
      <c r="S1741" t="n">
        <v>27</v>
      </c>
      <c r="T1741" t="n">
        <v>69.7</v>
      </c>
      <c r="U1741" t="inlineStr">
        <is>
          <t>7,941</t>
        </is>
      </c>
      <c r="V1741" t="n">
        <v>10.9</v>
      </c>
      <c r="W1741" t="inlineStr">
        <is>
          <t>7%</t>
        </is>
      </c>
      <c r="X1741" t="inlineStr">
        <is>
          <t>61 : 39</t>
        </is>
      </c>
      <c r="Y1741" t="inlineStr"/>
      <c r="Z1741" t="n">
        <v>1201</v>
      </c>
      <c r="AA1741" t="n">
        <v>25.5</v>
      </c>
      <c r="AB1741" t="inlineStr">
        <is>
          <t>U1740</t>
        </is>
      </c>
      <c r="AC1741" t="inlineStr">
        <is>
          <t>LE</t>
        </is>
      </c>
      <c r="AD1741" t="n">
        <v>25.5</v>
      </c>
      <c r="AE1741" t="n">
        <v>24.2</v>
      </c>
      <c r="AF1741" t="n">
        <v>10.9</v>
      </c>
      <c r="AG1741" t="inlineStr">
        <is>
          <t>1:10.9</t>
        </is>
      </c>
      <c r="AH1741" t="inlineStr">
        <is>
          <t>7%</t>
        </is>
      </c>
      <c r="AI1741" t="inlineStr"/>
      <c r="AJ1741" t="n">
        <v>23.29</v>
      </c>
    </row>
    <row r="1742">
      <c r="A1742" t="inlineStr">
        <is>
          <t>Université Sorbonne Nouvelle</t>
        </is>
      </c>
      <c r="B1742" t="inlineStr">
        <is>
          <t>France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>
        <is>
          <t>1201–1500</t>
        </is>
      </c>
      <c r="O1742" t="inlineStr">
        <is>
          <t>22.8–28.2</t>
        </is>
      </c>
      <c r="P1742" t="n">
        <v>25.7</v>
      </c>
      <c r="Q1742" t="n">
        <v>15.3</v>
      </c>
      <c r="R1742" t="n">
        <v>20.8</v>
      </c>
      <c r="S1742" t="n">
        <v>15.6</v>
      </c>
      <c r="T1742" t="n">
        <v>70</v>
      </c>
      <c r="U1742" t="inlineStr">
        <is>
          <t>16,357</t>
        </is>
      </c>
      <c r="V1742" t="n">
        <v>23.7</v>
      </c>
      <c r="W1742" t="inlineStr">
        <is>
          <t>26%</t>
        </is>
      </c>
      <c r="X1742" t="inlineStr">
        <is>
          <t>77 : 23</t>
        </is>
      </c>
      <c r="Y1742" t="inlineStr"/>
      <c r="Z1742" t="n">
        <v>1201</v>
      </c>
      <c r="AA1742" t="n">
        <v>25.5</v>
      </c>
      <c r="AB1742" t="inlineStr">
        <is>
          <t>U1741</t>
        </is>
      </c>
      <c r="AC1742" t="inlineStr">
        <is>
          <t>FR</t>
        </is>
      </c>
      <c r="AD1742" t="n">
        <v>25.5</v>
      </c>
      <c r="AE1742" t="n">
        <v>20.8</v>
      </c>
      <c r="AF1742" t="n">
        <v>23.7</v>
      </c>
      <c r="AG1742" t="inlineStr">
        <is>
          <t>1:23.7</t>
        </is>
      </c>
      <c r="AH1742" t="inlineStr">
        <is>
          <t>26%</t>
        </is>
      </c>
      <c r="AI1742" t="inlineStr"/>
      <c r="AJ1742" t="n">
        <v>24.64</v>
      </c>
    </row>
    <row r="1743">
      <c r="A1743" t="inlineStr">
        <is>
          <t>Université Sorbonne Paris Nord</t>
        </is>
      </c>
      <c r="B1743" t="inlineStr">
        <is>
          <t>France</t>
        </is>
      </c>
      <c r="C1743" t="inlineStr">
        <is>
          <t>951-1000</t>
        </is>
      </c>
      <c r="D1743" t="inlineStr"/>
      <c r="E1743" t="n">
        <v>9.5</v>
      </c>
      <c r="F1743" t="n">
        <v>4.1</v>
      </c>
      <c r="G1743" t="n">
        <v>4.2</v>
      </c>
      <c r="H1743" t="n">
        <v>29.3</v>
      </c>
      <c r="I1743" t="inlineStr"/>
      <c r="J1743" t="inlineStr"/>
      <c r="K1743" t="n">
        <v>61</v>
      </c>
      <c r="L1743" t="n">
        <v>3.9</v>
      </c>
      <c r="M1743" t="n">
        <v>1.4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n">
        <v>951</v>
      </c>
      <c r="Z1743" t="inlineStr"/>
      <c r="AA1743" t="inlineStr"/>
      <c r="AB1743" t="inlineStr">
        <is>
          <t>U1742</t>
        </is>
      </c>
      <c r="AC1743" t="inlineStr">
        <is>
          <t>FR</t>
        </is>
      </c>
      <c r="AD1743" t="inlineStr"/>
      <c r="AE1743" t="n">
        <v>29.3</v>
      </c>
      <c r="AF1743" t="inlineStr"/>
      <c r="AG1743" t="inlineStr"/>
      <c r="AH1743" t="inlineStr"/>
      <c r="AI1743" t="n">
        <v>9.5</v>
      </c>
      <c r="AJ1743" t="n">
        <v>22.27</v>
      </c>
    </row>
    <row r="1744">
      <c r="A1744" t="inlineStr">
        <is>
          <t>Université Sultan Moulay Slimane</t>
        </is>
      </c>
      <c r="B1744" t="inlineStr">
        <is>
          <t>Morocco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>
        <is>
          <t>1501+</t>
        </is>
      </c>
      <c r="O1744" t="inlineStr">
        <is>
          <t>9.7–22.7</t>
        </is>
      </c>
      <c r="P1744" t="n">
        <v>11.8</v>
      </c>
      <c r="Q1744" t="n">
        <v>9.800000000000001</v>
      </c>
      <c r="R1744" t="n">
        <v>29.9</v>
      </c>
      <c r="S1744" t="n">
        <v>21.1</v>
      </c>
      <c r="T1744" t="n">
        <v>21.5</v>
      </c>
      <c r="U1744" t="inlineStr">
        <is>
          <t>38,741</t>
        </is>
      </c>
      <c r="V1744" t="n">
        <v>56.2</v>
      </c>
      <c r="W1744" t="inlineStr">
        <is>
          <t>0%</t>
        </is>
      </c>
      <c r="X1744" t="inlineStr">
        <is>
          <t>52 : 48</t>
        </is>
      </c>
      <c r="Y1744" t="inlineStr"/>
      <c r="Z1744" t="n">
        <v>1501</v>
      </c>
      <c r="AA1744" t="n">
        <v>16.2</v>
      </c>
      <c r="AB1744" t="inlineStr">
        <is>
          <t>U1743</t>
        </is>
      </c>
      <c r="AC1744" t="inlineStr">
        <is>
          <t>MO</t>
        </is>
      </c>
      <c r="AD1744" t="n">
        <v>16.2</v>
      </c>
      <c r="AE1744" t="n">
        <v>29.9</v>
      </c>
      <c r="AF1744" t="n">
        <v>56.2</v>
      </c>
      <c r="AG1744" t="inlineStr">
        <is>
          <t>1:56.2</t>
        </is>
      </c>
      <c r="AH1744" t="inlineStr">
        <is>
          <t>0%</t>
        </is>
      </c>
      <c r="AI1744" t="inlineStr"/>
      <c r="AJ1744" t="n">
        <v>12.79</v>
      </c>
    </row>
    <row r="1745">
      <c r="A1745" t="inlineStr">
        <is>
          <t>Universität Bremen</t>
        </is>
      </c>
      <c r="B1745" t="inlineStr">
        <is>
          <t>Germany</t>
        </is>
      </c>
      <c r="C1745" t="inlineStr">
        <is>
          <t>592</t>
        </is>
      </c>
      <c r="D1745" t="n">
        <v>21</v>
      </c>
      <c r="E1745" t="n">
        <v>18.5</v>
      </c>
      <c r="F1745" t="n">
        <v>7.7</v>
      </c>
      <c r="G1745" t="n">
        <v>13.1</v>
      </c>
      <c r="H1745" t="n">
        <v>24.4</v>
      </c>
      <c r="I1745" t="n">
        <v>46.9</v>
      </c>
      <c r="J1745" t="n">
        <v>26.4</v>
      </c>
      <c r="K1745" t="n">
        <v>89.09999999999999</v>
      </c>
      <c r="L1745" t="n">
        <v>1.8</v>
      </c>
      <c r="M1745" t="n">
        <v>19.9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n">
        <v>592</v>
      </c>
      <c r="Z1745" t="inlineStr"/>
      <c r="AA1745" t="inlineStr"/>
      <c r="AB1745" t="inlineStr">
        <is>
          <t>U1744</t>
        </is>
      </c>
      <c r="AC1745" t="inlineStr">
        <is>
          <t>GE</t>
        </is>
      </c>
      <c r="AD1745" t="n">
        <v>21</v>
      </c>
      <c r="AE1745" t="n">
        <v>24.4</v>
      </c>
      <c r="AF1745" t="inlineStr"/>
      <c r="AG1745" t="inlineStr"/>
      <c r="AH1745" t="inlineStr"/>
      <c r="AI1745" t="n">
        <v>18.5</v>
      </c>
      <c r="AJ1745" t="n">
        <v>20.78</v>
      </c>
    </row>
    <row r="1746">
      <c r="A1746" t="inlineStr">
        <is>
          <t>Universität des Saarlandes</t>
        </is>
      </c>
      <c r="B1746" t="inlineStr">
        <is>
          <t>Germany</t>
        </is>
      </c>
      <c r="C1746" t="inlineStr">
        <is>
          <t>601-610</t>
        </is>
      </c>
      <c r="D1746" t="inlineStr"/>
      <c r="E1746" t="n">
        <v>10.2</v>
      </c>
      <c r="F1746" t="n">
        <v>5</v>
      </c>
      <c r="G1746" t="n">
        <v>92.2</v>
      </c>
      <c r="H1746" t="n">
        <v>7</v>
      </c>
      <c r="I1746" t="n">
        <v>4.6</v>
      </c>
      <c r="J1746" t="n">
        <v>35.9</v>
      </c>
      <c r="K1746" t="n">
        <v>71.40000000000001</v>
      </c>
      <c r="L1746" t="n">
        <v>29</v>
      </c>
      <c r="M1746" t="n">
        <v>1.2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n">
        <v>601</v>
      </c>
      <c r="Z1746" t="inlineStr"/>
      <c r="AA1746" t="inlineStr"/>
      <c r="AB1746" t="inlineStr">
        <is>
          <t>U1745</t>
        </is>
      </c>
      <c r="AC1746" t="inlineStr">
        <is>
          <t>GE</t>
        </is>
      </c>
      <c r="AD1746" t="inlineStr"/>
      <c r="AE1746" t="n">
        <v>7</v>
      </c>
      <c r="AF1746" t="inlineStr"/>
      <c r="AG1746" t="inlineStr"/>
      <c r="AH1746" t="inlineStr"/>
      <c r="AI1746" t="n">
        <v>10.2</v>
      </c>
      <c r="AJ1746" t="n">
        <v>15.51</v>
      </c>
    </row>
    <row r="1747">
      <c r="A1747" t="inlineStr">
        <is>
          <t>Universität Duisburg-Essen</t>
        </is>
      </c>
      <c r="B1747" t="inlineStr">
        <is>
          <t>Germany</t>
        </is>
      </c>
      <c r="C1747" t="inlineStr">
        <is>
          <t>801-850</t>
        </is>
      </c>
      <c r="D1747" t="inlineStr"/>
      <c r="E1747" t="n">
        <v>11.3</v>
      </c>
      <c r="F1747" t="n">
        <v>4.2</v>
      </c>
      <c r="G1747" t="n">
        <v>13.2</v>
      </c>
      <c r="H1747" t="n">
        <v>11.2</v>
      </c>
      <c r="I1747" t="n">
        <v>35</v>
      </c>
      <c r="J1747" t="n">
        <v>39.4</v>
      </c>
      <c r="K1747" t="n">
        <v>81.40000000000001</v>
      </c>
      <c r="L1747" t="n">
        <v>12.2</v>
      </c>
      <c r="M1747" t="n">
        <v>5.9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n">
        <v>801</v>
      </c>
      <c r="Z1747" t="inlineStr"/>
      <c r="AA1747" t="inlineStr"/>
      <c r="AB1747" t="inlineStr">
        <is>
          <t>U1746</t>
        </is>
      </c>
      <c r="AC1747" t="inlineStr">
        <is>
          <t>GE</t>
        </is>
      </c>
      <c r="AD1747" t="inlineStr"/>
      <c r="AE1747" t="n">
        <v>11.2</v>
      </c>
      <c r="AF1747" t="inlineStr"/>
      <c r="AG1747" t="inlineStr"/>
      <c r="AH1747" t="inlineStr"/>
      <c r="AI1747" t="n">
        <v>11.3</v>
      </c>
      <c r="AJ1747" t="n">
        <v>16.78</v>
      </c>
    </row>
    <row r="1748">
      <c r="A1748" t="inlineStr">
        <is>
          <t>Universität Hamburg</t>
        </is>
      </c>
      <c r="B1748" t="inlineStr">
        <is>
          <t>Germany</t>
        </is>
      </c>
      <c r="C1748" t="inlineStr">
        <is>
          <t>191</t>
        </is>
      </c>
      <c r="D1748" t="n">
        <v>47.1</v>
      </c>
      <c r="E1748" t="n">
        <v>50.7</v>
      </c>
      <c r="F1748" t="n">
        <v>35.7</v>
      </c>
      <c r="G1748" t="n">
        <v>16.5</v>
      </c>
      <c r="H1748" t="n">
        <v>54.7</v>
      </c>
      <c r="I1748" t="n">
        <v>40.2</v>
      </c>
      <c r="J1748" t="n">
        <v>20.4</v>
      </c>
      <c r="K1748" t="n">
        <v>93.40000000000001</v>
      </c>
      <c r="L1748" t="n">
        <v>42.8</v>
      </c>
      <c r="M1748" t="n">
        <v>90.59999999999999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n">
        <v>191</v>
      </c>
      <c r="Z1748" t="inlineStr"/>
      <c r="AA1748" t="inlineStr"/>
      <c r="AB1748" t="inlineStr">
        <is>
          <t>U1747</t>
        </is>
      </c>
      <c r="AC1748" t="inlineStr">
        <is>
          <t>GE</t>
        </is>
      </c>
      <c r="AD1748" t="n">
        <v>47.1</v>
      </c>
      <c r="AE1748" t="n">
        <v>54.7</v>
      </c>
      <c r="AF1748" t="inlineStr"/>
      <c r="AG1748" t="inlineStr"/>
      <c r="AH1748" t="inlineStr"/>
      <c r="AI1748" t="n">
        <v>50.7</v>
      </c>
      <c r="AJ1748" t="n">
        <v>29.96</v>
      </c>
    </row>
    <row r="1749">
      <c r="A1749" t="inlineStr">
        <is>
          <t>Universität Heidelberg</t>
        </is>
      </c>
      <c r="B1749" t="inlineStr">
        <is>
          <t>Germany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>
        <is>
          <t>47</t>
        </is>
      </c>
      <c r="O1749" t="inlineStr">
        <is>
          <t>76.7</t>
        </is>
      </c>
      <c r="P1749" t="n">
        <v>67.7</v>
      </c>
      <c r="Q1749" t="n">
        <v>64.3</v>
      </c>
      <c r="R1749" t="n">
        <v>94.59999999999999</v>
      </c>
      <c r="S1749" t="n">
        <v>99.3</v>
      </c>
      <c r="T1749" t="n">
        <v>76.40000000000001</v>
      </c>
      <c r="U1749" t="inlineStr">
        <is>
          <t>19,315</t>
        </is>
      </c>
      <c r="V1749" t="n">
        <v>13.3</v>
      </c>
      <c r="W1749" t="inlineStr">
        <is>
          <t>20%</t>
        </is>
      </c>
      <c r="X1749" t="inlineStr">
        <is>
          <t>55 : 45</t>
        </is>
      </c>
      <c r="Y1749" t="inlineStr"/>
      <c r="Z1749" t="n">
        <v>47</v>
      </c>
      <c r="AA1749" t="n">
        <v>76.7</v>
      </c>
      <c r="AB1749" t="inlineStr">
        <is>
          <t>U1748</t>
        </is>
      </c>
      <c r="AC1749" t="inlineStr">
        <is>
          <t>GE</t>
        </is>
      </c>
      <c r="AD1749" t="n">
        <v>76.7</v>
      </c>
      <c r="AE1749" t="n">
        <v>94.59999999999999</v>
      </c>
      <c r="AF1749" t="n">
        <v>13.3</v>
      </c>
      <c r="AG1749" t="inlineStr">
        <is>
          <t>1:13.3</t>
        </is>
      </c>
      <c r="AH1749" t="inlineStr">
        <is>
          <t>20%</t>
        </is>
      </c>
      <c r="AI1749" t="inlineStr"/>
      <c r="AJ1749" t="n">
        <v>74.23999999999999</v>
      </c>
    </row>
    <row r="1750">
      <c r="A1750" t="inlineStr">
        <is>
          <t>Universität Innsbruck</t>
        </is>
      </c>
      <c r="B1750" t="inlineStr">
        <is>
          <t>Austria</t>
        </is>
      </c>
      <c r="C1750" t="inlineStr">
        <is>
          <t>309</t>
        </is>
      </c>
      <c r="D1750" t="n">
        <v>35.2</v>
      </c>
      <c r="E1750" t="n">
        <v>20.3</v>
      </c>
      <c r="F1750" t="n">
        <v>7.8</v>
      </c>
      <c r="G1750" t="n">
        <v>73.09999999999999</v>
      </c>
      <c r="H1750" t="n">
        <v>9.300000000000001</v>
      </c>
      <c r="I1750" t="n">
        <v>100</v>
      </c>
      <c r="J1750" t="n">
        <v>100</v>
      </c>
      <c r="K1750" t="n">
        <v>71.5</v>
      </c>
      <c r="L1750" t="n">
        <v>55.8</v>
      </c>
      <c r="M1750" t="n">
        <v>61.6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n">
        <v>309</v>
      </c>
      <c r="Z1750" t="inlineStr"/>
      <c r="AA1750" t="inlineStr"/>
      <c r="AB1750" t="inlineStr">
        <is>
          <t>U1749</t>
        </is>
      </c>
      <c r="AC1750" t="inlineStr">
        <is>
          <t>AU</t>
        </is>
      </c>
      <c r="AD1750" t="n">
        <v>35.2</v>
      </c>
      <c r="AE1750" t="n">
        <v>9.300000000000001</v>
      </c>
      <c r="AF1750" t="inlineStr"/>
      <c r="AG1750" t="inlineStr"/>
      <c r="AH1750" t="inlineStr"/>
      <c r="AI1750" t="n">
        <v>20.3</v>
      </c>
      <c r="AJ1750" t="n">
        <v>16.21</v>
      </c>
    </row>
    <row r="1751">
      <c r="A1751" t="inlineStr">
        <is>
          <t>Universität Jena</t>
        </is>
      </c>
      <c r="B1751" t="inlineStr">
        <is>
          <t>Germany</t>
        </is>
      </c>
      <c r="C1751" t="inlineStr">
        <is>
          <t>526</t>
        </is>
      </c>
      <c r="D1751" t="n">
        <v>23.3</v>
      </c>
      <c r="E1751" t="n">
        <v>17.2</v>
      </c>
      <c r="F1751" t="n">
        <v>5.7</v>
      </c>
      <c r="G1751" t="n">
        <v>99.90000000000001</v>
      </c>
      <c r="H1751" t="n">
        <v>8.800000000000001</v>
      </c>
      <c r="I1751" t="inlineStr"/>
      <c r="J1751" t="n">
        <v>20.2</v>
      </c>
      <c r="K1751" t="n">
        <v>94.7</v>
      </c>
      <c r="L1751" t="n">
        <v>3.9</v>
      </c>
      <c r="M1751" t="n">
        <v>13.1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n">
        <v>526</v>
      </c>
      <c r="Z1751" t="inlineStr"/>
      <c r="AA1751" t="inlineStr"/>
      <c r="AB1751" t="inlineStr">
        <is>
          <t>U1750</t>
        </is>
      </c>
      <c r="AC1751" t="inlineStr">
        <is>
          <t>GE</t>
        </is>
      </c>
      <c r="AD1751" t="n">
        <v>23.3</v>
      </c>
      <c r="AE1751" t="n">
        <v>8.800000000000001</v>
      </c>
      <c r="AF1751" t="inlineStr"/>
      <c r="AG1751" t="inlineStr"/>
      <c r="AH1751" t="inlineStr"/>
      <c r="AI1751" t="n">
        <v>17.2</v>
      </c>
      <c r="AJ1751" t="n">
        <v>16.06</v>
      </c>
    </row>
    <row r="1752">
      <c r="A1752" t="inlineStr">
        <is>
          <t>Universität Konstanz</t>
        </is>
      </c>
      <c r="B1752" t="inlineStr">
        <is>
          <t>Germany</t>
        </is>
      </c>
      <c r="C1752" t="inlineStr">
        <is>
          <t>466</t>
        </is>
      </c>
      <c r="D1752" t="n">
        <v>25.7</v>
      </c>
      <c r="E1752" t="n">
        <v>18.3</v>
      </c>
      <c r="F1752" t="n">
        <v>10.5</v>
      </c>
      <c r="G1752" t="n">
        <v>37.8</v>
      </c>
      <c r="H1752" t="n">
        <v>18.3</v>
      </c>
      <c r="I1752" t="n">
        <v>85.90000000000001</v>
      </c>
      <c r="J1752" t="n">
        <v>14.5</v>
      </c>
      <c r="K1752" t="n">
        <v>66.09999999999999</v>
      </c>
      <c r="L1752" t="n">
        <v>13.1</v>
      </c>
      <c r="M1752" t="n">
        <v>63.1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n">
        <v>466</v>
      </c>
      <c r="Z1752" t="inlineStr"/>
      <c r="AA1752" t="inlineStr"/>
      <c r="AB1752" t="inlineStr">
        <is>
          <t>U1751</t>
        </is>
      </c>
      <c r="AC1752" t="inlineStr">
        <is>
          <t>GE</t>
        </is>
      </c>
      <c r="AD1752" t="n">
        <v>25.7</v>
      </c>
      <c r="AE1752" t="n">
        <v>18.3</v>
      </c>
      <c r="AF1752" t="inlineStr"/>
      <c r="AG1752" t="inlineStr"/>
      <c r="AH1752" t="inlineStr"/>
      <c r="AI1752" t="n">
        <v>18.3</v>
      </c>
      <c r="AJ1752" t="n">
        <v>18.93</v>
      </c>
    </row>
    <row r="1753">
      <c r="A1753" t="inlineStr">
        <is>
          <t>Universität Leipzig</t>
        </is>
      </c>
      <c r="B1753" t="inlineStr">
        <is>
          <t>Germany</t>
        </is>
      </c>
      <c r="C1753" t="inlineStr">
        <is>
          <t>527</t>
        </is>
      </c>
      <c r="D1753" t="n">
        <v>23.2</v>
      </c>
      <c r="E1753" t="n">
        <v>23.5</v>
      </c>
      <c r="F1753" t="n">
        <v>9.699999999999999</v>
      </c>
      <c r="G1753" t="n">
        <v>74.8</v>
      </c>
      <c r="H1753" t="n">
        <v>8.4</v>
      </c>
      <c r="I1753" t="inlineStr"/>
      <c r="J1753" t="n">
        <v>14.2</v>
      </c>
      <c r="K1753" t="n">
        <v>84.3</v>
      </c>
      <c r="L1753" t="n">
        <v>10.5</v>
      </c>
      <c r="M1753" t="n">
        <v>21.3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n">
        <v>527</v>
      </c>
      <c r="Z1753" t="inlineStr"/>
      <c r="AA1753" t="inlineStr"/>
      <c r="AB1753" t="inlineStr">
        <is>
          <t>U1752</t>
        </is>
      </c>
      <c r="AC1753" t="inlineStr">
        <is>
          <t>GE</t>
        </is>
      </c>
      <c r="AD1753" t="n">
        <v>23.2</v>
      </c>
      <c r="AE1753" t="n">
        <v>8.4</v>
      </c>
      <c r="AF1753" t="inlineStr"/>
      <c r="AG1753" t="inlineStr"/>
      <c r="AH1753" t="inlineStr"/>
      <c r="AI1753" t="n">
        <v>23.5</v>
      </c>
      <c r="AJ1753" t="n">
        <v>15.93</v>
      </c>
    </row>
    <row r="1754">
      <c r="A1754" t="inlineStr">
        <is>
          <t>Universität Mannheim</t>
        </is>
      </c>
      <c r="B1754" t="inlineStr">
        <is>
          <t>Germany</t>
        </is>
      </c>
      <c r="C1754" t="inlineStr">
        <is>
          <t>487</t>
        </is>
      </c>
      <c r="D1754" t="n">
        <v>24.7</v>
      </c>
      <c r="E1754" t="n">
        <v>15.3</v>
      </c>
      <c r="F1754" t="n">
        <v>53.9</v>
      </c>
      <c r="G1754" t="n">
        <v>3</v>
      </c>
      <c r="H1754" t="n">
        <v>31</v>
      </c>
      <c r="I1754" t="n">
        <v>42.4</v>
      </c>
      <c r="J1754" t="n">
        <v>22.7</v>
      </c>
      <c r="K1754" t="n">
        <v>27.9</v>
      </c>
      <c r="L1754" t="n">
        <v>34.9</v>
      </c>
      <c r="M1754" t="n">
        <v>1.5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n">
        <v>487</v>
      </c>
      <c r="Z1754" t="inlineStr"/>
      <c r="AA1754" t="inlineStr"/>
      <c r="AB1754" t="inlineStr">
        <is>
          <t>U1753</t>
        </is>
      </c>
      <c r="AC1754" t="inlineStr">
        <is>
          <t>GE</t>
        </is>
      </c>
      <c r="AD1754" t="n">
        <v>24.7</v>
      </c>
      <c r="AE1754" t="n">
        <v>31</v>
      </c>
      <c r="AF1754" t="inlineStr"/>
      <c r="AG1754" t="inlineStr"/>
      <c r="AH1754" t="inlineStr"/>
      <c r="AI1754" t="n">
        <v>15.3</v>
      </c>
      <c r="AJ1754" t="n">
        <v>22.78</v>
      </c>
    </row>
    <row r="1755">
      <c r="A1755" t="inlineStr">
        <is>
          <t>Universität Potsdam</t>
        </is>
      </c>
      <c r="B1755" t="inlineStr">
        <is>
          <t>Germany</t>
        </is>
      </c>
      <c r="C1755" t="inlineStr">
        <is>
          <t>474</t>
        </is>
      </c>
      <c r="D1755" t="n">
        <v>25.2</v>
      </c>
      <c r="E1755" t="n">
        <v>15.8</v>
      </c>
      <c r="F1755" t="n">
        <v>3.4</v>
      </c>
      <c r="G1755" t="n">
        <v>18.6</v>
      </c>
      <c r="H1755" t="n">
        <v>36.5</v>
      </c>
      <c r="I1755" t="n">
        <v>51.8</v>
      </c>
      <c r="J1755" t="n">
        <v>21.2</v>
      </c>
      <c r="K1755" t="n">
        <v>92.90000000000001</v>
      </c>
      <c r="L1755" t="n">
        <v>1.3</v>
      </c>
      <c r="M1755" t="n">
        <v>67.09999999999999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n">
        <v>474</v>
      </c>
      <c r="Z1755" t="inlineStr"/>
      <c r="AA1755" t="inlineStr"/>
      <c r="AB1755" t="inlineStr">
        <is>
          <t>U1754</t>
        </is>
      </c>
      <c r="AC1755" t="inlineStr">
        <is>
          <t>GE</t>
        </is>
      </c>
      <c r="AD1755" t="n">
        <v>25.2</v>
      </c>
      <c r="AE1755" t="n">
        <v>36.5</v>
      </c>
      <c r="AF1755" t="inlineStr"/>
      <c r="AG1755" t="inlineStr"/>
      <c r="AH1755" t="inlineStr"/>
      <c r="AI1755" t="n">
        <v>15.8</v>
      </c>
      <c r="AJ1755" t="n">
        <v>24.45</v>
      </c>
    </row>
    <row r="1756">
      <c r="A1756" t="inlineStr">
        <is>
          <t>Universität Regensburg</t>
        </is>
      </c>
      <c r="B1756" t="inlineStr">
        <is>
          <t>Germany</t>
        </is>
      </c>
      <c r="C1756" t="inlineStr">
        <is>
          <t>741-750</t>
        </is>
      </c>
      <c r="D1756" t="inlineStr"/>
      <c r="E1756" t="n">
        <v>10.3</v>
      </c>
      <c r="F1756" t="n">
        <v>6</v>
      </c>
      <c r="G1756" t="n">
        <v>80</v>
      </c>
      <c r="H1756" t="n">
        <v>6.1</v>
      </c>
      <c r="I1756" t="inlineStr"/>
      <c r="J1756" t="n">
        <v>8.5</v>
      </c>
      <c r="K1756" t="n">
        <v>69.09999999999999</v>
      </c>
      <c r="L1756" t="n">
        <v>15.3</v>
      </c>
      <c r="M1756" t="n">
        <v>2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n">
        <v>741</v>
      </c>
      <c r="Z1756" t="inlineStr"/>
      <c r="AA1756" t="inlineStr"/>
      <c r="AB1756" t="inlineStr">
        <is>
          <t>U1755</t>
        </is>
      </c>
      <c r="AC1756" t="inlineStr">
        <is>
          <t>GE</t>
        </is>
      </c>
      <c r="AD1756" t="inlineStr"/>
      <c r="AE1756" t="n">
        <v>6.1</v>
      </c>
      <c r="AF1756" t="inlineStr"/>
      <c r="AG1756" t="inlineStr"/>
      <c r="AH1756" t="inlineStr"/>
      <c r="AI1756" t="n">
        <v>10.3</v>
      </c>
      <c r="AJ1756" t="n">
        <v>15.24</v>
      </c>
    </row>
    <row r="1757">
      <c r="A1757" t="inlineStr">
        <is>
          <t>Universität Rostock</t>
        </is>
      </c>
      <c r="B1757" t="inlineStr">
        <is>
          <t>Germany</t>
        </is>
      </c>
      <c r="C1757" t="inlineStr">
        <is>
          <t>801-850</t>
        </is>
      </c>
      <c r="D1757" t="inlineStr"/>
      <c r="E1757" t="n">
        <v>7.3</v>
      </c>
      <c r="F1757" t="n">
        <v>2.9</v>
      </c>
      <c r="G1757" t="n">
        <v>84.40000000000001</v>
      </c>
      <c r="H1757" t="n">
        <v>5.2</v>
      </c>
      <c r="I1757" t="inlineStr"/>
      <c r="J1757" t="n">
        <v>13.2</v>
      </c>
      <c r="K1757" t="n">
        <v>68.8</v>
      </c>
      <c r="L1757" t="n">
        <v>4.4</v>
      </c>
      <c r="M1757" t="n">
        <v>3.4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n">
        <v>801</v>
      </c>
      <c r="Z1757" t="inlineStr"/>
      <c r="AA1757" t="inlineStr"/>
      <c r="AB1757" t="inlineStr">
        <is>
          <t>U1756</t>
        </is>
      </c>
      <c r="AC1757" t="inlineStr">
        <is>
          <t>GE</t>
        </is>
      </c>
      <c r="AD1757" t="inlineStr"/>
      <c r="AE1757" t="n">
        <v>5.2</v>
      </c>
      <c r="AF1757" t="inlineStr"/>
      <c r="AG1757" t="inlineStr"/>
      <c r="AH1757" t="inlineStr"/>
      <c r="AI1757" t="n">
        <v>7.3</v>
      </c>
      <c r="AJ1757" t="n">
        <v>14.96</v>
      </c>
    </row>
    <row r="1758">
      <c r="A1758" t="inlineStr">
        <is>
          <t>Universität Siegen</t>
        </is>
      </c>
      <c r="B1758" t="inlineStr">
        <is>
          <t>Germany</t>
        </is>
      </c>
      <c r="C1758" t="inlineStr">
        <is>
          <t>1001-1200</t>
        </is>
      </c>
      <c r="D1758" t="inlineStr"/>
      <c r="E1758" t="n">
        <v>4.5</v>
      </c>
      <c r="F1758" t="n">
        <v>1.7</v>
      </c>
      <c r="G1758" t="n">
        <v>9.199999999999999</v>
      </c>
      <c r="H1758" t="n">
        <v>6.8</v>
      </c>
      <c r="I1758" t="n">
        <v>57.7</v>
      </c>
      <c r="J1758" t="n">
        <v>28</v>
      </c>
      <c r="K1758" t="n">
        <v>40</v>
      </c>
      <c r="L1758" t="n">
        <v>3.9</v>
      </c>
      <c r="M1758" t="n">
        <v>1.2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n">
        <v>1001</v>
      </c>
      <c r="Z1758" t="inlineStr"/>
      <c r="AA1758" t="inlineStr"/>
      <c r="AB1758" t="inlineStr">
        <is>
          <t>U1757</t>
        </is>
      </c>
      <c r="AC1758" t="inlineStr">
        <is>
          <t>GE</t>
        </is>
      </c>
      <c r="AD1758" t="inlineStr"/>
      <c r="AE1758" t="n">
        <v>6.8</v>
      </c>
      <c r="AF1758" t="inlineStr"/>
      <c r="AG1758" t="inlineStr"/>
      <c r="AH1758" t="inlineStr"/>
      <c r="AI1758" t="n">
        <v>4.5</v>
      </c>
      <c r="AJ1758" t="n">
        <v>15.45</v>
      </c>
    </row>
    <row r="1759">
      <c r="A1759" t="inlineStr">
        <is>
          <t>Universität Stuttgart</t>
        </is>
      </c>
      <c r="B1759" t="inlineStr">
        <is>
          <t>Germany</t>
        </is>
      </c>
      <c r="C1759" t="inlineStr">
        <is>
          <t>314</t>
        </is>
      </c>
      <c r="D1759" t="n">
        <v>34.9</v>
      </c>
      <c r="E1759" t="n">
        <v>23.1</v>
      </c>
      <c r="F1759" t="n">
        <v>33</v>
      </c>
      <c r="G1759" t="n">
        <v>6.8</v>
      </c>
      <c r="H1759" t="n">
        <v>55.2</v>
      </c>
      <c r="I1759" t="n">
        <v>36</v>
      </c>
      <c r="J1759" t="n">
        <v>46.8</v>
      </c>
      <c r="K1759" t="n">
        <v>70.40000000000001</v>
      </c>
      <c r="L1759" t="n">
        <v>21.7</v>
      </c>
      <c r="M1759" t="n">
        <v>65.3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n">
        <v>314</v>
      </c>
      <c r="Z1759" t="inlineStr"/>
      <c r="AA1759" t="inlineStr"/>
      <c r="AB1759" t="inlineStr">
        <is>
          <t>U1758</t>
        </is>
      </c>
      <c r="AC1759" t="inlineStr">
        <is>
          <t>GE</t>
        </is>
      </c>
      <c r="AD1759" t="n">
        <v>34.9</v>
      </c>
      <c r="AE1759" t="n">
        <v>55.2</v>
      </c>
      <c r="AF1759" t="inlineStr"/>
      <c r="AG1759" t="inlineStr"/>
      <c r="AH1759" t="inlineStr"/>
      <c r="AI1759" t="n">
        <v>23.1</v>
      </c>
      <c r="AJ1759" t="n">
        <v>30.12</v>
      </c>
    </row>
    <row r="1760">
      <c r="A1760" t="inlineStr">
        <is>
          <t>Université Toulouse 1 Capitole</t>
        </is>
      </c>
      <c r="B1760" t="inlineStr">
        <is>
          <t>France</t>
        </is>
      </c>
      <c r="C1760" t="inlineStr">
        <is>
          <t>951-1000</t>
        </is>
      </c>
      <c r="D1760" t="inlineStr"/>
      <c r="E1760" t="n">
        <v>13.4</v>
      </c>
      <c r="F1760" t="n">
        <v>4.6</v>
      </c>
      <c r="G1760" t="n">
        <v>1.7</v>
      </c>
      <c r="H1760" t="n">
        <v>6.2</v>
      </c>
      <c r="I1760" t="n">
        <v>25.5</v>
      </c>
      <c r="J1760" t="n">
        <v>50.2</v>
      </c>
      <c r="K1760" t="n">
        <v>52.6</v>
      </c>
      <c r="L1760" t="n">
        <v>6.1</v>
      </c>
      <c r="M1760" t="n">
        <v>1.8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n">
        <v>951</v>
      </c>
      <c r="Z1760" t="inlineStr"/>
      <c r="AA1760" t="inlineStr"/>
      <c r="AB1760" t="inlineStr">
        <is>
          <t>U1759</t>
        </is>
      </c>
      <c r="AC1760" t="inlineStr">
        <is>
          <t>FR</t>
        </is>
      </c>
      <c r="AD1760" t="inlineStr"/>
      <c r="AE1760" t="n">
        <v>6.2</v>
      </c>
      <c r="AF1760" t="inlineStr"/>
      <c r="AG1760" t="inlineStr"/>
      <c r="AH1760" t="inlineStr"/>
      <c r="AI1760" t="n">
        <v>13.4</v>
      </c>
      <c r="AJ1760" t="n">
        <v>15.27</v>
      </c>
    </row>
    <row r="1761">
      <c r="A1761" t="inlineStr">
        <is>
          <t>Università Vita-Salute San Raffaele</t>
        </is>
      </c>
      <c r="B1761" t="inlineStr">
        <is>
          <t>Italy</t>
        </is>
      </c>
      <c r="C1761" t="inlineStr">
        <is>
          <t>389</t>
        </is>
      </c>
      <c r="D1761" t="n">
        <v>30.1</v>
      </c>
      <c r="E1761" t="n">
        <v>3.3</v>
      </c>
      <c r="F1761" t="n">
        <v>1.8</v>
      </c>
      <c r="G1761" t="n">
        <v>94.40000000000001</v>
      </c>
      <c r="H1761" t="n">
        <v>88.5</v>
      </c>
      <c r="I1761" t="n">
        <v>4.4</v>
      </c>
      <c r="J1761" t="n">
        <v>4.3</v>
      </c>
      <c r="K1761" t="n">
        <v>39.2</v>
      </c>
      <c r="L1761" t="n">
        <v>2.1</v>
      </c>
      <c r="M1761" t="n">
        <v>1.2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n">
        <v>389</v>
      </c>
      <c r="Z1761" t="inlineStr"/>
      <c r="AA1761" t="inlineStr"/>
      <c r="AB1761" t="inlineStr">
        <is>
          <t>U1760</t>
        </is>
      </c>
      <c r="AC1761" t="inlineStr">
        <is>
          <t>IT</t>
        </is>
      </c>
      <c r="AD1761" t="n">
        <v>30.1</v>
      </c>
      <c r="AE1761" t="n">
        <v>88.5</v>
      </c>
      <c r="AF1761" t="inlineStr"/>
      <c r="AG1761" t="inlineStr"/>
      <c r="AH1761" t="inlineStr"/>
      <c r="AI1761" t="n">
        <v>3.3</v>
      </c>
      <c r="AJ1761" t="n">
        <v>40.21</v>
      </c>
    </row>
    <row r="1762">
      <c r="A1762" t="inlineStr">
        <is>
          <t>Universita' degli Studi di Ferrara</t>
        </is>
      </c>
      <c r="B1762" t="inlineStr">
        <is>
          <t>Italy</t>
        </is>
      </c>
      <c r="C1762" t="inlineStr">
        <is>
          <t>851-900</t>
        </is>
      </c>
      <c r="D1762" t="inlineStr"/>
      <c r="E1762" t="n">
        <v>6.7</v>
      </c>
      <c r="F1762" t="n">
        <v>2.6</v>
      </c>
      <c r="G1762" t="n">
        <v>2.6</v>
      </c>
      <c r="H1762" t="n">
        <v>34.6</v>
      </c>
      <c r="I1762" t="n">
        <v>2.9</v>
      </c>
      <c r="J1762" t="n">
        <v>3.6</v>
      </c>
      <c r="K1762" t="n">
        <v>70</v>
      </c>
      <c r="L1762" t="n">
        <v>4.1</v>
      </c>
      <c r="M1762" t="n">
        <v>27.3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n">
        <v>851</v>
      </c>
      <c r="Z1762" t="inlineStr"/>
      <c r="AA1762" t="inlineStr"/>
      <c r="AB1762" t="inlineStr">
        <is>
          <t>U1761</t>
        </is>
      </c>
      <c r="AC1762" t="inlineStr">
        <is>
          <t>IT</t>
        </is>
      </c>
      <c r="AD1762" t="inlineStr"/>
      <c r="AE1762" t="n">
        <v>34.6</v>
      </c>
      <c r="AF1762" t="inlineStr"/>
      <c r="AG1762" t="inlineStr"/>
      <c r="AH1762" t="inlineStr"/>
      <c r="AI1762" t="n">
        <v>6.7</v>
      </c>
      <c r="AJ1762" t="n">
        <v>23.87</v>
      </c>
    </row>
    <row r="1763">
      <c r="A1763" t="inlineStr">
        <is>
          <t>Universita' degli Studi "G. d'Annunzio" Chieti Pescara</t>
        </is>
      </c>
      <c r="B1763" t="inlineStr">
        <is>
          <t>Italy</t>
        </is>
      </c>
      <c r="C1763" t="inlineStr">
        <is>
          <t>1001-1200</t>
        </is>
      </c>
      <c r="D1763" t="inlineStr"/>
      <c r="E1763" t="n">
        <v>3.7</v>
      </c>
      <c r="F1763" t="n">
        <v>1.6</v>
      </c>
      <c r="G1763" t="n">
        <v>3.3</v>
      </c>
      <c r="H1763" t="n">
        <v>29.3</v>
      </c>
      <c r="I1763" t="n">
        <v>3.8</v>
      </c>
      <c r="J1763" t="n">
        <v>2.8</v>
      </c>
      <c r="K1763" t="n">
        <v>58.5</v>
      </c>
      <c r="L1763" t="n">
        <v>1.2</v>
      </c>
      <c r="M1763" t="n">
        <v>1.2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n">
        <v>1001</v>
      </c>
      <c r="Z1763" t="inlineStr"/>
      <c r="AA1763" t="inlineStr"/>
      <c r="AB1763" t="inlineStr">
        <is>
          <t>U1762</t>
        </is>
      </c>
      <c r="AC1763" t="inlineStr">
        <is>
          <t>IT</t>
        </is>
      </c>
      <c r="AD1763" t="inlineStr"/>
      <c r="AE1763" t="n">
        <v>29.3</v>
      </c>
      <c r="AF1763" t="inlineStr"/>
      <c r="AG1763" t="inlineStr"/>
      <c r="AH1763" t="inlineStr"/>
      <c r="AI1763" t="n">
        <v>3.7</v>
      </c>
      <c r="AJ1763" t="n">
        <v>22.27</v>
      </c>
    </row>
    <row r="1764">
      <c r="A1764" t="inlineStr">
        <is>
          <t>Universita' Politecnica delle Marche</t>
        </is>
      </c>
      <c r="B1764" t="inlineStr">
        <is>
          <t>Italy</t>
        </is>
      </c>
      <c r="C1764" t="inlineStr">
        <is>
          <t>751-760</t>
        </is>
      </c>
      <c r="D1764" t="inlineStr"/>
      <c r="E1764" t="n">
        <v>5.9</v>
      </c>
      <c r="F1764" t="n">
        <v>2.8</v>
      </c>
      <c r="G1764" t="n">
        <v>10.1</v>
      </c>
      <c r="H1764" t="n">
        <v>48.4</v>
      </c>
      <c r="I1764" t="n">
        <v>4.9</v>
      </c>
      <c r="J1764" t="n">
        <v>6.3</v>
      </c>
      <c r="K1764" t="n">
        <v>77.7</v>
      </c>
      <c r="L1764" t="n">
        <v>1.9</v>
      </c>
      <c r="M1764" t="n">
        <v>6.4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n">
        <v>751</v>
      </c>
      <c r="Z1764" t="inlineStr"/>
      <c r="AA1764" t="inlineStr"/>
      <c r="AB1764" t="inlineStr">
        <is>
          <t>U1763</t>
        </is>
      </c>
      <c r="AC1764" t="inlineStr">
        <is>
          <t>IT</t>
        </is>
      </c>
      <c r="AD1764" t="inlineStr"/>
      <c r="AE1764" t="n">
        <v>48.4</v>
      </c>
      <c r="AF1764" t="inlineStr"/>
      <c r="AG1764" t="inlineStr"/>
      <c r="AH1764" t="inlineStr"/>
      <c r="AI1764" t="n">
        <v>5.9</v>
      </c>
      <c r="AJ1764" t="n">
        <v>28.06</v>
      </c>
    </row>
    <row r="1765">
      <c r="A1765" t="inlineStr">
        <is>
          <t>Universitas Airlangga</t>
        </is>
      </c>
      <c r="B1765" t="inlineStr">
        <is>
          <t>Indonesia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>
        <is>
          <t>1201–1500</t>
        </is>
      </c>
      <c r="O1765" t="inlineStr">
        <is>
          <t>22.8–28.2</t>
        </is>
      </c>
      <c r="P1765" t="n">
        <v>28.6</v>
      </c>
      <c r="Q1765" t="n">
        <v>12.5</v>
      </c>
      <c r="R1765" t="n">
        <v>31.9</v>
      </c>
      <c r="S1765" t="n">
        <v>19.1</v>
      </c>
      <c r="T1765" t="n">
        <v>57.3</v>
      </c>
      <c r="U1765" t="inlineStr">
        <is>
          <t>28,816</t>
        </is>
      </c>
      <c r="V1765" t="n">
        <v>7.2</v>
      </c>
      <c r="W1765" t="inlineStr">
        <is>
          <t>3%</t>
        </is>
      </c>
      <c r="X1765" t="inlineStr">
        <is>
          <t>67 : 33</t>
        </is>
      </c>
      <c r="Y1765" t="inlineStr"/>
      <c r="Z1765" t="n">
        <v>1201</v>
      </c>
      <c r="AA1765" t="n">
        <v>25.5</v>
      </c>
      <c r="AB1765" t="inlineStr">
        <is>
          <t>U1764</t>
        </is>
      </c>
      <c r="AC1765" t="inlineStr">
        <is>
          <t>IN</t>
        </is>
      </c>
      <c r="AD1765" t="n">
        <v>25.5</v>
      </c>
      <c r="AE1765" t="n">
        <v>31.9</v>
      </c>
      <c r="AF1765" t="n">
        <v>7.2</v>
      </c>
      <c r="AG1765" t="inlineStr">
        <is>
          <t>1:7.2</t>
        </is>
      </c>
      <c r="AH1765" t="inlineStr">
        <is>
          <t>3%</t>
        </is>
      </c>
      <c r="AI1765" t="inlineStr"/>
      <c r="AJ1765" t="n">
        <v>23.47</v>
      </c>
    </row>
    <row r="1766">
      <c r="A1766" t="inlineStr">
        <is>
          <t>Universitas Andalas</t>
        </is>
      </c>
      <c r="B1766" t="inlineStr">
        <is>
          <t>Indonesia</t>
        </is>
      </c>
      <c r="C1766" t="inlineStr">
        <is>
          <t>1401+</t>
        </is>
      </c>
      <c r="D1766" t="inlineStr"/>
      <c r="E1766" t="n">
        <v>8.1</v>
      </c>
      <c r="F1766" t="n">
        <v>5.1</v>
      </c>
      <c r="G1766" t="n">
        <v>7</v>
      </c>
      <c r="H1766" t="n">
        <v>1.3</v>
      </c>
      <c r="I1766" t="n">
        <v>6.2</v>
      </c>
      <c r="J1766" t="n">
        <v>1.6</v>
      </c>
      <c r="K1766" t="n">
        <v>4.5</v>
      </c>
      <c r="L1766" t="n">
        <v>3.7</v>
      </c>
      <c r="M1766" t="n">
        <v>1</v>
      </c>
      <c r="N1766" t="inlineStr">
        <is>
          <t>1501+</t>
        </is>
      </c>
      <c r="O1766" t="inlineStr">
        <is>
          <t>9.7–22.7</t>
        </is>
      </c>
      <c r="P1766" t="n">
        <v>24.7</v>
      </c>
      <c r="Q1766" t="n">
        <v>12.7</v>
      </c>
      <c r="R1766" t="n">
        <v>16.5</v>
      </c>
      <c r="S1766" t="n">
        <v>36.1</v>
      </c>
      <c r="T1766" t="n">
        <v>33.2</v>
      </c>
      <c r="U1766" t="inlineStr">
        <is>
          <t>32,695</t>
        </is>
      </c>
      <c r="V1766" t="n">
        <v>22</v>
      </c>
      <c r="W1766" t="inlineStr">
        <is>
          <t>1%</t>
        </is>
      </c>
      <c r="X1766" t="inlineStr">
        <is>
          <t>58 : 42</t>
        </is>
      </c>
      <c r="Y1766" t="n">
        <v>1401</v>
      </c>
      <c r="Z1766" t="n">
        <v>1501</v>
      </c>
      <c r="AA1766" t="n">
        <v>16.2</v>
      </c>
      <c r="AB1766" t="inlineStr">
        <is>
          <t>U1765</t>
        </is>
      </c>
      <c r="AC1766" t="inlineStr">
        <is>
          <t>IN</t>
        </is>
      </c>
      <c r="AD1766" t="n">
        <v>16.2</v>
      </c>
      <c r="AE1766" t="n">
        <v>1.3</v>
      </c>
      <c r="AF1766" t="n">
        <v>22</v>
      </c>
      <c r="AG1766" t="inlineStr">
        <is>
          <t>1:22.0</t>
        </is>
      </c>
      <c r="AH1766" t="inlineStr">
        <is>
          <t>1%</t>
        </is>
      </c>
      <c r="AI1766" t="n">
        <v>8.1</v>
      </c>
      <c r="AJ1766" t="n">
        <v>8.470000000000001</v>
      </c>
    </row>
    <row r="1767">
      <c r="A1767" t="inlineStr">
        <is>
          <t xml:space="preserve">Universitas Brawijaya </t>
        </is>
      </c>
      <c r="B1767" t="inlineStr">
        <is>
          <t>Indonesia</t>
        </is>
      </c>
      <c r="C1767" t="inlineStr">
        <is>
          <t>801-850</t>
        </is>
      </c>
      <c r="D1767" t="inlineStr"/>
      <c r="E1767" t="n">
        <v>19.2</v>
      </c>
      <c r="F1767" t="n">
        <v>42.4</v>
      </c>
      <c r="G1767" t="n">
        <v>11.5</v>
      </c>
      <c r="H1767" t="n">
        <v>1.4</v>
      </c>
      <c r="I1767" t="n">
        <v>13.7</v>
      </c>
      <c r="J1767" t="n">
        <v>1.4</v>
      </c>
      <c r="K1767" t="n">
        <v>19.6</v>
      </c>
      <c r="L1767" t="n">
        <v>13.1</v>
      </c>
      <c r="M1767" t="n">
        <v>9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n">
        <v>801</v>
      </c>
      <c r="Z1767" t="inlineStr"/>
      <c r="AA1767" t="inlineStr"/>
      <c r="AB1767" t="inlineStr">
        <is>
          <t>U1766</t>
        </is>
      </c>
      <c r="AC1767" t="inlineStr">
        <is>
          <t>IN</t>
        </is>
      </c>
      <c r="AD1767" t="inlineStr"/>
      <c r="AE1767" t="n">
        <v>1.4</v>
      </c>
      <c r="AF1767" t="inlineStr"/>
      <c r="AG1767" t="inlineStr"/>
      <c r="AH1767" t="inlineStr"/>
      <c r="AI1767" t="n">
        <v>19.2</v>
      </c>
      <c r="AJ1767" t="n">
        <v>13.81</v>
      </c>
    </row>
    <row r="1768">
      <c r="A1768" t="inlineStr">
        <is>
          <t>Universitas Gadjah Mada</t>
        </is>
      </c>
      <c r="B1768" t="inlineStr">
        <is>
          <t>Indonesia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>
        <is>
          <t>1201–1500</t>
        </is>
      </c>
      <c r="O1768" t="inlineStr">
        <is>
          <t>22.8–28.2</t>
        </is>
      </c>
      <c r="P1768" t="n">
        <v>30.9</v>
      </c>
      <c r="Q1768" t="n">
        <v>19.8</v>
      </c>
      <c r="R1768" t="n">
        <v>21.7</v>
      </c>
      <c r="S1768" t="n">
        <v>52.8</v>
      </c>
      <c r="T1768" t="n">
        <v>45.8</v>
      </c>
      <c r="U1768" t="inlineStr">
        <is>
          <t>39,209</t>
        </is>
      </c>
      <c r="V1768" t="n">
        <v>8.199999999999999</v>
      </c>
      <c r="W1768" t="inlineStr">
        <is>
          <t>6%</t>
        </is>
      </c>
      <c r="X1768" t="inlineStr">
        <is>
          <t>56 : 44</t>
        </is>
      </c>
      <c r="Y1768" t="inlineStr"/>
      <c r="Z1768" t="n">
        <v>1201</v>
      </c>
      <c r="AA1768" t="n">
        <v>25.5</v>
      </c>
      <c r="AB1768" t="inlineStr">
        <is>
          <t>U1767</t>
        </is>
      </c>
      <c r="AC1768" t="inlineStr">
        <is>
          <t>IN</t>
        </is>
      </c>
      <c r="AD1768" t="n">
        <v>25.5</v>
      </c>
      <c r="AE1768" t="n">
        <v>21.7</v>
      </c>
      <c r="AF1768" t="n">
        <v>8.199999999999999</v>
      </c>
      <c r="AG1768" t="inlineStr">
        <is>
          <t>1:8.2</t>
        </is>
      </c>
      <c r="AH1768" t="inlineStr">
        <is>
          <t>6%</t>
        </is>
      </c>
      <c r="AI1768" t="inlineStr"/>
      <c r="AJ1768" t="n">
        <v>21.42</v>
      </c>
    </row>
    <row r="1769">
      <c r="A1769" t="inlineStr">
        <is>
          <t>Universitas Hasanuddin</t>
        </is>
      </c>
      <c r="B1769" t="inlineStr">
        <is>
          <t>Indonesia</t>
        </is>
      </c>
      <c r="C1769" t="inlineStr">
        <is>
          <t>1001-1200</t>
        </is>
      </c>
      <c r="D1769" t="inlineStr"/>
      <c r="E1769" t="n">
        <v>14.3</v>
      </c>
      <c r="F1769" t="n">
        <v>13</v>
      </c>
      <c r="G1769" t="n">
        <v>22.2</v>
      </c>
      <c r="H1769" t="n">
        <v>1.3</v>
      </c>
      <c r="I1769" t="n">
        <v>8.800000000000001</v>
      </c>
      <c r="J1769" t="n">
        <v>1.4</v>
      </c>
      <c r="K1769" t="n">
        <v>15.9</v>
      </c>
      <c r="L1769" t="n">
        <v>15</v>
      </c>
      <c r="M1769" t="n">
        <v>1.1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n">
        <v>1001</v>
      </c>
      <c r="Z1769" t="inlineStr"/>
      <c r="AA1769" t="inlineStr"/>
      <c r="AB1769" t="inlineStr">
        <is>
          <t>U1768</t>
        </is>
      </c>
      <c r="AC1769" t="inlineStr">
        <is>
          <t>IN</t>
        </is>
      </c>
      <c r="AD1769" t="inlineStr"/>
      <c r="AE1769" t="n">
        <v>1.3</v>
      </c>
      <c r="AF1769" t="inlineStr"/>
      <c r="AG1769" t="inlineStr"/>
      <c r="AH1769" t="inlineStr"/>
      <c r="AI1769" t="n">
        <v>14.3</v>
      </c>
      <c r="AJ1769" t="n">
        <v>13.78</v>
      </c>
    </row>
    <row r="1770">
      <c r="A1770" t="inlineStr">
        <is>
          <t>Universitas Indonesia</t>
        </is>
      </c>
      <c r="B1770" t="inlineStr">
        <is>
          <t>Indonesia</t>
        </is>
      </c>
      <c r="C1770" t="inlineStr">
        <is>
          <t>206</t>
        </is>
      </c>
      <c r="D1770" t="n">
        <v>45.7</v>
      </c>
      <c r="E1770" t="n">
        <v>53.8</v>
      </c>
      <c r="F1770" t="n">
        <v>79.2</v>
      </c>
      <c r="G1770" t="n">
        <v>55.7</v>
      </c>
      <c r="H1770" t="n">
        <v>2.1</v>
      </c>
      <c r="I1770" t="n">
        <v>88.3</v>
      </c>
      <c r="J1770" t="n">
        <v>7.1</v>
      </c>
      <c r="K1770" t="n">
        <v>37.2</v>
      </c>
      <c r="L1770" t="n">
        <v>77.3</v>
      </c>
      <c r="M1770" t="n">
        <v>32.7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n">
        <v>206</v>
      </c>
      <c r="Z1770" t="inlineStr"/>
      <c r="AA1770" t="inlineStr"/>
      <c r="AB1770" t="inlineStr">
        <is>
          <t>U1769</t>
        </is>
      </c>
      <c r="AC1770" t="inlineStr">
        <is>
          <t>IN</t>
        </is>
      </c>
      <c r="AD1770" t="n">
        <v>45.7</v>
      </c>
      <c r="AE1770" t="n">
        <v>2.1</v>
      </c>
      <c r="AF1770" t="inlineStr"/>
      <c r="AG1770" t="inlineStr"/>
      <c r="AH1770" t="inlineStr"/>
      <c r="AI1770" t="n">
        <v>53.8</v>
      </c>
      <c r="AJ1770" t="n">
        <v>14.02</v>
      </c>
    </row>
    <row r="1771">
      <c r="A1771" t="inlineStr">
        <is>
          <t>Universitas Islam Indonesia</t>
        </is>
      </c>
      <c r="B1771" t="inlineStr">
        <is>
          <t>Indonesia</t>
        </is>
      </c>
      <c r="C1771" t="inlineStr">
        <is>
          <t>1201-1400</t>
        </is>
      </c>
      <c r="D1771" t="inlineStr"/>
      <c r="E1771" t="n">
        <v>11.2</v>
      </c>
      <c r="F1771" t="n">
        <v>4.9</v>
      </c>
      <c r="G1771" t="n">
        <v>2</v>
      </c>
      <c r="H1771" t="n">
        <v>1.8</v>
      </c>
      <c r="I1771" t="n">
        <v>2.2</v>
      </c>
      <c r="J1771" t="n">
        <v>1.2</v>
      </c>
      <c r="K1771" t="n">
        <v>10.7</v>
      </c>
      <c r="L1771" t="n">
        <v>3.9</v>
      </c>
      <c r="M1771" t="n">
        <v>1.3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n">
        <v>1201</v>
      </c>
      <c r="Z1771" t="inlineStr"/>
      <c r="AA1771" t="inlineStr"/>
      <c r="AB1771" t="inlineStr">
        <is>
          <t>U1770</t>
        </is>
      </c>
      <c r="AC1771" t="inlineStr">
        <is>
          <t>IN</t>
        </is>
      </c>
      <c r="AD1771" t="inlineStr"/>
      <c r="AE1771" t="n">
        <v>1.8</v>
      </c>
      <c r="AF1771" t="inlineStr"/>
      <c r="AG1771" t="inlineStr"/>
      <c r="AH1771" t="inlineStr"/>
      <c r="AI1771" t="n">
        <v>11.2</v>
      </c>
      <c r="AJ1771" t="n">
        <v>13.93</v>
      </c>
    </row>
    <row r="1772">
      <c r="A1772" t="inlineStr">
        <is>
          <t>Universitas Kristen Petra</t>
        </is>
      </c>
      <c r="B1772" t="inlineStr">
        <is>
          <t>Indonesia</t>
        </is>
      </c>
      <c r="C1772" t="inlineStr">
        <is>
          <t>1401+</t>
        </is>
      </c>
      <c r="D1772" t="inlineStr"/>
      <c r="E1772" t="n">
        <v>7.1</v>
      </c>
      <c r="F1772" t="n">
        <v>5.2</v>
      </c>
      <c r="G1772" t="n">
        <v>7.8</v>
      </c>
      <c r="H1772" t="n">
        <v>1.6</v>
      </c>
      <c r="I1772" t="n">
        <v>3.2</v>
      </c>
      <c r="J1772" t="n">
        <v>1.1</v>
      </c>
      <c r="K1772" t="n">
        <v>6</v>
      </c>
      <c r="L1772" t="n">
        <v>2.5</v>
      </c>
      <c r="M1772" t="n">
        <v>1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n">
        <v>1401</v>
      </c>
      <c r="Z1772" t="inlineStr"/>
      <c r="AA1772" t="inlineStr"/>
      <c r="AB1772" t="inlineStr">
        <is>
          <t>U1771</t>
        </is>
      </c>
      <c r="AC1772" t="inlineStr">
        <is>
          <t>IN</t>
        </is>
      </c>
      <c r="AD1772" t="inlineStr"/>
      <c r="AE1772" t="n">
        <v>1.6</v>
      </c>
      <c r="AF1772" t="inlineStr"/>
      <c r="AG1772" t="inlineStr"/>
      <c r="AH1772" t="inlineStr"/>
      <c r="AI1772" t="n">
        <v>7.1</v>
      </c>
      <c r="AJ1772" t="n">
        <v>13.87</v>
      </c>
    </row>
    <row r="1773">
      <c r="A1773" t="inlineStr">
        <is>
          <t>Universitas Muhammadiyah Surakarta</t>
        </is>
      </c>
      <c r="B1773" t="inlineStr">
        <is>
          <t>Indonesia</t>
        </is>
      </c>
      <c r="C1773" t="inlineStr">
        <is>
          <t>1401+</t>
        </is>
      </c>
      <c r="D1773" t="inlineStr"/>
      <c r="E1773" t="n">
        <v>5.5</v>
      </c>
      <c r="F1773" t="n">
        <v>2.5</v>
      </c>
      <c r="G1773" t="n">
        <v>6.5</v>
      </c>
      <c r="H1773" t="n">
        <v>1.1</v>
      </c>
      <c r="I1773" t="n">
        <v>8.4</v>
      </c>
      <c r="J1773" t="n">
        <v>1.1</v>
      </c>
      <c r="K1773" t="n">
        <v>4.5</v>
      </c>
      <c r="L1773" t="n">
        <v>2.3</v>
      </c>
      <c r="M1773" t="n">
        <v>1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n">
        <v>1401</v>
      </c>
      <c r="Z1773" t="inlineStr"/>
      <c r="AA1773" t="inlineStr"/>
      <c r="AB1773" t="inlineStr">
        <is>
          <t>U1772</t>
        </is>
      </c>
      <c r="AC1773" t="inlineStr">
        <is>
          <t>IN</t>
        </is>
      </c>
      <c r="AD1773" t="inlineStr"/>
      <c r="AE1773" t="n">
        <v>1.1</v>
      </c>
      <c r="AF1773" t="inlineStr"/>
      <c r="AG1773" t="inlineStr"/>
      <c r="AH1773" t="inlineStr"/>
      <c r="AI1773" t="n">
        <v>5.5</v>
      </c>
      <c r="AJ1773" t="n">
        <v>13.72</v>
      </c>
    </row>
    <row r="1774">
      <c r="A1774" t="inlineStr">
        <is>
          <t>Universitas Muhammadiyah Yogyakarta</t>
        </is>
      </c>
      <c r="B1774" t="inlineStr">
        <is>
          <t>Indonesia</t>
        </is>
      </c>
      <c r="C1774" t="inlineStr">
        <is>
          <t>1201-1400</t>
        </is>
      </c>
      <c r="D1774" t="inlineStr"/>
      <c r="E1774" t="n">
        <v>6.6</v>
      </c>
      <c r="F1774" t="n">
        <v>2.8</v>
      </c>
      <c r="G1774" t="n">
        <v>3.2</v>
      </c>
      <c r="H1774" t="n">
        <v>1.4</v>
      </c>
      <c r="I1774" t="n">
        <v>57.9</v>
      </c>
      <c r="J1774" t="n">
        <v>1.9</v>
      </c>
      <c r="K1774" t="n">
        <v>7.9</v>
      </c>
      <c r="L1774" t="n">
        <v>2.3</v>
      </c>
      <c r="M1774" t="n">
        <v>1.2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n">
        <v>1201</v>
      </c>
      <c r="Z1774" t="inlineStr"/>
      <c r="AA1774" t="inlineStr"/>
      <c r="AB1774" t="inlineStr">
        <is>
          <t>U1773</t>
        </is>
      </c>
      <c r="AC1774" t="inlineStr">
        <is>
          <t>IN</t>
        </is>
      </c>
      <c r="AD1774" t="inlineStr"/>
      <c r="AE1774" t="n">
        <v>1.4</v>
      </c>
      <c r="AF1774" t="inlineStr"/>
      <c r="AG1774" t="inlineStr"/>
      <c r="AH1774" t="inlineStr"/>
      <c r="AI1774" t="n">
        <v>6.6</v>
      </c>
      <c r="AJ1774" t="n">
        <v>13.81</v>
      </c>
    </row>
    <row r="1775">
      <c r="A1775" t="inlineStr">
        <is>
          <t>Universitas Negeri Surabaya</t>
        </is>
      </c>
      <c r="B1775" t="inlineStr">
        <is>
          <t>Indonesia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>
        <is>
          <t>1501+</t>
        </is>
      </c>
      <c r="O1775" t="inlineStr">
        <is>
          <t>9.7–22.7</t>
        </is>
      </c>
      <c r="P1775" t="n">
        <v>13.5</v>
      </c>
      <c r="Q1775" t="n">
        <v>9</v>
      </c>
      <c r="R1775" t="n">
        <v>27.2</v>
      </c>
      <c r="S1775" t="n">
        <v>15.6</v>
      </c>
      <c r="T1775" t="n">
        <v>35</v>
      </c>
      <c r="U1775" t="inlineStr">
        <is>
          <t>35,066</t>
        </is>
      </c>
      <c r="V1775" t="n">
        <v>28</v>
      </c>
      <c r="W1775" t="inlineStr">
        <is>
          <t>1%</t>
        </is>
      </c>
      <c r="X1775" t="inlineStr">
        <is>
          <t>63 : 37</t>
        </is>
      </c>
      <c r="Y1775" t="inlineStr"/>
      <c r="Z1775" t="n">
        <v>1501</v>
      </c>
      <c r="AA1775" t="n">
        <v>16.2</v>
      </c>
      <c r="AB1775" t="inlineStr">
        <is>
          <t>U1774</t>
        </is>
      </c>
      <c r="AC1775" t="inlineStr">
        <is>
          <t>IN</t>
        </is>
      </c>
      <c r="AD1775" t="n">
        <v>16.2</v>
      </c>
      <c r="AE1775" t="n">
        <v>27.2</v>
      </c>
      <c r="AF1775" t="n">
        <v>28</v>
      </c>
      <c r="AG1775" t="inlineStr">
        <is>
          <t>1:28.0</t>
        </is>
      </c>
      <c r="AH1775" t="inlineStr">
        <is>
          <t>1%</t>
        </is>
      </c>
      <c r="AI1775" t="inlineStr"/>
      <c r="AJ1775" t="n">
        <v>14.82</v>
      </c>
    </row>
    <row r="1776">
      <c r="A1776" t="inlineStr">
        <is>
          <t>Universitas Padjadjaran</t>
        </is>
      </c>
      <c r="B1776" t="inlineStr">
        <is>
          <t>Indonesia</t>
        </is>
      </c>
      <c r="C1776" t="inlineStr">
        <is>
          <t>596</t>
        </is>
      </c>
      <c r="D1776" t="n">
        <v>20.8</v>
      </c>
      <c r="E1776" t="n">
        <v>19</v>
      </c>
      <c r="F1776" t="n">
        <v>41.6</v>
      </c>
      <c r="G1776" t="n">
        <v>41.4</v>
      </c>
      <c r="H1776" t="n">
        <v>1.4</v>
      </c>
      <c r="I1776" t="n">
        <v>34.8</v>
      </c>
      <c r="J1776" t="n">
        <v>2.2</v>
      </c>
      <c r="K1776" t="n">
        <v>19.6</v>
      </c>
      <c r="L1776" t="n">
        <v>33.4</v>
      </c>
      <c r="M1776" t="n">
        <v>21.3</v>
      </c>
      <c r="N1776" t="inlineStr">
        <is>
          <t>1501+</t>
        </is>
      </c>
      <c r="O1776" t="inlineStr">
        <is>
          <t>9.7–22.7</t>
        </is>
      </c>
      <c r="P1776" t="n">
        <v>28.5</v>
      </c>
      <c r="Q1776" t="n">
        <v>12.2</v>
      </c>
      <c r="R1776" t="n">
        <v>19.2</v>
      </c>
      <c r="S1776" t="n">
        <v>23.6</v>
      </c>
      <c r="T1776" t="n">
        <v>34.3</v>
      </c>
      <c r="U1776" t="inlineStr">
        <is>
          <t>35,498</t>
        </is>
      </c>
      <c r="V1776" t="n">
        <v>11.3</v>
      </c>
      <c r="W1776" t="inlineStr">
        <is>
          <t>1%</t>
        </is>
      </c>
      <c r="X1776" t="inlineStr">
        <is>
          <t>59 : 41</t>
        </is>
      </c>
      <c r="Y1776" t="n">
        <v>596</v>
      </c>
      <c r="Z1776" t="n">
        <v>1501</v>
      </c>
      <c r="AA1776" t="n">
        <v>16.2</v>
      </c>
      <c r="AB1776" t="inlineStr">
        <is>
          <t>U1775</t>
        </is>
      </c>
      <c r="AC1776" t="inlineStr">
        <is>
          <t>IN</t>
        </is>
      </c>
      <c r="AD1776" t="n">
        <v>20.8</v>
      </c>
      <c r="AE1776" t="n">
        <v>1.4</v>
      </c>
      <c r="AF1776" t="n">
        <v>11.3</v>
      </c>
      <c r="AG1776" t="inlineStr">
        <is>
          <t>1:11.3</t>
        </is>
      </c>
      <c r="AH1776" t="inlineStr">
        <is>
          <t>1%</t>
        </is>
      </c>
      <c r="AI1776" t="n">
        <v>19</v>
      </c>
      <c r="AJ1776" t="n">
        <v>8.51</v>
      </c>
    </row>
    <row r="1777">
      <c r="A1777" t="inlineStr">
        <is>
          <t>Universitas Pendidikan Indonesia</t>
        </is>
      </c>
      <c r="B1777" t="inlineStr">
        <is>
          <t>Indonesia</t>
        </is>
      </c>
      <c r="C1777" t="inlineStr">
        <is>
          <t>1201-1400</t>
        </is>
      </c>
      <c r="D1777" t="inlineStr"/>
      <c r="E1777" t="n">
        <v>10.9</v>
      </c>
      <c r="F1777" t="n">
        <v>4.1</v>
      </c>
      <c r="G1777" t="n">
        <v>12</v>
      </c>
      <c r="H1777" t="n">
        <v>1.4</v>
      </c>
      <c r="I1777" t="n">
        <v>13.2</v>
      </c>
      <c r="J1777" t="n">
        <v>1.6</v>
      </c>
      <c r="K1777" t="n">
        <v>13.1</v>
      </c>
      <c r="L1777" t="n">
        <v>2.3</v>
      </c>
      <c r="M1777" t="n">
        <v>3.3</v>
      </c>
      <c r="N1777" t="inlineStr">
        <is>
          <t>1501+</t>
        </is>
      </c>
      <c r="O1777" t="inlineStr">
        <is>
          <t>9.7–22.7</t>
        </is>
      </c>
      <c r="P1777" t="n">
        <v>19.8</v>
      </c>
      <c r="Q1777" t="n">
        <v>12.1</v>
      </c>
      <c r="R1777" t="n">
        <v>33</v>
      </c>
      <c r="S1777" t="n">
        <v>16.3</v>
      </c>
      <c r="T1777" t="n">
        <v>23.9</v>
      </c>
      <c r="U1777" t="inlineStr">
        <is>
          <t>32,713</t>
        </is>
      </c>
      <c r="V1777" t="n">
        <v>18.5</v>
      </c>
      <c r="W1777" t="inlineStr">
        <is>
          <t>1%</t>
        </is>
      </c>
      <c r="X1777" t="inlineStr">
        <is>
          <t>61 : 39</t>
        </is>
      </c>
      <c r="Y1777" t="n">
        <v>1201</v>
      </c>
      <c r="Z1777" t="n">
        <v>1501</v>
      </c>
      <c r="AA1777" t="n">
        <v>16.2</v>
      </c>
      <c r="AB1777" t="inlineStr">
        <is>
          <t>U1776</t>
        </is>
      </c>
      <c r="AC1777" t="inlineStr">
        <is>
          <t>IN</t>
        </is>
      </c>
      <c r="AD1777" t="n">
        <v>16.2</v>
      </c>
      <c r="AE1777" t="n">
        <v>1.4</v>
      </c>
      <c r="AF1777" t="n">
        <v>18.5</v>
      </c>
      <c r="AG1777" t="inlineStr">
        <is>
          <t>1:18.5</t>
        </is>
      </c>
      <c r="AH1777" t="inlineStr">
        <is>
          <t>1%</t>
        </is>
      </c>
      <c r="AI1777" t="n">
        <v>10.9</v>
      </c>
      <c r="AJ1777" t="n">
        <v>5.94</v>
      </c>
    </row>
    <row r="1778">
      <c r="A1778" t="inlineStr">
        <is>
          <t>Universitas Sebelas Maret</t>
        </is>
      </c>
      <c r="B1778" t="inlineStr">
        <is>
          <t>Indonesia</t>
        </is>
      </c>
      <c r="C1778" t="inlineStr">
        <is>
          <t>1001-1200</t>
        </is>
      </c>
      <c r="D1778" t="inlineStr"/>
      <c r="E1778" t="n">
        <v>12.9</v>
      </c>
      <c r="F1778" t="n">
        <v>16.3</v>
      </c>
      <c r="G1778" t="n">
        <v>16</v>
      </c>
      <c r="H1778" t="n">
        <v>1.5</v>
      </c>
      <c r="I1778" t="n">
        <v>17.1</v>
      </c>
      <c r="J1778" t="n">
        <v>2.8</v>
      </c>
      <c r="K1778" t="n">
        <v>14.9</v>
      </c>
      <c r="L1778" t="n">
        <v>2.4</v>
      </c>
      <c r="M1778" t="n">
        <v>9.300000000000001</v>
      </c>
      <c r="N1778" t="inlineStr">
        <is>
          <t>1201–1500</t>
        </is>
      </c>
      <c r="O1778" t="inlineStr">
        <is>
          <t>22.8–28.2</t>
        </is>
      </c>
      <c r="P1778" t="n">
        <v>19.3</v>
      </c>
      <c r="Q1778" t="n">
        <v>19.3</v>
      </c>
      <c r="R1778" t="n">
        <v>33.9</v>
      </c>
      <c r="S1778" t="n">
        <v>48.3</v>
      </c>
      <c r="T1778" t="n">
        <v>33.3</v>
      </c>
      <c r="U1778" t="inlineStr">
        <is>
          <t>27,580</t>
        </is>
      </c>
      <c r="V1778" t="n">
        <v>16.9</v>
      </c>
      <c r="W1778" t="inlineStr">
        <is>
          <t>2%</t>
        </is>
      </c>
      <c r="X1778" t="inlineStr">
        <is>
          <t>64 : 36</t>
        </is>
      </c>
      <c r="Y1778" t="n">
        <v>1001</v>
      </c>
      <c r="Z1778" t="n">
        <v>1201</v>
      </c>
      <c r="AA1778" t="n">
        <v>25.5</v>
      </c>
      <c r="AB1778" t="inlineStr">
        <is>
          <t>U1777</t>
        </is>
      </c>
      <c r="AC1778" t="inlineStr">
        <is>
          <t>IN</t>
        </is>
      </c>
      <c r="AD1778" t="n">
        <v>25.5</v>
      </c>
      <c r="AE1778" t="n">
        <v>1.5</v>
      </c>
      <c r="AF1778" t="n">
        <v>16.9</v>
      </c>
      <c r="AG1778" t="inlineStr">
        <is>
          <t>1:16.9</t>
        </is>
      </c>
      <c r="AH1778" t="inlineStr">
        <is>
          <t>2%</t>
        </is>
      </c>
      <c r="AI1778" t="n">
        <v>12.9</v>
      </c>
      <c r="AJ1778" t="n">
        <v>12.02</v>
      </c>
    </row>
    <row r="1779">
      <c r="A1779" t="inlineStr">
        <is>
          <t>Universitas Sriwijaya</t>
        </is>
      </c>
      <c r="B1779" t="inlineStr">
        <is>
          <t>Indonesia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>
        <is>
          <t>1501+</t>
        </is>
      </c>
      <c r="O1779" t="inlineStr">
        <is>
          <t>9.7–22.7</t>
        </is>
      </c>
      <c r="P1779" t="n">
        <v>12.4</v>
      </c>
      <c r="Q1779" t="n">
        <v>9</v>
      </c>
      <c r="R1779" t="n">
        <v>18.1</v>
      </c>
      <c r="S1779" t="n">
        <v>16.2</v>
      </c>
      <c r="T1779" t="n">
        <v>19.9</v>
      </c>
      <c r="U1779" t="inlineStr">
        <is>
          <t>36,361</t>
        </is>
      </c>
      <c r="V1779" t="n">
        <v>24.7</v>
      </c>
      <c r="W1779" t="inlineStr">
        <is>
          <t>0%</t>
        </is>
      </c>
      <c r="X1779" t="inlineStr">
        <is>
          <t>60 : 40</t>
        </is>
      </c>
      <c r="Y1779" t="inlineStr"/>
      <c r="Z1779" t="n">
        <v>1501</v>
      </c>
      <c r="AA1779" t="n">
        <v>16.2</v>
      </c>
      <c r="AB1779" t="inlineStr">
        <is>
          <t>U1778</t>
        </is>
      </c>
      <c r="AC1779" t="inlineStr">
        <is>
          <t>IN</t>
        </is>
      </c>
      <c r="AD1779" t="n">
        <v>16.2</v>
      </c>
      <c r="AE1779" t="n">
        <v>18.1</v>
      </c>
      <c r="AF1779" t="n">
        <v>24.7</v>
      </c>
      <c r="AG1779" t="inlineStr">
        <is>
          <t>1:24.7</t>
        </is>
      </c>
      <c r="AH1779" t="inlineStr">
        <is>
          <t>0%</t>
        </is>
      </c>
      <c r="AI1779" t="inlineStr"/>
      <c r="AJ1779" t="n">
        <v>8.41</v>
      </c>
    </row>
    <row r="1780">
      <c r="A1780" t="inlineStr">
        <is>
          <t>Universitas Sumatera Utara</t>
        </is>
      </c>
      <c r="B1780" t="inlineStr">
        <is>
          <t>Indonesia</t>
        </is>
      </c>
      <c r="C1780" t="inlineStr">
        <is>
          <t>1201-1400</t>
        </is>
      </c>
      <c r="D1780" t="inlineStr"/>
      <c r="E1780" t="n">
        <v>8.800000000000001</v>
      </c>
      <c r="F1780" t="n">
        <v>8</v>
      </c>
      <c r="G1780" t="n">
        <v>24.9</v>
      </c>
      <c r="H1780" t="n">
        <v>1.3</v>
      </c>
      <c r="I1780" t="n">
        <v>12.6</v>
      </c>
      <c r="J1780" t="n">
        <v>2.5</v>
      </c>
      <c r="K1780" t="n">
        <v>18.3</v>
      </c>
      <c r="L1780" t="n">
        <v>5.5</v>
      </c>
      <c r="M1780" t="n">
        <v>4.6</v>
      </c>
      <c r="N1780" t="inlineStr">
        <is>
          <t>1501+</t>
        </is>
      </c>
      <c r="O1780" t="inlineStr">
        <is>
          <t>9.7–22.7</t>
        </is>
      </c>
      <c r="P1780" t="n">
        <v>16.5</v>
      </c>
      <c r="Q1780" t="n">
        <v>10.5</v>
      </c>
      <c r="R1780" t="n">
        <v>26.6</v>
      </c>
      <c r="S1780" t="n">
        <v>17.1</v>
      </c>
      <c r="T1780" t="n">
        <v>27.6</v>
      </c>
      <c r="U1780" t="inlineStr">
        <is>
          <t>35,761</t>
        </is>
      </c>
      <c r="V1780" t="n">
        <v>19.2</v>
      </c>
      <c r="W1780" t="inlineStr">
        <is>
          <t>2%</t>
        </is>
      </c>
      <c r="X1780" t="inlineStr">
        <is>
          <t>54 : 46</t>
        </is>
      </c>
      <c r="Y1780" t="n">
        <v>1201</v>
      </c>
      <c r="Z1780" t="n">
        <v>1501</v>
      </c>
      <c r="AA1780" t="n">
        <v>16.2</v>
      </c>
      <c r="AB1780" t="inlineStr">
        <is>
          <t>U1779</t>
        </is>
      </c>
      <c r="AC1780" t="inlineStr">
        <is>
          <t>IN</t>
        </is>
      </c>
      <c r="AD1780" t="n">
        <v>16.2</v>
      </c>
      <c r="AE1780" t="n">
        <v>1.3</v>
      </c>
      <c r="AF1780" t="n">
        <v>19.2</v>
      </c>
      <c r="AG1780" t="inlineStr">
        <is>
          <t>1:19.2</t>
        </is>
      </c>
      <c r="AH1780" t="inlineStr">
        <is>
          <t>2%</t>
        </is>
      </c>
      <c r="AI1780" t="n">
        <v>8.800000000000001</v>
      </c>
      <c r="AJ1780" t="n">
        <v>5.96</v>
      </c>
    </row>
    <row r="1781">
      <c r="A1781" t="inlineStr">
        <is>
          <t>Universitas Syiah Kuala</t>
        </is>
      </c>
      <c r="B1781" t="inlineStr">
        <is>
          <t>Indonesia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>
        <is>
          <t>1201–1500</t>
        </is>
      </c>
      <c r="O1781" t="inlineStr">
        <is>
          <t>22.8–28.2</t>
        </is>
      </c>
      <c r="P1781" t="n">
        <v>14</v>
      </c>
      <c r="Q1781" t="n">
        <v>9.4</v>
      </c>
      <c r="R1781" t="n">
        <v>51.5</v>
      </c>
      <c r="S1781" t="n">
        <v>19.5</v>
      </c>
      <c r="T1781" t="n">
        <v>25.8</v>
      </c>
      <c r="U1781" t="inlineStr">
        <is>
          <t>30,701</t>
        </is>
      </c>
      <c r="V1781" t="n">
        <v>20.4</v>
      </c>
      <c r="W1781" t="inlineStr">
        <is>
          <t>0%</t>
        </is>
      </c>
      <c r="X1781" t="inlineStr">
        <is>
          <t>62 : 38</t>
        </is>
      </c>
      <c r="Y1781" t="inlineStr"/>
      <c r="Z1781" t="n">
        <v>1201</v>
      </c>
      <c r="AA1781" t="n">
        <v>25.5</v>
      </c>
      <c r="AB1781" t="inlineStr">
        <is>
          <t>U1780</t>
        </is>
      </c>
      <c r="AC1781" t="inlineStr">
        <is>
          <t>IN</t>
        </is>
      </c>
      <c r="AD1781" t="n">
        <v>25.5</v>
      </c>
      <c r="AE1781" t="n">
        <v>51.5</v>
      </c>
      <c r="AF1781" t="n">
        <v>20.4</v>
      </c>
      <c r="AG1781" t="inlineStr">
        <is>
          <t>1:20.4</t>
        </is>
      </c>
      <c r="AH1781" t="inlineStr">
        <is>
          <t>0%</t>
        </is>
      </c>
      <c r="AI1781" t="inlineStr"/>
      <c r="AJ1781" t="n">
        <v>20.16</v>
      </c>
    </row>
    <row r="1782">
      <c r="A1782" t="inlineStr">
        <is>
          <t>Universitat Autònoma de Barcelona</t>
        </is>
      </c>
      <c r="B1782" t="inlineStr">
        <is>
          <t>Spain</t>
        </is>
      </c>
      <c r="C1782" t="inlineStr">
        <is>
          <t>175</t>
        </is>
      </c>
      <c r="D1782" t="n">
        <v>49.2</v>
      </c>
      <c r="E1782" t="n">
        <v>64</v>
      </c>
      <c r="F1782" t="n">
        <v>35.8</v>
      </c>
      <c r="G1782" t="n">
        <v>11.5</v>
      </c>
      <c r="H1782" t="n">
        <v>59.5</v>
      </c>
      <c r="I1782" t="n">
        <v>18.5</v>
      </c>
      <c r="J1782" t="n">
        <v>16.5</v>
      </c>
      <c r="K1782" t="n">
        <v>93.09999999999999</v>
      </c>
      <c r="L1782" t="n">
        <v>24</v>
      </c>
      <c r="M1782" t="n">
        <v>86.7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n">
        <v>175</v>
      </c>
      <c r="Z1782" t="inlineStr"/>
      <c r="AA1782" t="inlineStr"/>
      <c r="AB1782" t="inlineStr">
        <is>
          <t>U1781</t>
        </is>
      </c>
      <c r="AC1782" t="inlineStr">
        <is>
          <t>SP</t>
        </is>
      </c>
      <c r="AD1782" t="n">
        <v>49.2</v>
      </c>
      <c r="AE1782" t="n">
        <v>59.5</v>
      </c>
      <c r="AF1782" t="inlineStr"/>
      <c r="AG1782" t="inlineStr"/>
      <c r="AH1782" t="inlineStr"/>
      <c r="AI1782" t="n">
        <v>64</v>
      </c>
      <c r="AJ1782" t="n">
        <v>31.42</v>
      </c>
    </row>
    <row r="1783">
      <c r="A1783" t="inlineStr">
        <is>
          <t>Universitat de Barcelona</t>
        </is>
      </c>
      <c r="B1783" t="inlineStr">
        <is>
          <t>Spain</t>
        </is>
      </c>
      <c r="C1783" t="inlineStr">
        <is>
          <t>165</t>
        </is>
      </c>
      <c r="D1783" t="n">
        <v>50.7</v>
      </c>
      <c r="E1783" t="n">
        <v>73.7</v>
      </c>
      <c r="F1783" t="n">
        <v>30.3</v>
      </c>
      <c r="G1783" t="n">
        <v>12.4</v>
      </c>
      <c r="H1783" t="n">
        <v>38.1</v>
      </c>
      <c r="I1783" t="n">
        <v>23.1</v>
      </c>
      <c r="J1783" t="n">
        <v>26.3</v>
      </c>
      <c r="K1783" t="n">
        <v>96.8</v>
      </c>
      <c r="L1783" t="n">
        <v>71.5</v>
      </c>
      <c r="M1783" t="n">
        <v>92.2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n">
        <v>165</v>
      </c>
      <c r="Z1783" t="inlineStr"/>
      <c r="AA1783" t="inlineStr"/>
      <c r="AB1783" t="inlineStr">
        <is>
          <t>U1782</t>
        </is>
      </c>
      <c r="AC1783" t="inlineStr">
        <is>
          <t>SP</t>
        </is>
      </c>
      <c r="AD1783" t="n">
        <v>50.7</v>
      </c>
      <c r="AE1783" t="n">
        <v>38.1</v>
      </c>
      <c r="AF1783" t="inlineStr"/>
      <c r="AG1783" t="inlineStr"/>
      <c r="AH1783" t="inlineStr"/>
      <c r="AI1783" t="n">
        <v>73.7</v>
      </c>
      <c r="AJ1783" t="n">
        <v>24.93</v>
      </c>
    </row>
    <row r="1784">
      <c r="A1784" t="inlineStr">
        <is>
          <t>Universitat de Lleida</t>
        </is>
      </c>
      <c r="B1784" t="inlineStr">
        <is>
          <t>Spain</t>
        </is>
      </c>
      <c r="C1784" t="inlineStr">
        <is>
          <t>1001-1200</t>
        </is>
      </c>
      <c r="D1784" t="inlineStr"/>
      <c r="E1784" t="n">
        <v>6</v>
      </c>
      <c r="F1784" t="n">
        <v>2</v>
      </c>
      <c r="G1784" t="n">
        <v>19.2</v>
      </c>
      <c r="H1784" t="n">
        <v>13</v>
      </c>
      <c r="I1784" t="n">
        <v>5.5</v>
      </c>
      <c r="J1784" t="n">
        <v>9.6</v>
      </c>
      <c r="K1784" t="n">
        <v>51.8</v>
      </c>
      <c r="L1784" t="n">
        <v>3</v>
      </c>
      <c r="M1784" t="n">
        <v>38.5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n">
        <v>1001</v>
      </c>
      <c r="Z1784" t="inlineStr"/>
      <c r="AA1784" t="inlineStr"/>
      <c r="AB1784" t="inlineStr">
        <is>
          <t>U1783</t>
        </is>
      </c>
      <c r="AC1784" t="inlineStr">
        <is>
          <t>SP</t>
        </is>
      </c>
      <c r="AD1784" t="inlineStr"/>
      <c r="AE1784" t="n">
        <v>13</v>
      </c>
      <c r="AF1784" t="inlineStr"/>
      <c r="AG1784" t="inlineStr"/>
      <c r="AH1784" t="inlineStr"/>
      <c r="AI1784" t="n">
        <v>6</v>
      </c>
      <c r="AJ1784" t="n">
        <v>17.33</v>
      </c>
    </row>
    <row r="1785">
      <c r="A1785" t="inlineStr">
        <is>
          <t>Universitat de Valencia</t>
        </is>
      </c>
      <c r="B1785" t="inlineStr">
        <is>
          <t>Spain</t>
        </is>
      </c>
      <c r="C1785" t="inlineStr">
        <is>
          <t>445</t>
        </is>
      </c>
      <c r="D1785" t="n">
        <v>26.7</v>
      </c>
      <c r="E1785" t="n">
        <v>35.6</v>
      </c>
      <c r="F1785" t="n">
        <v>11</v>
      </c>
      <c r="G1785" t="n">
        <v>12</v>
      </c>
      <c r="H1785" t="n">
        <v>19.9</v>
      </c>
      <c r="I1785" t="n">
        <v>2.1</v>
      </c>
      <c r="J1785" t="n">
        <v>24.3</v>
      </c>
      <c r="K1785" t="n">
        <v>89.3</v>
      </c>
      <c r="L1785" t="n">
        <v>8.4</v>
      </c>
      <c r="M1785" t="n">
        <v>79.3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n">
        <v>445</v>
      </c>
      <c r="Z1785" t="inlineStr"/>
      <c r="AA1785" t="inlineStr"/>
      <c r="AB1785" t="inlineStr">
        <is>
          <t>U1784</t>
        </is>
      </c>
      <c r="AC1785" t="inlineStr">
        <is>
          <t>SP</t>
        </is>
      </c>
      <c r="AD1785" t="n">
        <v>26.7</v>
      </c>
      <c r="AE1785" t="n">
        <v>19.9</v>
      </c>
      <c r="AF1785" t="inlineStr"/>
      <c r="AG1785" t="inlineStr"/>
      <c r="AH1785" t="inlineStr"/>
      <c r="AI1785" t="n">
        <v>35.6</v>
      </c>
      <c r="AJ1785" t="n">
        <v>19.42</v>
      </c>
    </row>
    <row r="1786">
      <c r="A1786" t="inlineStr">
        <is>
          <t>Universitat Internacional de Catalunya</t>
        </is>
      </c>
      <c r="B1786" t="inlineStr">
        <is>
          <t>Spain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>
        <is>
          <t>801–1000</t>
        </is>
      </c>
      <c r="O1786" t="inlineStr">
        <is>
          <t>32.7–36.9</t>
        </is>
      </c>
      <c r="P1786" t="n">
        <v>22.8</v>
      </c>
      <c r="Q1786" t="n">
        <v>17.6</v>
      </c>
      <c r="R1786" t="n">
        <v>57</v>
      </c>
      <c r="S1786" t="n">
        <v>21.2</v>
      </c>
      <c r="T1786" t="n">
        <v>65.90000000000001</v>
      </c>
      <c r="U1786" t="inlineStr">
        <is>
          <t>5,121</t>
        </is>
      </c>
      <c r="V1786" t="n">
        <v>12.9</v>
      </c>
      <c r="W1786" t="inlineStr">
        <is>
          <t>27%</t>
        </is>
      </c>
      <c r="X1786" t="inlineStr">
        <is>
          <t>64 : 36</t>
        </is>
      </c>
      <c r="Y1786" t="inlineStr"/>
      <c r="Z1786" t="n">
        <v>801</v>
      </c>
      <c r="AA1786" t="n">
        <v>34.8</v>
      </c>
      <c r="AB1786" t="inlineStr">
        <is>
          <t>U1785</t>
        </is>
      </c>
      <c r="AC1786" t="inlineStr">
        <is>
          <t>SP</t>
        </is>
      </c>
      <c r="AD1786" t="n">
        <v>34.8</v>
      </c>
      <c r="AE1786" t="n">
        <v>57</v>
      </c>
      <c r="AF1786" t="n">
        <v>12.9</v>
      </c>
      <c r="AG1786" t="inlineStr">
        <is>
          <t>1:12.9</t>
        </is>
      </c>
      <c r="AH1786" t="inlineStr">
        <is>
          <t>27%</t>
        </is>
      </c>
      <c r="AI1786" t="inlineStr"/>
      <c r="AJ1786" t="n">
        <v>35.83</v>
      </c>
    </row>
    <row r="1787">
      <c r="A1787" t="inlineStr">
        <is>
          <t>Universitat Politècnica de Catalunya</t>
        </is>
      </c>
      <c r="B1787" t="inlineStr">
        <is>
          <t>Spain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>
        <is>
          <t>601–800</t>
        </is>
      </c>
      <c r="O1787" t="inlineStr">
        <is>
          <t>37.0–41.8</t>
        </is>
      </c>
      <c r="P1787" t="n">
        <v>31.2</v>
      </c>
      <c r="Q1787" t="n">
        <v>21</v>
      </c>
      <c r="R1787" t="n">
        <v>57.3</v>
      </c>
      <c r="S1787" t="n">
        <v>69.7</v>
      </c>
      <c r="T1787" t="n">
        <v>61.4</v>
      </c>
      <c r="U1787" t="inlineStr">
        <is>
          <t>23,272</t>
        </is>
      </c>
      <c r="V1787" t="n">
        <v>9.800000000000001</v>
      </c>
      <c r="W1787" t="inlineStr">
        <is>
          <t>13%</t>
        </is>
      </c>
      <c r="X1787" t="inlineStr">
        <is>
          <t>28 : 72</t>
        </is>
      </c>
      <c r="Y1787" t="inlineStr"/>
      <c r="Z1787" t="n">
        <v>601</v>
      </c>
      <c r="AA1787" t="n">
        <v>39.4</v>
      </c>
      <c r="AB1787" t="inlineStr">
        <is>
          <t>U1786</t>
        </is>
      </c>
      <c r="AC1787" t="inlineStr">
        <is>
          <t>SP</t>
        </is>
      </c>
      <c r="AD1787" t="n">
        <v>39.4</v>
      </c>
      <c r="AE1787" t="n">
        <v>57.3</v>
      </c>
      <c r="AF1787" t="n">
        <v>9.800000000000001</v>
      </c>
      <c r="AG1787" t="inlineStr">
        <is>
          <t>1:9.8</t>
        </is>
      </c>
      <c r="AH1787" t="inlineStr">
        <is>
          <t>13%</t>
        </is>
      </c>
      <c r="AI1787" t="inlineStr"/>
      <c r="AJ1787" t="n">
        <v>36.61</v>
      </c>
    </row>
    <row r="1788">
      <c r="A1788" t="inlineStr">
        <is>
          <t>Universitat Politècnica de Catalunya · BarcelonaTech (UPC)</t>
        </is>
      </c>
      <c r="B1788" t="inlineStr">
        <is>
          <t>Spain</t>
        </is>
      </c>
      <c r="C1788" t="inlineStr">
        <is>
          <t>371</t>
        </is>
      </c>
      <c r="D1788" t="n">
        <v>31.3</v>
      </c>
      <c r="E1788" t="n">
        <v>31.8</v>
      </c>
      <c r="F1788" t="n">
        <v>27.7</v>
      </c>
      <c r="G1788" t="n">
        <v>38.9</v>
      </c>
      <c r="H1788" t="n">
        <v>16.7</v>
      </c>
      <c r="I1788" t="n">
        <v>10.1</v>
      </c>
      <c r="J1788" t="n">
        <v>19.8</v>
      </c>
      <c r="K1788" t="n">
        <v>85.3</v>
      </c>
      <c r="L1788" t="n">
        <v>26.3</v>
      </c>
      <c r="M1788" t="n">
        <v>82.5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n">
        <v>371</v>
      </c>
      <c r="Z1788" t="inlineStr"/>
      <c r="AA1788" t="inlineStr"/>
      <c r="AB1788" t="inlineStr">
        <is>
          <t>U1787</t>
        </is>
      </c>
      <c r="AC1788" t="inlineStr">
        <is>
          <t>SP</t>
        </is>
      </c>
      <c r="AD1788" t="n">
        <v>31.3</v>
      </c>
      <c r="AE1788" t="n">
        <v>16.7</v>
      </c>
      <c r="AF1788" t="inlineStr"/>
      <c r="AG1788" t="inlineStr"/>
      <c r="AH1788" t="inlineStr"/>
      <c r="AI1788" t="n">
        <v>31.8</v>
      </c>
      <c r="AJ1788" t="n">
        <v>18.45</v>
      </c>
    </row>
    <row r="1789">
      <c r="A1789" t="inlineStr">
        <is>
          <t>Universitat Politècnica de València</t>
        </is>
      </c>
      <c r="B1789" t="inlineStr">
        <is>
          <t>Spain</t>
        </is>
      </c>
      <c r="C1789" t="inlineStr">
        <is>
          <t>436</t>
        </is>
      </c>
      <c r="D1789" t="n">
        <v>27.2</v>
      </c>
      <c r="E1789" t="n">
        <v>26.5</v>
      </c>
      <c r="F1789" t="n">
        <v>16.3</v>
      </c>
      <c r="G1789" t="n">
        <v>36.1</v>
      </c>
      <c r="H1789" t="n">
        <v>19.7</v>
      </c>
      <c r="I1789" t="n">
        <v>5.5</v>
      </c>
      <c r="J1789" t="n">
        <v>25</v>
      </c>
      <c r="K1789" t="n">
        <v>84.90000000000001</v>
      </c>
      <c r="L1789" t="n">
        <v>11.7</v>
      </c>
      <c r="M1789" t="n">
        <v>76.09999999999999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n">
        <v>436</v>
      </c>
      <c r="Z1789" t="inlineStr"/>
      <c r="AA1789" t="inlineStr"/>
      <c r="AB1789" t="inlineStr">
        <is>
          <t>U1788</t>
        </is>
      </c>
      <c r="AC1789" t="inlineStr">
        <is>
          <t>SP</t>
        </is>
      </c>
      <c r="AD1789" t="n">
        <v>27.2</v>
      </c>
      <c r="AE1789" t="n">
        <v>19.7</v>
      </c>
      <c r="AF1789" t="inlineStr"/>
      <c r="AG1789" t="inlineStr"/>
      <c r="AH1789" t="inlineStr"/>
      <c r="AI1789" t="n">
        <v>26.5</v>
      </c>
      <c r="AJ1789" t="n">
        <v>19.36</v>
      </c>
    </row>
    <row r="1790">
      <c r="A1790" t="inlineStr">
        <is>
          <t>Universitat Pompeu Fabra (Barcelona)</t>
        </is>
      </c>
      <c r="B1790" t="inlineStr">
        <is>
          <t>Spain</t>
        </is>
      </c>
      <c r="C1790" t="inlineStr">
        <is>
          <t>265</t>
        </is>
      </c>
      <c r="D1790" t="n">
        <v>38.8</v>
      </c>
      <c r="E1790" t="n">
        <v>31.7</v>
      </c>
      <c r="F1790" t="n">
        <v>29.4</v>
      </c>
      <c r="G1790" t="n">
        <v>12.1</v>
      </c>
      <c r="H1790" t="n">
        <v>67.09999999999999</v>
      </c>
      <c r="I1790" t="n">
        <v>75.59999999999999</v>
      </c>
      <c r="J1790" t="n">
        <v>24.5</v>
      </c>
      <c r="K1790" t="n">
        <v>74</v>
      </c>
      <c r="L1790" t="n">
        <v>16.4</v>
      </c>
      <c r="M1790" t="n">
        <v>27.9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n">
        <v>265</v>
      </c>
      <c r="Z1790" t="inlineStr"/>
      <c r="AA1790" t="inlineStr"/>
      <c r="AB1790" t="inlineStr">
        <is>
          <t>U1789</t>
        </is>
      </c>
      <c r="AC1790" t="inlineStr">
        <is>
          <t>SP</t>
        </is>
      </c>
      <c r="AD1790" t="n">
        <v>38.8</v>
      </c>
      <c r="AE1790" t="n">
        <v>67.09999999999999</v>
      </c>
      <c r="AF1790" t="inlineStr"/>
      <c r="AG1790" t="inlineStr"/>
      <c r="AH1790" t="inlineStr"/>
      <c r="AI1790" t="n">
        <v>31.7</v>
      </c>
      <c r="AJ1790" t="n">
        <v>33.72</v>
      </c>
    </row>
    <row r="1791">
      <c r="A1791" t="inlineStr">
        <is>
          <t>Universitat Ramon Llull</t>
        </is>
      </c>
      <c r="B1791" t="inlineStr">
        <is>
          <t>Spain</t>
        </is>
      </c>
      <c r="C1791" t="inlineStr">
        <is>
          <t>466</t>
        </is>
      </c>
      <c r="D1791" t="n">
        <v>25.7</v>
      </c>
      <c r="E1791" t="n">
        <v>11</v>
      </c>
      <c r="F1791" t="n">
        <v>52</v>
      </c>
      <c r="G1791" t="n">
        <v>8.699999999999999</v>
      </c>
      <c r="H1791" t="n">
        <v>8.1</v>
      </c>
      <c r="I1791" t="n">
        <v>93.59999999999999</v>
      </c>
      <c r="J1791" t="n">
        <v>43.1</v>
      </c>
      <c r="K1791" t="n">
        <v>32.6</v>
      </c>
      <c r="L1791" t="n">
        <v>71.7</v>
      </c>
      <c r="M1791" t="n">
        <v>20.1</v>
      </c>
      <c r="N1791" t="inlineStr">
        <is>
          <t>601–800</t>
        </is>
      </c>
      <c r="O1791" t="inlineStr">
        <is>
          <t>37.0–41.8</t>
        </is>
      </c>
      <c r="P1791" t="n">
        <v>20.7</v>
      </c>
      <c r="Q1791" t="n">
        <v>18.2</v>
      </c>
      <c r="R1791" t="n">
        <v>70.3</v>
      </c>
      <c r="S1791" t="n">
        <v>32.1</v>
      </c>
      <c r="T1791" t="n">
        <v>72.59999999999999</v>
      </c>
      <c r="U1791" t="inlineStr">
        <is>
          <t>15,125</t>
        </is>
      </c>
      <c r="V1791" t="n">
        <v>22.6</v>
      </c>
      <c r="W1791" t="inlineStr">
        <is>
          <t>20%</t>
        </is>
      </c>
      <c r="X1791" t="inlineStr">
        <is>
          <t>51 : 49</t>
        </is>
      </c>
      <c r="Y1791" t="n">
        <v>466</v>
      </c>
      <c r="Z1791" t="n">
        <v>601</v>
      </c>
      <c r="AA1791" t="n">
        <v>39.4</v>
      </c>
      <c r="AB1791" t="inlineStr">
        <is>
          <t>U1790</t>
        </is>
      </c>
      <c r="AC1791" t="inlineStr">
        <is>
          <t>SP</t>
        </is>
      </c>
      <c r="AD1791" t="n">
        <v>25.7</v>
      </c>
      <c r="AE1791" t="n">
        <v>8.1</v>
      </c>
      <c r="AF1791" t="n">
        <v>22.6</v>
      </c>
      <c r="AG1791" t="inlineStr">
        <is>
          <t>1:22.6</t>
        </is>
      </c>
      <c r="AH1791" t="inlineStr">
        <is>
          <t>20%</t>
        </is>
      </c>
      <c r="AI1791" t="n">
        <v>11</v>
      </c>
      <c r="AJ1791" t="n">
        <v>22.94</v>
      </c>
    </row>
    <row r="1792">
      <c r="A1792" t="inlineStr">
        <is>
          <t>Universitat Rovira i Virgili</t>
        </is>
      </c>
      <c r="B1792" t="inlineStr">
        <is>
          <t>Spain</t>
        </is>
      </c>
      <c r="C1792" t="inlineStr">
        <is>
          <t>731-740</t>
        </is>
      </c>
      <c r="D1792" t="inlineStr"/>
      <c r="E1792" t="n">
        <v>6.4</v>
      </c>
      <c r="F1792" t="n">
        <v>2.3</v>
      </c>
      <c r="G1792" t="n">
        <v>15.2</v>
      </c>
      <c r="H1792" t="n">
        <v>37.9</v>
      </c>
      <c r="I1792" t="n">
        <v>7.2</v>
      </c>
      <c r="J1792" t="n">
        <v>19</v>
      </c>
      <c r="K1792" t="n">
        <v>77.5</v>
      </c>
      <c r="L1792" t="n">
        <v>1.8</v>
      </c>
      <c r="M1792" t="n">
        <v>31.6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n">
        <v>731</v>
      </c>
      <c r="Z1792" t="inlineStr"/>
      <c r="AA1792" t="inlineStr"/>
      <c r="AB1792" t="inlineStr">
        <is>
          <t>U1791</t>
        </is>
      </c>
      <c r="AC1792" t="inlineStr">
        <is>
          <t>SP</t>
        </is>
      </c>
      <c r="AD1792" t="inlineStr"/>
      <c r="AE1792" t="n">
        <v>37.9</v>
      </c>
      <c r="AF1792" t="inlineStr"/>
      <c r="AG1792" t="inlineStr"/>
      <c r="AH1792" t="inlineStr"/>
      <c r="AI1792" t="n">
        <v>6.4</v>
      </c>
      <c r="AJ1792" t="n">
        <v>24.87</v>
      </c>
    </row>
    <row r="1793">
      <c r="A1793" t="inlineStr">
        <is>
          <t>Universitatea de Vest din Timisoara / West University of Timisoara</t>
        </is>
      </c>
      <c r="B1793" t="inlineStr">
        <is>
          <t>Romania</t>
        </is>
      </c>
      <c r="C1793" t="inlineStr">
        <is>
          <t>1201-1400</t>
        </is>
      </c>
      <c r="D1793" t="inlineStr"/>
      <c r="E1793" t="n">
        <v>9.199999999999999</v>
      </c>
      <c r="F1793" t="n">
        <v>9.699999999999999</v>
      </c>
      <c r="G1793" t="n">
        <v>4.7</v>
      </c>
      <c r="H1793" t="n">
        <v>2.8</v>
      </c>
      <c r="I1793" t="n">
        <v>1.6</v>
      </c>
      <c r="J1793" t="n">
        <v>6.7</v>
      </c>
      <c r="K1793" t="n">
        <v>27.5</v>
      </c>
      <c r="L1793" t="n">
        <v>23.5</v>
      </c>
      <c r="M1793" t="n">
        <v>2.7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n">
        <v>1201</v>
      </c>
      <c r="Z1793" t="inlineStr"/>
      <c r="AA1793" t="inlineStr"/>
      <c r="AB1793" t="inlineStr">
        <is>
          <t>U1792</t>
        </is>
      </c>
      <c r="AC1793" t="inlineStr">
        <is>
          <t>RO</t>
        </is>
      </c>
      <c r="AD1793" t="inlineStr"/>
      <c r="AE1793" t="n">
        <v>2.8</v>
      </c>
      <c r="AF1793" t="inlineStr"/>
      <c r="AG1793" t="inlineStr"/>
      <c r="AH1793" t="inlineStr"/>
      <c r="AI1793" t="n">
        <v>9.199999999999999</v>
      </c>
      <c r="AJ1793" t="n">
        <v>14.24</v>
      </c>
    </row>
    <row r="1794">
      <c r="A1794" t="inlineStr">
        <is>
          <t>Universite libre de Bruxelles</t>
        </is>
      </c>
      <c r="B1794" t="inlineStr">
        <is>
          <t>Belgium</t>
        </is>
      </c>
      <c r="C1794" t="inlineStr">
        <is>
          <t>230</t>
        </is>
      </c>
      <c r="D1794" t="n">
        <v>43</v>
      </c>
      <c r="E1794" t="n">
        <v>33.3</v>
      </c>
      <c r="F1794" t="n">
        <v>34.5</v>
      </c>
      <c r="G1794" t="n">
        <v>3</v>
      </c>
      <c r="H1794" t="n">
        <v>49.9</v>
      </c>
      <c r="I1794" t="n">
        <v>98.7</v>
      </c>
      <c r="J1794" t="n">
        <v>84.40000000000001</v>
      </c>
      <c r="K1794" t="n">
        <v>87.5</v>
      </c>
      <c r="L1794" t="n">
        <v>65.5</v>
      </c>
      <c r="M1794" t="n">
        <v>25.2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n">
        <v>230</v>
      </c>
      <c r="Z1794" t="inlineStr"/>
      <c r="AA1794" t="inlineStr"/>
      <c r="AB1794" t="inlineStr">
        <is>
          <t>U1793</t>
        </is>
      </c>
      <c r="AC1794" t="inlineStr">
        <is>
          <t>BE</t>
        </is>
      </c>
      <c r="AD1794" t="n">
        <v>43</v>
      </c>
      <c r="AE1794" t="n">
        <v>49.9</v>
      </c>
      <c r="AF1794" t="inlineStr"/>
      <c r="AG1794" t="inlineStr"/>
      <c r="AH1794" t="inlineStr"/>
      <c r="AI1794" t="n">
        <v>33.3</v>
      </c>
      <c r="AJ1794" t="n">
        <v>28.51</v>
      </c>
    </row>
    <row r="1795">
      <c r="A1795" t="inlineStr">
        <is>
          <t>Universiti Brunei Darussalam (UBD)</t>
        </is>
      </c>
      <c r="B1795" t="inlineStr">
        <is>
          <t>Brunei</t>
        </is>
      </c>
      <c r="C1795" t="inlineStr">
        <is>
          <t>385</t>
        </is>
      </c>
      <c r="D1795" t="n">
        <v>30.4</v>
      </c>
      <c r="E1795" t="n">
        <v>20.2</v>
      </c>
      <c r="F1795" t="n">
        <v>8.800000000000001</v>
      </c>
      <c r="G1795" t="n">
        <v>92.90000000000001</v>
      </c>
      <c r="H1795" t="n">
        <v>9.9</v>
      </c>
      <c r="I1795" t="n">
        <v>100</v>
      </c>
      <c r="J1795" t="n">
        <v>46.5</v>
      </c>
      <c r="K1795" t="n">
        <v>35.4</v>
      </c>
      <c r="L1795" t="n">
        <v>56.5</v>
      </c>
      <c r="M1795" t="n">
        <v>12.7</v>
      </c>
      <c r="N1795" t="inlineStr">
        <is>
          <t>401–500</t>
        </is>
      </c>
      <c r="O1795" t="inlineStr">
        <is>
          <t>45.4–49.0</t>
        </is>
      </c>
      <c r="P1795" t="n">
        <v>28.5</v>
      </c>
      <c r="Q1795" t="n">
        <v>28.9</v>
      </c>
      <c r="R1795" t="n">
        <v>76</v>
      </c>
      <c r="S1795" t="n">
        <v>22.9</v>
      </c>
      <c r="T1795" t="n">
        <v>75.7</v>
      </c>
      <c r="U1795" t="inlineStr">
        <is>
          <t>3,503</t>
        </is>
      </c>
      <c r="V1795" t="n">
        <v>11.3</v>
      </c>
      <c r="W1795" t="inlineStr">
        <is>
          <t>14%</t>
        </is>
      </c>
      <c r="X1795" t="inlineStr">
        <is>
          <t>66 : 34</t>
        </is>
      </c>
      <c r="Y1795" t="n">
        <v>385</v>
      </c>
      <c r="Z1795" t="n">
        <v>401</v>
      </c>
      <c r="AA1795" t="n">
        <v>47.2</v>
      </c>
      <c r="AB1795" t="inlineStr">
        <is>
          <t>U1794</t>
        </is>
      </c>
      <c r="AC1795" t="inlineStr">
        <is>
          <t>BR</t>
        </is>
      </c>
      <c r="AD1795" t="n">
        <v>30.4</v>
      </c>
      <c r="AE1795" t="n">
        <v>9.9</v>
      </c>
      <c r="AF1795" t="n">
        <v>11.3</v>
      </c>
      <c r="AG1795" t="inlineStr">
        <is>
          <t>1:11.3</t>
        </is>
      </c>
      <c r="AH1795" t="inlineStr">
        <is>
          <t>14%</t>
        </is>
      </c>
      <c r="AI1795" t="n">
        <v>20.2</v>
      </c>
      <c r="AJ1795" t="n">
        <v>29.85</v>
      </c>
    </row>
    <row r="1796">
      <c r="A1796" t="inlineStr">
        <is>
          <t>Universiti Kebangsaan Malaysia (UKM)</t>
        </is>
      </c>
      <c r="B1796" t="inlineStr">
        <is>
          <t>Malaysia</t>
        </is>
      </c>
      <c r="C1796" t="inlineStr">
        <is>
          <t>138</t>
        </is>
      </c>
      <c r="D1796" t="n">
        <v>53.8</v>
      </c>
      <c r="E1796" t="n">
        <v>61.7</v>
      </c>
      <c r="F1796" t="n">
        <v>66.40000000000001</v>
      </c>
      <c r="G1796" t="n">
        <v>80.40000000000001</v>
      </c>
      <c r="H1796" t="n">
        <v>14.1</v>
      </c>
      <c r="I1796" t="n">
        <v>45.7</v>
      </c>
      <c r="J1796" t="n">
        <v>78.8</v>
      </c>
      <c r="K1796" t="n">
        <v>83.7</v>
      </c>
      <c r="L1796" t="n">
        <v>22.5</v>
      </c>
      <c r="M1796" t="n">
        <v>64.40000000000001</v>
      </c>
      <c r="N1796" t="inlineStr">
        <is>
          <t>401–500</t>
        </is>
      </c>
      <c r="O1796" t="inlineStr">
        <is>
          <t>45.4–49.0</t>
        </is>
      </c>
      <c r="P1796" t="n">
        <v>45.7</v>
      </c>
      <c r="Q1796" t="n">
        <v>27.8</v>
      </c>
      <c r="R1796" t="n">
        <v>58.7</v>
      </c>
      <c r="S1796" t="n">
        <v>47.4</v>
      </c>
      <c r="T1796" t="n">
        <v>74.90000000000001</v>
      </c>
      <c r="U1796" t="inlineStr">
        <is>
          <t>16,764</t>
        </is>
      </c>
      <c r="V1796" t="n">
        <v>10.1</v>
      </c>
      <c r="W1796" t="inlineStr">
        <is>
          <t>18%</t>
        </is>
      </c>
      <c r="X1796" t="inlineStr">
        <is>
          <t>57 : 43</t>
        </is>
      </c>
      <c r="Y1796" t="n">
        <v>138</v>
      </c>
      <c r="Z1796" t="n">
        <v>401</v>
      </c>
      <c r="AA1796" t="n">
        <v>47.2</v>
      </c>
      <c r="AB1796" t="inlineStr">
        <is>
          <t>U1795</t>
        </is>
      </c>
      <c r="AC1796" t="inlineStr">
        <is>
          <t>MA</t>
        </is>
      </c>
      <c r="AD1796" t="n">
        <v>53.8</v>
      </c>
      <c r="AE1796" t="n">
        <v>14.1</v>
      </c>
      <c r="AF1796" t="n">
        <v>10.1</v>
      </c>
      <c r="AG1796" t="inlineStr">
        <is>
          <t>1:10.1</t>
        </is>
      </c>
      <c r="AH1796" t="inlineStr">
        <is>
          <t>18%</t>
        </is>
      </c>
      <c r="AI1796" t="n">
        <v>61.7</v>
      </c>
      <c r="AJ1796" t="n">
        <v>30.35</v>
      </c>
    </row>
    <row r="1797">
      <c r="A1797" t="inlineStr">
        <is>
          <t>Universiti Kuala Lumpur (UniKL)</t>
        </is>
      </c>
      <c r="B1797" t="inlineStr">
        <is>
          <t>Malaysia</t>
        </is>
      </c>
      <c r="C1797" t="inlineStr">
        <is>
          <t>1201-1400</t>
        </is>
      </c>
      <c r="D1797" t="inlineStr"/>
      <c r="E1797" t="n">
        <v>6</v>
      </c>
      <c r="F1797" t="n">
        <v>5.3</v>
      </c>
      <c r="G1797" t="n">
        <v>32.7</v>
      </c>
      <c r="H1797" t="n">
        <v>2.2</v>
      </c>
      <c r="I1797" t="n">
        <v>7.4</v>
      </c>
      <c r="J1797" t="n">
        <v>3.9</v>
      </c>
      <c r="K1797" t="n">
        <v>17.3</v>
      </c>
      <c r="L1797" t="n">
        <v>3.9</v>
      </c>
      <c r="M1797" t="n">
        <v>1</v>
      </c>
      <c r="N1797" t="inlineStr">
        <is>
          <t>1501+</t>
        </is>
      </c>
      <c r="O1797" t="inlineStr">
        <is>
          <t>9.7–22.7</t>
        </is>
      </c>
      <c r="P1797" t="n">
        <v>23.6</v>
      </c>
      <c r="Q1797" t="n">
        <v>9</v>
      </c>
      <c r="R1797" t="n">
        <v>24.3</v>
      </c>
      <c r="S1797" t="n">
        <v>25.5</v>
      </c>
      <c r="T1797" t="n">
        <v>43.7</v>
      </c>
      <c r="U1797" t="inlineStr">
        <is>
          <t>15,516</t>
        </is>
      </c>
      <c r="V1797" t="n">
        <v>11.9</v>
      </c>
      <c r="W1797" t="inlineStr">
        <is>
          <t>5%</t>
        </is>
      </c>
      <c r="X1797" t="inlineStr">
        <is>
          <t>43 : 57</t>
        </is>
      </c>
      <c r="Y1797" t="n">
        <v>1201</v>
      </c>
      <c r="Z1797" t="n">
        <v>1501</v>
      </c>
      <c r="AA1797" t="n">
        <v>16.2</v>
      </c>
      <c r="AB1797" t="inlineStr">
        <is>
          <t>U1796</t>
        </is>
      </c>
      <c r="AC1797" t="inlineStr">
        <is>
          <t>MA</t>
        </is>
      </c>
      <c r="AD1797" t="n">
        <v>16.2</v>
      </c>
      <c r="AE1797" t="n">
        <v>2.2</v>
      </c>
      <c r="AF1797" t="n">
        <v>11.9</v>
      </c>
      <c r="AG1797" t="inlineStr">
        <is>
          <t>1:11.9</t>
        </is>
      </c>
      <c r="AH1797" t="inlineStr">
        <is>
          <t>5%</t>
        </is>
      </c>
      <c r="AI1797" t="n">
        <v>6</v>
      </c>
      <c r="AJ1797" t="n">
        <v>9.34</v>
      </c>
    </row>
    <row r="1798">
      <c r="A1798" t="inlineStr">
        <is>
          <t>Universiti Malaya (UM)</t>
        </is>
      </c>
      <c r="B1798" t="inlineStr">
        <is>
          <t>Malaysia</t>
        </is>
      </c>
      <c r="C1798" t="inlineStr">
        <is>
          <t>60</t>
        </is>
      </c>
      <c r="D1798" t="n">
        <v>71.2</v>
      </c>
      <c r="E1798" t="n">
        <v>82.90000000000001</v>
      </c>
      <c r="F1798" t="n">
        <v>95.09999999999999</v>
      </c>
      <c r="G1798" t="n">
        <v>75.7</v>
      </c>
      <c r="H1798" t="n">
        <v>29.1</v>
      </c>
      <c r="I1798" t="n">
        <v>60.2</v>
      </c>
      <c r="J1798" t="n">
        <v>64.2</v>
      </c>
      <c r="K1798" t="n">
        <v>91.8</v>
      </c>
      <c r="L1798" t="n">
        <v>69.3</v>
      </c>
      <c r="M1798" t="n">
        <v>83.59999999999999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n">
        <v>60</v>
      </c>
      <c r="Z1798" t="inlineStr"/>
      <c r="AA1798" t="inlineStr"/>
      <c r="AB1798" t="inlineStr">
        <is>
          <t>U1797</t>
        </is>
      </c>
      <c r="AC1798" t="inlineStr">
        <is>
          <t>MA</t>
        </is>
      </c>
      <c r="AD1798" t="n">
        <v>71.2</v>
      </c>
      <c r="AE1798" t="n">
        <v>29.1</v>
      </c>
      <c r="AF1798" t="inlineStr"/>
      <c r="AG1798" t="inlineStr"/>
      <c r="AH1798" t="inlineStr"/>
      <c r="AI1798" t="n">
        <v>82.90000000000001</v>
      </c>
      <c r="AJ1798" t="n">
        <v>22.21</v>
      </c>
    </row>
    <row r="1799">
      <c r="A1799" t="inlineStr">
        <is>
          <t>Universiti Malaysia Kelantan</t>
        </is>
      </c>
      <c r="B1799" t="inlineStr">
        <is>
          <t>Malaysia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>
        <is>
          <t>1501+</t>
        </is>
      </c>
      <c r="O1799" t="inlineStr">
        <is>
          <t>9.7–22.7</t>
        </is>
      </c>
      <c r="P1799" t="n">
        <v>16.1</v>
      </c>
      <c r="Q1799" t="n">
        <v>13</v>
      </c>
      <c r="R1799" t="n">
        <v>32.6</v>
      </c>
      <c r="S1799" t="n">
        <v>16.2</v>
      </c>
      <c r="T1799" t="n">
        <v>41.9</v>
      </c>
      <c r="U1799" t="inlineStr">
        <is>
          <t>9,238</t>
        </is>
      </c>
      <c r="V1799" t="n">
        <v>19.9</v>
      </c>
      <c r="W1799" t="inlineStr">
        <is>
          <t>3%</t>
        </is>
      </c>
      <c r="X1799" t="inlineStr">
        <is>
          <t>71 : 29</t>
        </is>
      </c>
      <c r="Y1799" t="inlineStr"/>
      <c r="Z1799" t="n">
        <v>1501</v>
      </c>
      <c r="AA1799" t="n">
        <v>16.2</v>
      </c>
      <c r="AB1799" t="inlineStr">
        <is>
          <t>U1798</t>
        </is>
      </c>
      <c r="AC1799" t="inlineStr">
        <is>
          <t>MA</t>
        </is>
      </c>
      <c r="AD1799" t="n">
        <v>16.2</v>
      </c>
      <c r="AE1799" t="n">
        <v>32.6</v>
      </c>
      <c r="AF1799" t="n">
        <v>19.9</v>
      </c>
      <c r="AG1799" t="inlineStr">
        <is>
          <t>1:19.9</t>
        </is>
      </c>
      <c r="AH1799" t="inlineStr">
        <is>
          <t>3%</t>
        </is>
      </c>
      <c r="AI1799" t="inlineStr"/>
      <c r="AJ1799" t="n">
        <v>20.22</v>
      </c>
    </row>
    <row r="1800">
      <c r="A1800" t="inlineStr">
        <is>
          <t>Universiti Malaysia Pahang</t>
        </is>
      </c>
      <c r="B1800" t="inlineStr">
        <is>
          <t>Malaysia</t>
        </is>
      </c>
      <c r="C1800" t="inlineStr">
        <is>
          <t>741-750</t>
        </is>
      </c>
      <c r="D1800" t="inlineStr"/>
      <c r="E1800" t="n">
        <v>10.8</v>
      </c>
      <c r="F1800" t="n">
        <v>5.3</v>
      </c>
      <c r="G1800" t="n">
        <v>15.8</v>
      </c>
      <c r="H1800" t="n">
        <v>35</v>
      </c>
      <c r="I1800" t="n">
        <v>22.1</v>
      </c>
      <c r="J1800" t="n">
        <v>8.6</v>
      </c>
      <c r="K1800" t="n">
        <v>54.7</v>
      </c>
      <c r="L1800" t="n">
        <v>4</v>
      </c>
      <c r="M1800" t="n">
        <v>17.7</v>
      </c>
      <c r="N1800" t="inlineStr">
        <is>
          <t>601–800</t>
        </is>
      </c>
      <c r="O1800" t="inlineStr">
        <is>
          <t>37.0–41.8</t>
        </is>
      </c>
      <c r="P1800" t="n">
        <v>27.4</v>
      </c>
      <c r="Q1800" t="n">
        <v>19</v>
      </c>
      <c r="R1800" t="n">
        <v>67.5</v>
      </c>
      <c r="S1800" t="n">
        <v>28.3</v>
      </c>
      <c r="T1800" t="n">
        <v>57.9</v>
      </c>
      <c r="U1800" t="inlineStr">
        <is>
          <t>8,331</t>
        </is>
      </c>
      <c r="V1800" t="n">
        <v>13.5</v>
      </c>
      <c r="W1800" t="inlineStr">
        <is>
          <t>8%</t>
        </is>
      </c>
      <c r="X1800" t="inlineStr">
        <is>
          <t>49 : 51</t>
        </is>
      </c>
      <c r="Y1800" t="n">
        <v>741</v>
      </c>
      <c r="Z1800" t="n">
        <v>601</v>
      </c>
      <c r="AA1800" t="n">
        <v>39.4</v>
      </c>
      <c r="AB1800" t="inlineStr">
        <is>
          <t>U1799</t>
        </is>
      </c>
      <c r="AC1800" t="inlineStr">
        <is>
          <t>MA</t>
        </is>
      </c>
      <c r="AD1800" t="n">
        <v>39.4</v>
      </c>
      <c r="AE1800" t="n">
        <v>35</v>
      </c>
      <c r="AF1800" t="n">
        <v>13.5</v>
      </c>
      <c r="AG1800" t="inlineStr">
        <is>
          <t>1:13.5</t>
        </is>
      </c>
      <c r="AH1800" t="inlineStr">
        <is>
          <t>8%</t>
        </is>
      </c>
      <c r="AI1800" t="n">
        <v>10.8</v>
      </c>
      <c r="AJ1800" t="n">
        <v>27.96</v>
      </c>
    </row>
    <row r="1801">
      <c r="A1801" t="inlineStr">
        <is>
          <t>Universiti Malaysia Perlis</t>
        </is>
      </c>
      <c r="B1801" t="inlineStr">
        <is>
          <t>Malaysia</t>
        </is>
      </c>
      <c r="C1801" t="inlineStr">
        <is>
          <t>1201-1400</t>
        </is>
      </c>
      <c r="D1801" t="inlineStr"/>
      <c r="E1801" t="n">
        <v>7.8</v>
      </c>
      <c r="F1801" t="n">
        <v>5.1</v>
      </c>
      <c r="G1801" t="n">
        <v>19.2</v>
      </c>
      <c r="H1801" t="n">
        <v>6.7</v>
      </c>
      <c r="I1801" t="n">
        <v>1.8</v>
      </c>
      <c r="J1801" t="n">
        <v>3.5</v>
      </c>
      <c r="K1801" t="n">
        <v>31.1</v>
      </c>
      <c r="L1801" t="n">
        <v>3.9</v>
      </c>
      <c r="M1801" t="n">
        <v>2.8</v>
      </c>
      <c r="N1801" t="inlineStr">
        <is>
          <t>1201–1500</t>
        </is>
      </c>
      <c r="O1801" t="inlineStr">
        <is>
          <t>22.8–28.2</t>
        </is>
      </c>
      <c r="P1801" t="n">
        <v>21.6</v>
      </c>
      <c r="Q1801" t="n">
        <v>12.5</v>
      </c>
      <c r="R1801" t="n">
        <v>46</v>
      </c>
      <c r="S1801" t="n">
        <v>26</v>
      </c>
      <c r="T1801" t="n">
        <v>33.3</v>
      </c>
      <c r="U1801" t="inlineStr">
        <is>
          <t>10,836</t>
        </is>
      </c>
      <c r="V1801" t="n">
        <v>13.6</v>
      </c>
      <c r="W1801" t="inlineStr">
        <is>
          <t>3%</t>
        </is>
      </c>
      <c r="X1801" t="inlineStr">
        <is>
          <t>47 : 53</t>
        </is>
      </c>
      <c r="Y1801" t="n">
        <v>1201</v>
      </c>
      <c r="Z1801" t="n">
        <v>1201</v>
      </c>
      <c r="AA1801" t="n">
        <v>25.5</v>
      </c>
      <c r="AB1801" t="inlineStr">
        <is>
          <t>U1800</t>
        </is>
      </c>
      <c r="AC1801" t="inlineStr">
        <is>
          <t>MA</t>
        </is>
      </c>
      <c r="AD1801" t="n">
        <v>25.5</v>
      </c>
      <c r="AE1801" t="n">
        <v>6.7</v>
      </c>
      <c r="AF1801" t="n">
        <v>13.6</v>
      </c>
      <c r="AG1801" t="inlineStr">
        <is>
          <t>1:13.6</t>
        </is>
      </c>
      <c r="AH1801" t="inlineStr">
        <is>
          <t>3%</t>
        </is>
      </c>
      <c r="AI1801" t="n">
        <v>7.8</v>
      </c>
      <c r="AJ1801" t="n">
        <v>10.03</v>
      </c>
    </row>
    <row r="1802">
      <c r="A1802" t="inlineStr">
        <is>
          <t>Universiti Malaysia Sabah (UMS)</t>
        </is>
      </c>
      <c r="B1802" t="inlineStr">
        <is>
          <t>Malaysia</t>
        </is>
      </c>
      <c r="C1802" t="inlineStr">
        <is>
          <t>1001-1200</t>
        </is>
      </c>
      <c r="D1802" t="inlineStr"/>
      <c r="E1802" t="n">
        <v>14.7</v>
      </c>
      <c r="F1802" t="n">
        <v>8.9</v>
      </c>
      <c r="G1802" t="n">
        <v>8.5</v>
      </c>
      <c r="H1802" t="n">
        <v>3.7</v>
      </c>
      <c r="I1802" t="n">
        <v>10.2</v>
      </c>
      <c r="J1802" t="n">
        <v>4.7</v>
      </c>
      <c r="K1802" t="n">
        <v>28.2</v>
      </c>
      <c r="L1802" t="n">
        <v>3.8</v>
      </c>
      <c r="M1802" t="n">
        <v>1.4</v>
      </c>
      <c r="N1802" t="inlineStr">
        <is>
          <t>1501+</t>
        </is>
      </c>
      <c r="O1802" t="inlineStr">
        <is>
          <t>9.7–22.7</t>
        </is>
      </c>
      <c r="P1802" t="n">
        <v>17.8</v>
      </c>
      <c r="Q1802" t="n">
        <v>14.3</v>
      </c>
      <c r="R1802" t="n">
        <v>25</v>
      </c>
      <c r="S1802" t="n">
        <v>21.8</v>
      </c>
      <c r="T1802" t="n">
        <v>41.8</v>
      </c>
      <c r="U1802" t="inlineStr">
        <is>
          <t>17,316</t>
        </is>
      </c>
      <c r="V1802" t="n">
        <v>16.6</v>
      </c>
      <c r="W1802" t="inlineStr">
        <is>
          <t>4%</t>
        </is>
      </c>
      <c r="X1802" t="inlineStr">
        <is>
          <t>66 : 34</t>
        </is>
      </c>
      <c r="Y1802" t="n">
        <v>1001</v>
      </c>
      <c r="Z1802" t="n">
        <v>1501</v>
      </c>
      <c r="AA1802" t="n">
        <v>16.2</v>
      </c>
      <c r="AB1802" t="inlineStr">
        <is>
          <t>U1801</t>
        </is>
      </c>
      <c r="AC1802" t="inlineStr">
        <is>
          <t>MA</t>
        </is>
      </c>
      <c r="AD1802" t="n">
        <v>16.2</v>
      </c>
      <c r="AE1802" t="n">
        <v>3.7</v>
      </c>
      <c r="AF1802" t="n">
        <v>16.6</v>
      </c>
      <c r="AG1802" t="inlineStr">
        <is>
          <t>1:16.6</t>
        </is>
      </c>
      <c r="AH1802" t="inlineStr">
        <is>
          <t>4%</t>
        </is>
      </c>
      <c r="AI1802" t="n">
        <v>14.7</v>
      </c>
      <c r="AJ1802" t="n">
        <v>12.12</v>
      </c>
    </row>
    <row r="1803">
      <c r="A1803" t="inlineStr">
        <is>
          <t>Universiti Malaysia Sarawak (UNIMAS)</t>
        </is>
      </c>
      <c r="B1803" t="inlineStr">
        <is>
          <t>Malaysia</t>
        </is>
      </c>
      <c r="C1803" t="inlineStr">
        <is>
          <t>1001-1200</t>
        </is>
      </c>
      <c r="D1803" t="inlineStr"/>
      <c r="E1803" t="n">
        <v>13.2</v>
      </c>
      <c r="F1803" t="n">
        <v>7.3</v>
      </c>
      <c r="G1803" t="n">
        <v>13.1</v>
      </c>
      <c r="H1803" t="n">
        <v>3.2</v>
      </c>
      <c r="I1803" t="n">
        <v>34.8</v>
      </c>
      <c r="J1803" t="n">
        <v>10.5</v>
      </c>
      <c r="K1803" t="n">
        <v>28.9</v>
      </c>
      <c r="L1803" t="n">
        <v>3.7</v>
      </c>
      <c r="M1803" t="n">
        <v>9.1</v>
      </c>
      <c r="N1803" t="inlineStr">
        <is>
          <t>1001–1200</t>
        </is>
      </c>
      <c r="O1803" t="inlineStr">
        <is>
          <t>28.3–32.6</t>
        </is>
      </c>
      <c r="P1803" t="n">
        <v>29.9</v>
      </c>
      <c r="Q1803" t="n">
        <v>19.3</v>
      </c>
      <c r="R1803" t="n">
        <v>22.9</v>
      </c>
      <c r="S1803" t="n">
        <v>66.90000000000001</v>
      </c>
      <c r="T1803" t="n">
        <v>61</v>
      </c>
      <c r="U1803" t="inlineStr">
        <is>
          <t>12,158</t>
        </is>
      </c>
      <c r="V1803" t="n">
        <v>14.9</v>
      </c>
      <c r="W1803" t="inlineStr">
        <is>
          <t>13%</t>
        </is>
      </c>
      <c r="X1803" t="inlineStr">
        <is>
          <t>71 : 29</t>
        </is>
      </c>
      <c r="Y1803" t="n">
        <v>1001</v>
      </c>
      <c r="Z1803" t="n">
        <v>1001</v>
      </c>
      <c r="AA1803" t="n">
        <v>30.45</v>
      </c>
      <c r="AB1803" t="inlineStr">
        <is>
          <t>U1802</t>
        </is>
      </c>
      <c r="AC1803" t="inlineStr">
        <is>
          <t>MA</t>
        </is>
      </c>
      <c r="AD1803" t="n">
        <v>30.45</v>
      </c>
      <c r="AE1803" t="n">
        <v>3.2</v>
      </c>
      <c r="AF1803" t="n">
        <v>14.9</v>
      </c>
      <c r="AG1803" t="inlineStr">
        <is>
          <t>1:14.9</t>
        </is>
      </c>
      <c r="AH1803" t="inlineStr">
        <is>
          <t>13%</t>
        </is>
      </c>
      <c r="AI1803" t="n">
        <v>13.2</v>
      </c>
      <c r="AJ1803" t="n">
        <v>19.23</v>
      </c>
    </row>
    <row r="1804">
      <c r="A1804" t="inlineStr">
        <is>
          <t>Universiti Malaysia Terengganu (UMT)</t>
        </is>
      </c>
      <c r="B1804" t="inlineStr">
        <is>
          <t>Malaysia</t>
        </is>
      </c>
      <c r="C1804" t="inlineStr">
        <is>
          <t>1001-1200</t>
        </is>
      </c>
      <c r="D1804" t="inlineStr"/>
      <c r="E1804" t="n">
        <v>10.5</v>
      </c>
      <c r="F1804" t="n">
        <v>4.3</v>
      </c>
      <c r="G1804" t="n">
        <v>12</v>
      </c>
      <c r="H1804" t="n">
        <v>12.2</v>
      </c>
      <c r="I1804" t="n">
        <v>11.1</v>
      </c>
      <c r="J1804" t="n">
        <v>12.1</v>
      </c>
      <c r="K1804" t="n">
        <v>50.2</v>
      </c>
      <c r="L1804" t="n">
        <v>3.7</v>
      </c>
      <c r="M1804" t="n">
        <v>18.2</v>
      </c>
      <c r="N1804" t="inlineStr">
        <is>
          <t>1001–1200</t>
        </is>
      </c>
      <c r="O1804" t="inlineStr">
        <is>
          <t>28.3–32.6</t>
        </is>
      </c>
      <c r="P1804" t="n">
        <v>19.1</v>
      </c>
      <c r="Q1804" t="n">
        <v>18.7</v>
      </c>
      <c r="R1804" t="n">
        <v>47.6</v>
      </c>
      <c r="S1804" t="n">
        <v>30.1</v>
      </c>
      <c r="T1804" t="n">
        <v>49.7</v>
      </c>
      <c r="U1804" t="inlineStr">
        <is>
          <t>10,143</t>
        </is>
      </c>
      <c r="V1804" t="n">
        <v>16.8</v>
      </c>
      <c r="W1804" t="inlineStr">
        <is>
          <t>5%</t>
        </is>
      </c>
      <c r="X1804" t="inlineStr">
        <is>
          <t>69 : 31</t>
        </is>
      </c>
      <c r="Y1804" t="n">
        <v>1001</v>
      </c>
      <c r="Z1804" t="n">
        <v>1001</v>
      </c>
      <c r="AA1804" t="n">
        <v>30.45</v>
      </c>
      <c r="AB1804" t="inlineStr">
        <is>
          <t>U1803</t>
        </is>
      </c>
      <c r="AC1804" t="inlineStr">
        <is>
          <t>MA</t>
        </is>
      </c>
      <c r="AD1804" t="n">
        <v>30.45</v>
      </c>
      <c r="AE1804" t="n">
        <v>12.2</v>
      </c>
      <c r="AF1804" t="n">
        <v>16.8</v>
      </c>
      <c r="AG1804" t="inlineStr">
        <is>
          <t>1:16.8</t>
        </is>
      </c>
      <c r="AH1804" t="inlineStr">
        <is>
          <t>5%</t>
        </is>
      </c>
      <c r="AI1804" t="n">
        <v>10.5</v>
      </c>
      <c r="AJ1804" t="n">
        <v>18.91</v>
      </c>
    </row>
    <row r="1805">
      <c r="A1805" t="inlineStr">
        <is>
          <t>Universiti Pendidikan Sultan Idris (UPSI)</t>
        </is>
      </c>
      <c r="B1805" t="inlineStr">
        <is>
          <t>Malaysia</t>
        </is>
      </c>
      <c r="C1805" t="inlineStr">
        <is>
          <t>951-1000</t>
        </is>
      </c>
      <c r="D1805" t="inlineStr"/>
      <c r="E1805" t="n">
        <v>13.1</v>
      </c>
      <c r="F1805" t="n">
        <v>9.9</v>
      </c>
      <c r="G1805" t="n">
        <v>27.5</v>
      </c>
      <c r="H1805" t="n">
        <v>2.7</v>
      </c>
      <c r="I1805" t="n">
        <v>21.3</v>
      </c>
      <c r="J1805" t="n">
        <v>38.3</v>
      </c>
      <c r="K1805" t="n">
        <v>21.1</v>
      </c>
      <c r="L1805" t="n">
        <v>3.9</v>
      </c>
      <c r="M1805" t="n">
        <v>2.2</v>
      </c>
      <c r="N1805" t="inlineStr">
        <is>
          <t>601–800</t>
        </is>
      </c>
      <c r="O1805" t="inlineStr">
        <is>
          <t>37.0–41.8</t>
        </is>
      </c>
      <c r="P1805" t="n">
        <v>35.3</v>
      </c>
      <c r="Q1805" t="n">
        <v>25.2</v>
      </c>
      <c r="R1805" t="n">
        <v>38.8</v>
      </c>
      <c r="S1805" t="n">
        <v>62.3</v>
      </c>
      <c r="T1805" t="n">
        <v>70.8</v>
      </c>
      <c r="U1805" t="inlineStr">
        <is>
          <t>5,920</t>
        </is>
      </c>
      <c r="V1805" t="n">
        <v>9.800000000000001</v>
      </c>
      <c r="W1805" t="inlineStr">
        <is>
          <t>20%</t>
        </is>
      </c>
      <c r="X1805" t="inlineStr">
        <is>
          <t>57 : 43</t>
        </is>
      </c>
      <c r="Y1805" t="n">
        <v>951</v>
      </c>
      <c r="Z1805" t="n">
        <v>601</v>
      </c>
      <c r="AA1805" t="n">
        <v>39.4</v>
      </c>
      <c r="AB1805" t="inlineStr">
        <is>
          <t>U1804</t>
        </is>
      </c>
      <c r="AC1805" t="inlineStr">
        <is>
          <t>MA</t>
        </is>
      </c>
      <c r="AD1805" t="n">
        <v>39.4</v>
      </c>
      <c r="AE1805" t="n">
        <v>2.7</v>
      </c>
      <c r="AF1805" t="n">
        <v>9.800000000000001</v>
      </c>
      <c r="AG1805" t="inlineStr">
        <is>
          <t>1:9.8</t>
        </is>
      </c>
      <c r="AH1805" t="inlineStr">
        <is>
          <t>20%</t>
        </is>
      </c>
      <c r="AI1805" t="n">
        <v>13.1</v>
      </c>
      <c r="AJ1805" t="n">
        <v>24.54</v>
      </c>
    </row>
    <row r="1806">
      <c r="A1806" t="inlineStr">
        <is>
          <t>Universiti Putra Malaysia (UPM)</t>
        </is>
      </c>
      <c r="B1806" t="inlineStr">
        <is>
          <t>Malaysia</t>
        </is>
      </c>
      <c r="C1806" t="inlineStr">
        <is>
          <t>148</t>
        </is>
      </c>
      <c r="D1806" t="n">
        <v>52.3</v>
      </c>
      <c r="E1806" t="n">
        <v>61</v>
      </c>
      <c r="F1806" t="n">
        <v>61.9</v>
      </c>
      <c r="G1806" t="n">
        <v>58.8</v>
      </c>
      <c r="H1806" t="n">
        <v>25.7</v>
      </c>
      <c r="I1806" t="n">
        <v>36.1</v>
      </c>
      <c r="J1806" t="n">
        <v>92</v>
      </c>
      <c r="K1806" t="n">
        <v>80.5</v>
      </c>
      <c r="L1806" t="n">
        <v>17.5</v>
      </c>
      <c r="M1806" t="n">
        <v>53.5</v>
      </c>
      <c r="N1806" t="inlineStr">
        <is>
          <t>501–600</t>
        </is>
      </c>
      <c r="O1806" t="inlineStr">
        <is>
          <t>41.9–45.3</t>
        </is>
      </c>
      <c r="P1806" t="n">
        <v>36</v>
      </c>
      <c r="Q1806" t="n">
        <v>30.5</v>
      </c>
      <c r="R1806" t="n">
        <v>51.2</v>
      </c>
      <c r="S1806" t="n">
        <v>64.90000000000001</v>
      </c>
      <c r="T1806" t="n">
        <v>80.7</v>
      </c>
      <c r="U1806" t="inlineStr">
        <is>
          <t>19,001</t>
        </is>
      </c>
      <c r="V1806" t="n">
        <v>11.3</v>
      </c>
      <c r="W1806" t="inlineStr">
        <is>
          <t>27%</t>
        </is>
      </c>
      <c r="X1806" t="inlineStr">
        <is>
          <t>65 : 35</t>
        </is>
      </c>
      <c r="Y1806" t="n">
        <v>148</v>
      </c>
      <c r="Z1806" t="n">
        <v>501</v>
      </c>
      <c r="AA1806" t="n">
        <v>43.59999999999999</v>
      </c>
      <c r="AB1806" t="inlineStr">
        <is>
          <t>U1805</t>
        </is>
      </c>
      <c r="AC1806" t="inlineStr">
        <is>
          <t>MA</t>
        </is>
      </c>
      <c r="AD1806" t="n">
        <v>52.3</v>
      </c>
      <c r="AE1806" t="n">
        <v>25.7</v>
      </c>
      <c r="AF1806" t="n">
        <v>11.3</v>
      </c>
      <c r="AG1806" t="inlineStr">
        <is>
          <t>1:11.3</t>
        </is>
      </c>
      <c r="AH1806" t="inlineStr">
        <is>
          <t>27%</t>
        </is>
      </c>
      <c r="AI1806" t="n">
        <v>61</v>
      </c>
      <c r="AJ1806" t="n">
        <v>36.68</v>
      </c>
    </row>
    <row r="1807">
      <c r="A1807" t="inlineStr">
        <is>
          <t>Universiti Sains Islam Malaysia</t>
        </is>
      </c>
      <c r="B1807" t="inlineStr">
        <is>
          <t>Malaysia</t>
        </is>
      </c>
      <c r="C1807" t="inlineStr">
        <is>
          <t>1401+</t>
        </is>
      </c>
      <c r="D1807" t="inlineStr"/>
      <c r="E1807" t="n">
        <v>6.6</v>
      </c>
      <c r="F1807" t="n">
        <v>2.5</v>
      </c>
      <c r="G1807" t="n">
        <v>8.800000000000001</v>
      </c>
      <c r="H1807" t="n">
        <v>1.9</v>
      </c>
      <c r="I1807" t="n">
        <v>8.4</v>
      </c>
      <c r="J1807" t="n">
        <v>6.1</v>
      </c>
      <c r="K1807" t="n">
        <v>12.5</v>
      </c>
      <c r="L1807" t="n">
        <v>3.3</v>
      </c>
      <c r="M1807" t="n">
        <v>1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n">
        <v>1401</v>
      </c>
      <c r="Z1807" t="inlineStr"/>
      <c r="AA1807" t="inlineStr"/>
      <c r="AB1807" t="inlineStr">
        <is>
          <t>U1806</t>
        </is>
      </c>
      <c r="AC1807" t="inlineStr">
        <is>
          <t>MA</t>
        </is>
      </c>
      <c r="AD1807" t="inlineStr"/>
      <c r="AE1807" t="n">
        <v>1.9</v>
      </c>
      <c r="AF1807" t="inlineStr"/>
      <c r="AG1807" t="inlineStr"/>
      <c r="AH1807" t="inlineStr"/>
      <c r="AI1807" t="n">
        <v>6.6</v>
      </c>
      <c r="AJ1807" t="n">
        <v>13.96</v>
      </c>
    </row>
    <row r="1808">
      <c r="A1808" t="inlineStr">
        <is>
          <t>Universiti Sains Malaysia (USM)</t>
        </is>
      </c>
      <c r="B1808" t="inlineStr">
        <is>
          <t>Malaysia</t>
        </is>
      </c>
      <c r="C1808" t="inlineStr">
        <is>
          <t>146</t>
        </is>
      </c>
      <c r="D1808" t="n">
        <v>52.7</v>
      </c>
      <c r="E1808" t="n">
        <v>63.3</v>
      </c>
      <c r="F1808" t="n">
        <v>69.7</v>
      </c>
      <c r="G1808" t="n">
        <v>46.4</v>
      </c>
      <c r="H1808" t="n">
        <v>19.6</v>
      </c>
      <c r="I1808" t="n">
        <v>24.3</v>
      </c>
      <c r="J1808" t="n">
        <v>96.40000000000001</v>
      </c>
      <c r="K1808" t="n">
        <v>87.8</v>
      </c>
      <c r="L1808" t="n">
        <v>20.1</v>
      </c>
      <c r="M1808" t="n">
        <v>71.2</v>
      </c>
      <c r="N1808" t="inlineStr">
        <is>
          <t>401–500</t>
        </is>
      </c>
      <c r="O1808" t="inlineStr">
        <is>
          <t>45.4–49.0</t>
        </is>
      </c>
      <c r="P1808" t="n">
        <v>42.9</v>
      </c>
      <c r="Q1808" t="n">
        <v>27.8</v>
      </c>
      <c r="R1808" t="n">
        <v>60</v>
      </c>
      <c r="S1808" t="n">
        <v>53.7</v>
      </c>
      <c r="T1808" t="n">
        <v>71.90000000000001</v>
      </c>
      <c r="U1808" t="inlineStr">
        <is>
          <t>24,850</t>
        </is>
      </c>
      <c r="V1808" t="n">
        <v>12.1</v>
      </c>
      <c r="W1808" t="inlineStr">
        <is>
          <t>28%</t>
        </is>
      </c>
      <c r="X1808" t="inlineStr">
        <is>
          <t>63 : 37</t>
        </is>
      </c>
      <c r="Y1808" t="n">
        <v>146</v>
      </c>
      <c r="Z1808" t="n">
        <v>401</v>
      </c>
      <c r="AA1808" t="n">
        <v>47.2</v>
      </c>
      <c r="AB1808" t="inlineStr">
        <is>
          <t>U1807</t>
        </is>
      </c>
      <c r="AC1808" t="inlineStr">
        <is>
          <t>MA</t>
        </is>
      </c>
      <c r="AD1808" t="n">
        <v>52.7</v>
      </c>
      <c r="AE1808" t="n">
        <v>19.6</v>
      </c>
      <c r="AF1808" t="n">
        <v>12.1</v>
      </c>
      <c r="AG1808" t="inlineStr">
        <is>
          <t>1:12.1</t>
        </is>
      </c>
      <c r="AH1808" t="inlineStr">
        <is>
          <t>28%</t>
        </is>
      </c>
      <c r="AI1808" t="n">
        <v>63.3</v>
      </c>
      <c r="AJ1808" t="n">
        <v>31.29</v>
      </c>
    </row>
    <row r="1809">
      <c r="A1809" t="inlineStr">
        <is>
          <t>Universiti Sultan Zainal Abidin</t>
        </is>
      </c>
      <c r="B1809" t="inlineStr">
        <is>
          <t>Malaysia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>
        <is>
          <t>1201–1500</t>
        </is>
      </c>
      <c r="O1809" t="inlineStr">
        <is>
          <t>22.8–28.2</t>
        </is>
      </c>
      <c r="P1809" t="n">
        <v>24.1</v>
      </c>
      <c r="Q1809" t="n">
        <v>11.3</v>
      </c>
      <c r="R1809" t="n">
        <v>38.6</v>
      </c>
      <c r="S1809" t="n">
        <v>16.5</v>
      </c>
      <c r="T1809" t="n">
        <v>47</v>
      </c>
      <c r="U1809" t="inlineStr">
        <is>
          <t>12,271</t>
        </is>
      </c>
      <c r="V1809" t="n">
        <v>17.7</v>
      </c>
      <c r="W1809" t="inlineStr">
        <is>
          <t>7%</t>
        </is>
      </c>
      <c r="X1809" t="inlineStr">
        <is>
          <t>67 : 33</t>
        </is>
      </c>
      <c r="Y1809" t="inlineStr"/>
      <c r="Z1809" t="n">
        <v>1201</v>
      </c>
      <c r="AA1809" t="n">
        <v>25.5</v>
      </c>
      <c r="AB1809" t="inlineStr">
        <is>
          <t>U1808</t>
        </is>
      </c>
      <c r="AC1809" t="inlineStr">
        <is>
          <t>MA</t>
        </is>
      </c>
      <c r="AD1809" t="n">
        <v>25.5</v>
      </c>
      <c r="AE1809" t="n">
        <v>38.6</v>
      </c>
      <c r="AF1809" t="n">
        <v>17.7</v>
      </c>
      <c r="AG1809" t="inlineStr">
        <is>
          <t>1:17.7</t>
        </is>
      </c>
      <c r="AH1809" t="inlineStr">
        <is>
          <t>7%</t>
        </is>
      </c>
      <c r="AI1809" t="inlineStr"/>
      <c r="AJ1809" t="n">
        <v>22.38</v>
      </c>
    </row>
    <row r="1810">
      <c r="A1810" t="inlineStr">
        <is>
          <t>Universiti Teknikal Malaysia Melaka</t>
        </is>
      </c>
      <c r="B1810" t="inlineStr">
        <is>
          <t>Malaysia</t>
        </is>
      </c>
      <c r="C1810" t="inlineStr">
        <is>
          <t>1201-1400</t>
        </is>
      </c>
      <c r="D1810" t="inlineStr"/>
      <c r="E1810" t="n">
        <v>6.3</v>
      </c>
      <c r="F1810" t="n">
        <v>5.7</v>
      </c>
      <c r="G1810" t="n">
        <v>10.6</v>
      </c>
      <c r="H1810" t="n">
        <v>5.8</v>
      </c>
      <c r="I1810" t="n">
        <v>3.9</v>
      </c>
      <c r="J1810" t="n">
        <v>4.8</v>
      </c>
      <c r="K1810" t="n">
        <v>18.9</v>
      </c>
      <c r="L1810" t="n">
        <v>3.9</v>
      </c>
      <c r="M1810" t="n">
        <v>2.5</v>
      </c>
      <c r="N1810" t="inlineStr">
        <is>
          <t>1201–1500</t>
        </is>
      </c>
      <c r="O1810" t="inlineStr">
        <is>
          <t>22.8–28.2</t>
        </is>
      </c>
      <c r="P1810" t="n">
        <v>20.1</v>
      </c>
      <c r="Q1810" t="n">
        <v>11.4</v>
      </c>
      <c r="R1810" t="n">
        <v>32.6</v>
      </c>
      <c r="S1810" t="n">
        <v>19.6</v>
      </c>
      <c r="T1810" t="n">
        <v>44.2</v>
      </c>
      <c r="U1810" t="inlineStr">
        <is>
          <t>11,730</t>
        </is>
      </c>
      <c r="V1810" t="n">
        <v>16.1</v>
      </c>
      <c r="W1810" t="inlineStr">
        <is>
          <t>6%</t>
        </is>
      </c>
      <c r="X1810" t="inlineStr">
        <is>
          <t>38 : 62</t>
        </is>
      </c>
      <c r="Y1810" t="n">
        <v>1201</v>
      </c>
      <c r="Z1810" t="n">
        <v>1201</v>
      </c>
      <c r="AA1810" t="n">
        <v>25.5</v>
      </c>
      <c r="AB1810" t="inlineStr">
        <is>
          <t>U1809</t>
        </is>
      </c>
      <c r="AC1810" t="inlineStr">
        <is>
          <t>MA</t>
        </is>
      </c>
      <c r="AD1810" t="n">
        <v>25.5</v>
      </c>
      <c r="AE1810" t="n">
        <v>5.8</v>
      </c>
      <c r="AF1810" t="n">
        <v>16.1</v>
      </c>
      <c r="AG1810" t="inlineStr">
        <is>
          <t>1:16.1</t>
        </is>
      </c>
      <c r="AH1810" t="inlineStr">
        <is>
          <t>6%</t>
        </is>
      </c>
      <c r="AI1810" t="n">
        <v>6.3</v>
      </c>
      <c r="AJ1810" t="n">
        <v>11.81</v>
      </c>
    </row>
    <row r="1811">
      <c r="A1811" t="inlineStr">
        <is>
          <t>Universiti Teknologi Brunei</t>
        </is>
      </c>
      <c r="B1811" t="inlineStr">
        <is>
          <t>Brunei</t>
        </is>
      </c>
      <c r="C1811" t="inlineStr">
        <is>
          <t>562</t>
        </is>
      </c>
      <c r="D1811" t="n">
        <v>22.2</v>
      </c>
      <c r="E1811" t="n">
        <v>15.4</v>
      </c>
      <c r="F1811" t="n">
        <v>6.3</v>
      </c>
      <c r="G1811" t="n">
        <v>88.5</v>
      </c>
      <c r="H1811" t="n">
        <v>9.9</v>
      </c>
      <c r="I1811" t="n">
        <v>100</v>
      </c>
      <c r="J1811" t="n">
        <v>5.8</v>
      </c>
      <c r="K1811" t="n">
        <v>15.9</v>
      </c>
      <c r="L1811" t="n">
        <v>14.7</v>
      </c>
      <c r="M1811" t="n">
        <v>1.4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n">
        <v>562</v>
      </c>
      <c r="Z1811" t="inlineStr"/>
      <c r="AA1811" t="inlineStr"/>
      <c r="AB1811" t="inlineStr">
        <is>
          <t>U1810</t>
        </is>
      </c>
      <c r="AC1811" t="inlineStr">
        <is>
          <t>BR</t>
        </is>
      </c>
      <c r="AD1811" t="n">
        <v>22.2</v>
      </c>
      <c r="AE1811" t="n">
        <v>9.9</v>
      </c>
      <c r="AF1811" t="inlineStr"/>
      <c r="AG1811" t="inlineStr"/>
      <c r="AH1811" t="inlineStr"/>
      <c r="AI1811" t="n">
        <v>15.4</v>
      </c>
      <c r="AJ1811" t="n">
        <v>16.39</v>
      </c>
    </row>
    <row r="1812">
      <c r="A1812" t="inlineStr">
        <is>
          <t xml:space="preserve">Universiti Teknologi Malaysia </t>
        </is>
      </c>
      <c r="B1812" t="inlineStr">
        <is>
          <t>Malaysia</t>
        </is>
      </c>
      <c r="C1812" t="inlineStr">
        <is>
          <t>181</t>
        </is>
      </c>
      <c r="D1812" t="n">
        <v>48.5</v>
      </c>
      <c r="E1812" t="n">
        <v>48.6</v>
      </c>
      <c r="F1812" t="n">
        <v>59.6</v>
      </c>
      <c r="G1812" t="n">
        <v>46</v>
      </c>
      <c r="H1812" t="n">
        <v>40.5</v>
      </c>
      <c r="I1812" t="n">
        <v>14.1</v>
      </c>
      <c r="J1812" t="n">
        <v>86.90000000000001</v>
      </c>
      <c r="K1812" t="n">
        <v>82.90000000000001</v>
      </c>
      <c r="L1812" t="n">
        <v>18</v>
      </c>
      <c r="M1812" t="n">
        <v>52.1</v>
      </c>
      <c r="N1812" t="inlineStr">
        <is>
          <t>401–500</t>
        </is>
      </c>
      <c r="O1812" t="inlineStr">
        <is>
          <t>45.4–49.0</t>
        </is>
      </c>
      <c r="P1812" t="n">
        <v>44.1</v>
      </c>
      <c r="Q1812" t="n">
        <v>29.3</v>
      </c>
      <c r="R1812" t="n">
        <v>65</v>
      </c>
      <c r="S1812" t="n">
        <v>55</v>
      </c>
      <c r="T1812" t="n">
        <v>71.5</v>
      </c>
      <c r="U1812" t="inlineStr">
        <is>
          <t>20,863</t>
        </is>
      </c>
      <c r="V1812" t="n">
        <v>12.7</v>
      </c>
      <c r="W1812" t="inlineStr">
        <is>
          <t>26%</t>
        </is>
      </c>
      <c r="X1812" t="inlineStr">
        <is>
          <t>45 : 55</t>
        </is>
      </c>
      <c r="Y1812" t="n">
        <v>181</v>
      </c>
      <c r="Z1812" t="n">
        <v>401</v>
      </c>
      <c r="AA1812" t="n">
        <v>47.2</v>
      </c>
      <c r="AB1812" t="inlineStr">
        <is>
          <t>U1811</t>
        </is>
      </c>
      <c r="AC1812" t="inlineStr">
        <is>
          <t>MA</t>
        </is>
      </c>
      <c r="AD1812" t="n">
        <v>48.5</v>
      </c>
      <c r="AE1812" t="n">
        <v>40.5</v>
      </c>
      <c r="AF1812" t="n">
        <v>12.7</v>
      </c>
      <c r="AG1812" t="inlineStr">
        <is>
          <t>1:12.7</t>
        </is>
      </c>
      <c r="AH1812" t="inlineStr">
        <is>
          <t>26%</t>
        </is>
      </c>
      <c r="AI1812" t="n">
        <v>48.6</v>
      </c>
      <c r="AJ1812" t="n">
        <v>38.31</v>
      </c>
    </row>
    <row r="1813">
      <c r="A1813" t="inlineStr">
        <is>
          <t>Universiti Teknologi MARA</t>
        </is>
      </c>
      <c r="B1813" t="inlineStr">
        <is>
          <t>Malaysia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>
        <is>
          <t>1501+</t>
        </is>
      </c>
      <c r="O1813" t="inlineStr">
        <is>
          <t>9.7–22.7</t>
        </is>
      </c>
      <c r="P1813" t="n">
        <v>20.2</v>
      </c>
      <c r="Q1813" t="n">
        <v>14.7</v>
      </c>
      <c r="R1813" t="n">
        <v>28.6</v>
      </c>
      <c r="S1813" t="n">
        <v>23.9</v>
      </c>
      <c r="T1813" t="n">
        <v>24.2</v>
      </c>
      <c r="U1813" t="inlineStr">
        <is>
          <t>60,755</t>
        </is>
      </c>
      <c r="V1813" t="n">
        <v>16.3</v>
      </c>
      <c r="W1813" t="inlineStr">
        <is>
          <t>1%</t>
        </is>
      </c>
      <c r="X1813" t="inlineStr">
        <is>
          <t>67 : 33</t>
        </is>
      </c>
      <c r="Y1813" t="inlineStr"/>
      <c r="Z1813" t="n">
        <v>1501</v>
      </c>
      <c r="AA1813" t="n">
        <v>16.2</v>
      </c>
      <c r="AB1813" t="inlineStr">
        <is>
          <t>U1812</t>
        </is>
      </c>
      <c r="AC1813" t="inlineStr">
        <is>
          <t>MA</t>
        </is>
      </c>
      <c r="AD1813" t="n">
        <v>16.2</v>
      </c>
      <c r="AE1813" t="n">
        <v>28.6</v>
      </c>
      <c r="AF1813" t="n">
        <v>16.3</v>
      </c>
      <c r="AG1813" t="inlineStr">
        <is>
          <t>1:16.3</t>
        </is>
      </c>
      <c r="AH1813" t="inlineStr">
        <is>
          <t>1%</t>
        </is>
      </c>
      <c r="AI1813" t="inlineStr"/>
      <c r="AJ1813" t="n">
        <v>15.62</v>
      </c>
    </row>
    <row r="1814">
      <c r="A1814" t="inlineStr">
        <is>
          <t>Universiti Teknologi MARA - UiTM</t>
        </is>
      </c>
      <c r="B1814" t="inlineStr">
        <is>
          <t>Malaysia</t>
        </is>
      </c>
      <c r="C1814" t="inlineStr">
        <is>
          <t>587</t>
        </is>
      </c>
      <c r="D1814" t="n">
        <v>21.1</v>
      </c>
      <c r="E1814" t="n">
        <v>30.8</v>
      </c>
      <c r="F1814" t="n">
        <v>40.4</v>
      </c>
      <c r="G1814" t="n">
        <v>17.6</v>
      </c>
      <c r="H1814" t="n">
        <v>2.8</v>
      </c>
      <c r="I1814" t="n">
        <v>1.7</v>
      </c>
      <c r="J1814" t="n">
        <v>2.1</v>
      </c>
      <c r="K1814" t="n">
        <v>68.59999999999999</v>
      </c>
      <c r="L1814" t="n">
        <v>3.6</v>
      </c>
      <c r="M1814" t="n">
        <v>15.2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n">
        <v>587</v>
      </c>
      <c r="Z1814" t="inlineStr"/>
      <c r="AA1814" t="inlineStr"/>
      <c r="AB1814" t="inlineStr">
        <is>
          <t>U1813</t>
        </is>
      </c>
      <c r="AC1814" t="inlineStr">
        <is>
          <t>MA</t>
        </is>
      </c>
      <c r="AD1814" t="n">
        <v>21.1</v>
      </c>
      <c r="AE1814" t="n">
        <v>2.8</v>
      </c>
      <c r="AF1814" t="inlineStr"/>
      <c r="AG1814" t="inlineStr"/>
      <c r="AH1814" t="inlineStr"/>
      <c r="AI1814" t="n">
        <v>30.8</v>
      </c>
      <c r="AJ1814" t="n">
        <v>14.24</v>
      </c>
    </row>
    <row r="1815">
      <c r="A1815" t="inlineStr">
        <is>
          <t>Universiti Teknologi PETRONAS (UTP)</t>
        </is>
      </c>
      <c r="B1815" t="inlineStr">
        <is>
          <t>Malaysia</t>
        </is>
      </c>
      <c r="C1815" t="inlineStr">
        <is>
          <t>269</t>
        </is>
      </c>
      <c r="D1815" t="n">
        <v>38.6</v>
      </c>
      <c r="E1815" t="n">
        <v>19.5</v>
      </c>
      <c r="F1815" t="n">
        <v>28.1</v>
      </c>
      <c r="G1815" t="n">
        <v>38.5</v>
      </c>
      <c r="H1815" t="n">
        <v>79</v>
      </c>
      <c r="I1815" t="n">
        <v>83.90000000000001</v>
      </c>
      <c r="J1815" t="n">
        <v>20.1</v>
      </c>
      <c r="K1815" t="n">
        <v>63.9</v>
      </c>
      <c r="L1815" t="n">
        <v>4.1</v>
      </c>
      <c r="M1815" t="n">
        <v>18.4</v>
      </c>
      <c r="N1815" t="inlineStr">
        <is>
          <t>301–350</t>
        </is>
      </c>
      <c r="O1815" t="inlineStr">
        <is>
          <t>51.1–53.0</t>
        </is>
      </c>
      <c r="P1815" t="n">
        <v>33.8</v>
      </c>
      <c r="Q1815" t="n">
        <v>37.8</v>
      </c>
      <c r="R1815" t="n">
        <v>77.7</v>
      </c>
      <c r="S1815" t="n">
        <v>67.90000000000001</v>
      </c>
      <c r="T1815" t="n">
        <v>77.8</v>
      </c>
      <c r="U1815" t="inlineStr">
        <is>
          <t>4,570</t>
        </is>
      </c>
      <c r="V1815" t="n">
        <v>13.1</v>
      </c>
      <c r="W1815" t="inlineStr">
        <is>
          <t>12%</t>
        </is>
      </c>
      <c r="X1815" t="inlineStr">
        <is>
          <t>37 : 63</t>
        </is>
      </c>
      <c r="Y1815" t="n">
        <v>269</v>
      </c>
      <c r="Z1815" t="n">
        <v>301</v>
      </c>
      <c r="AA1815" t="n">
        <v>52.05</v>
      </c>
      <c r="AB1815" t="inlineStr">
        <is>
          <t>U1814</t>
        </is>
      </c>
      <c r="AC1815" t="inlineStr">
        <is>
          <t>MA</t>
        </is>
      </c>
      <c r="AD1815" t="n">
        <v>38.6</v>
      </c>
      <c r="AE1815" t="n">
        <v>79</v>
      </c>
      <c r="AF1815" t="n">
        <v>13.1</v>
      </c>
      <c r="AG1815" t="inlineStr">
        <is>
          <t>1:13.1</t>
        </is>
      </c>
      <c r="AH1815" t="inlineStr">
        <is>
          <t>12%</t>
        </is>
      </c>
      <c r="AI1815" t="n">
        <v>19.5</v>
      </c>
      <c r="AJ1815" t="n">
        <v>55.96</v>
      </c>
    </row>
    <row r="1816">
      <c r="A1816" t="inlineStr">
        <is>
          <t>Universiti Tenaga Nasional (UNITEN)</t>
        </is>
      </c>
      <c r="B1816" t="inlineStr">
        <is>
          <t>Malaysia</t>
        </is>
      </c>
      <c r="C1816" t="inlineStr">
        <is>
          <t>641-650</t>
        </is>
      </c>
      <c r="D1816" t="inlineStr"/>
      <c r="E1816" t="n">
        <v>8</v>
      </c>
      <c r="F1816" t="n">
        <v>11.6</v>
      </c>
      <c r="G1816" t="n">
        <v>62.2</v>
      </c>
      <c r="H1816" t="n">
        <v>17.3</v>
      </c>
      <c r="I1816" t="n">
        <v>18</v>
      </c>
      <c r="J1816" t="n">
        <v>65</v>
      </c>
      <c r="K1816" t="n">
        <v>32.9</v>
      </c>
      <c r="L1816" t="n">
        <v>4.4</v>
      </c>
      <c r="M1816" t="n">
        <v>9.1</v>
      </c>
      <c r="N1816" t="inlineStr">
        <is>
          <t>601–800</t>
        </is>
      </c>
      <c r="O1816" t="inlineStr">
        <is>
          <t>37.0–41.8</t>
        </is>
      </c>
      <c r="P1816" t="n">
        <v>25.1</v>
      </c>
      <c r="Q1816" t="n">
        <v>16.8</v>
      </c>
      <c r="R1816" t="n">
        <v>58</v>
      </c>
      <c r="S1816" t="n">
        <v>70.8</v>
      </c>
      <c r="T1816" t="n">
        <v>60.8</v>
      </c>
      <c r="U1816" t="inlineStr">
        <is>
          <t>4,300</t>
        </is>
      </c>
      <c r="V1816" t="n">
        <v>9</v>
      </c>
      <c r="W1816" t="inlineStr">
        <is>
          <t>19%</t>
        </is>
      </c>
      <c r="X1816" t="inlineStr">
        <is>
          <t>32 : 68</t>
        </is>
      </c>
      <c r="Y1816" t="n">
        <v>641</v>
      </c>
      <c r="Z1816" t="n">
        <v>601</v>
      </c>
      <c r="AA1816" t="n">
        <v>39.4</v>
      </c>
      <c r="AB1816" t="inlineStr">
        <is>
          <t>U1815</t>
        </is>
      </c>
      <c r="AC1816" t="inlineStr">
        <is>
          <t>MA</t>
        </is>
      </c>
      <c r="AD1816" t="n">
        <v>39.4</v>
      </c>
      <c r="AE1816" t="n">
        <v>17.3</v>
      </c>
      <c r="AF1816" t="n">
        <v>9</v>
      </c>
      <c r="AG1816" t="inlineStr">
        <is>
          <t>1:9.0</t>
        </is>
      </c>
      <c r="AH1816" t="inlineStr">
        <is>
          <t>19%</t>
        </is>
      </c>
      <c r="AI1816" t="n">
        <v>8</v>
      </c>
      <c r="AJ1816" t="n">
        <v>22.14</v>
      </c>
    </row>
    <row r="1817">
      <c r="A1817" t="inlineStr">
        <is>
          <t>Universiti Tun Hussein Onn Malaysia (UTHM)</t>
        </is>
      </c>
      <c r="B1817" t="inlineStr">
        <is>
          <t>Malaysia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>
        <is>
          <t>1201–1500</t>
        </is>
      </c>
      <c r="O1817" t="inlineStr">
        <is>
          <t>22.8–28.2</t>
        </is>
      </c>
      <c r="P1817" t="n">
        <v>22</v>
      </c>
      <c r="Q1817" t="n">
        <v>13.5</v>
      </c>
      <c r="R1817" t="n">
        <v>37</v>
      </c>
      <c r="S1817" t="n">
        <v>18.5</v>
      </c>
      <c r="T1817" t="n">
        <v>42.1</v>
      </c>
      <c r="U1817" t="inlineStr">
        <is>
          <t>16,137</t>
        </is>
      </c>
      <c r="V1817" t="n">
        <v>16.6</v>
      </c>
      <c r="W1817" t="inlineStr">
        <is>
          <t>6%</t>
        </is>
      </c>
      <c r="X1817" t="inlineStr">
        <is>
          <t>46 : 54</t>
        </is>
      </c>
      <c r="Y1817" t="inlineStr"/>
      <c r="Z1817" t="n">
        <v>1201</v>
      </c>
      <c r="AA1817" t="n">
        <v>25.5</v>
      </c>
      <c r="AB1817" t="inlineStr">
        <is>
          <t>U1816</t>
        </is>
      </c>
      <c r="AC1817" t="inlineStr">
        <is>
          <t>MA</t>
        </is>
      </c>
      <c r="AD1817" t="n">
        <v>25.5</v>
      </c>
      <c r="AE1817" t="n">
        <v>37</v>
      </c>
      <c r="AF1817" t="n">
        <v>16.6</v>
      </c>
      <c r="AG1817" t="inlineStr">
        <is>
          <t>1:16.6</t>
        </is>
      </c>
      <c r="AH1817" t="inlineStr">
        <is>
          <t>6%</t>
        </is>
      </c>
      <c r="AI1817" t="inlineStr"/>
      <c r="AJ1817" t="n">
        <v>21.86</v>
      </c>
    </row>
    <row r="1818">
      <c r="A1818" t="inlineStr">
        <is>
          <t>Universiti Tun Hussein Onn University of Malaysia (UTHM)</t>
        </is>
      </c>
      <c r="B1818" t="inlineStr">
        <is>
          <t>Malaysia</t>
        </is>
      </c>
      <c r="C1818" t="inlineStr">
        <is>
          <t>1001-1200</t>
        </is>
      </c>
      <c r="D1818" t="inlineStr"/>
      <c r="E1818" t="n">
        <v>10.3</v>
      </c>
      <c r="F1818" t="n">
        <v>6.2</v>
      </c>
      <c r="G1818" t="n">
        <v>9.9</v>
      </c>
      <c r="H1818" t="n">
        <v>8.6</v>
      </c>
      <c r="I1818" t="n">
        <v>6.3</v>
      </c>
      <c r="J1818" t="n">
        <v>6.5</v>
      </c>
      <c r="K1818" t="n">
        <v>43.8</v>
      </c>
      <c r="L1818" t="n">
        <v>3.8</v>
      </c>
      <c r="M1818" t="n">
        <v>10.3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n">
        <v>1001</v>
      </c>
      <c r="Z1818" t="inlineStr"/>
      <c r="AA1818" t="inlineStr"/>
      <c r="AB1818" t="inlineStr">
        <is>
          <t>U1817</t>
        </is>
      </c>
      <c r="AC1818" t="inlineStr">
        <is>
          <t>MA</t>
        </is>
      </c>
      <c r="AD1818" t="inlineStr"/>
      <c r="AE1818" t="n">
        <v>8.6</v>
      </c>
      <c r="AF1818" t="inlineStr"/>
      <c r="AG1818" t="inlineStr"/>
      <c r="AH1818" t="inlineStr"/>
      <c r="AI1818" t="n">
        <v>10.3</v>
      </c>
      <c r="AJ1818" t="n">
        <v>15.99</v>
      </c>
    </row>
    <row r="1819">
      <c r="A1819" t="inlineStr">
        <is>
          <t>Universiti Tunku Abdul Rahman (UTAR)</t>
        </is>
      </c>
      <c r="B1819" t="inlineStr">
        <is>
          <t>Malaysia</t>
        </is>
      </c>
      <c r="C1819" t="inlineStr">
        <is>
          <t>801-850</t>
        </is>
      </c>
      <c r="D1819" t="inlineStr"/>
      <c r="E1819" t="n">
        <v>14</v>
      </c>
      <c r="F1819" t="n">
        <v>30.9</v>
      </c>
      <c r="G1819" t="n">
        <v>12.4</v>
      </c>
      <c r="H1819" t="n">
        <v>5.8</v>
      </c>
      <c r="I1819" t="n">
        <v>12.7</v>
      </c>
      <c r="J1819" t="n">
        <v>4.9</v>
      </c>
      <c r="K1819" t="n">
        <v>45.5</v>
      </c>
      <c r="L1819" t="n">
        <v>3.8</v>
      </c>
      <c r="M1819" t="n">
        <v>26.5</v>
      </c>
      <c r="N1819" t="inlineStr">
        <is>
          <t>1001–1200</t>
        </is>
      </c>
      <c r="O1819" t="inlineStr">
        <is>
          <t>28.3–32.6</t>
        </is>
      </c>
      <c r="P1819" t="n">
        <v>16.8</v>
      </c>
      <c r="Q1819" t="n">
        <v>17.1</v>
      </c>
      <c r="R1819" t="n">
        <v>48.1</v>
      </c>
      <c r="S1819" t="n">
        <v>53.6</v>
      </c>
      <c r="T1819" t="n">
        <v>45.3</v>
      </c>
      <c r="U1819" t="inlineStr">
        <is>
          <t>19,080</t>
        </is>
      </c>
      <c r="V1819" t="n">
        <v>17.2</v>
      </c>
      <c r="W1819" t="inlineStr">
        <is>
          <t>9%</t>
        </is>
      </c>
      <c r="X1819" t="inlineStr">
        <is>
          <t>51 : 49</t>
        </is>
      </c>
      <c r="Y1819" t="n">
        <v>801</v>
      </c>
      <c r="Z1819" t="n">
        <v>1001</v>
      </c>
      <c r="AA1819" t="n">
        <v>30.45</v>
      </c>
      <c r="AB1819" t="inlineStr">
        <is>
          <t>U1818</t>
        </is>
      </c>
      <c r="AC1819" t="inlineStr">
        <is>
          <t>MA</t>
        </is>
      </c>
      <c r="AD1819" t="n">
        <v>30.45</v>
      </c>
      <c r="AE1819" t="n">
        <v>5.8</v>
      </c>
      <c r="AF1819" t="n">
        <v>17.2</v>
      </c>
      <c r="AG1819" t="inlineStr">
        <is>
          <t>1:17.2</t>
        </is>
      </c>
      <c r="AH1819" t="inlineStr">
        <is>
          <t>9%</t>
        </is>
      </c>
      <c r="AI1819" t="n">
        <v>14</v>
      </c>
      <c r="AJ1819" t="n">
        <v>15.07</v>
      </c>
    </row>
    <row r="1820">
      <c r="A1820" t="inlineStr">
        <is>
          <t>Universiti Utara Malaysia (UUM)</t>
        </is>
      </c>
      <c r="B1820" t="inlineStr">
        <is>
          <t>Malaysia</t>
        </is>
      </c>
      <c r="C1820" t="inlineStr">
        <is>
          <t>554</t>
        </is>
      </c>
      <c r="D1820" t="n">
        <v>22.4</v>
      </c>
      <c r="E1820" t="n">
        <v>22</v>
      </c>
      <c r="F1820" t="n">
        <v>25.4</v>
      </c>
      <c r="G1820" t="n">
        <v>38.8</v>
      </c>
      <c r="H1820" t="n">
        <v>8.199999999999999</v>
      </c>
      <c r="I1820" t="n">
        <v>19.4</v>
      </c>
      <c r="J1820" t="n">
        <v>79.3</v>
      </c>
      <c r="K1820" t="n">
        <v>34.1</v>
      </c>
      <c r="L1820" t="n">
        <v>12.3</v>
      </c>
      <c r="M1820" t="n">
        <v>5.3</v>
      </c>
      <c r="N1820" t="inlineStr">
        <is>
          <t>401–500</t>
        </is>
      </c>
      <c r="O1820" t="inlineStr">
        <is>
          <t>45.4–49.0</t>
        </is>
      </c>
      <c r="P1820" t="n">
        <v>38.4</v>
      </c>
      <c r="Q1820" t="n">
        <v>27.6</v>
      </c>
      <c r="R1820" t="n">
        <v>69.7</v>
      </c>
      <c r="S1820" t="n">
        <v>28.1</v>
      </c>
      <c r="T1820" t="n">
        <v>78.7</v>
      </c>
      <c r="U1820" t="inlineStr">
        <is>
          <t>12,229</t>
        </is>
      </c>
      <c r="V1820" t="n">
        <v>11.5</v>
      </c>
      <c r="W1820" t="inlineStr">
        <is>
          <t>30%</t>
        </is>
      </c>
      <c r="X1820" t="inlineStr">
        <is>
          <t>73 : 27</t>
        </is>
      </c>
      <c r="Y1820" t="n">
        <v>554</v>
      </c>
      <c r="Z1820" t="n">
        <v>401</v>
      </c>
      <c r="AA1820" t="n">
        <v>47.2</v>
      </c>
      <c r="AB1820" t="inlineStr">
        <is>
          <t>U1819</t>
        </is>
      </c>
      <c r="AC1820" t="inlineStr">
        <is>
          <t>MA</t>
        </is>
      </c>
      <c r="AD1820" t="n">
        <v>22.4</v>
      </c>
      <c r="AE1820" t="n">
        <v>8.199999999999999</v>
      </c>
      <c r="AF1820" t="n">
        <v>11.5</v>
      </c>
      <c r="AG1820" t="inlineStr">
        <is>
          <t>1:11.5</t>
        </is>
      </c>
      <c r="AH1820" t="inlineStr">
        <is>
          <t>30%</t>
        </is>
      </c>
      <c r="AI1820" t="n">
        <v>22</v>
      </c>
      <c r="AJ1820" t="n">
        <v>29.38</v>
      </c>
    </row>
    <row r="1821">
      <c r="A1821" t="inlineStr">
        <is>
          <t>University Abdelhamid Ibn Badis Mostaganem</t>
        </is>
      </c>
      <c r="B1821" t="inlineStr">
        <is>
          <t>Algeria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>
        <is>
          <t>1501+</t>
        </is>
      </c>
      <c r="O1821" t="inlineStr">
        <is>
          <t>9.7–22.7</t>
        </is>
      </c>
      <c r="P1821" t="n">
        <v>17.7</v>
      </c>
      <c r="Q1821" t="n">
        <v>7.8</v>
      </c>
      <c r="R1821" t="n">
        <v>8.1</v>
      </c>
      <c r="S1821" t="n">
        <v>15.7</v>
      </c>
      <c r="T1821" t="n">
        <v>33.5</v>
      </c>
      <c r="U1821" t="inlineStr">
        <is>
          <t>24,983</t>
        </is>
      </c>
      <c r="V1821" t="n">
        <v>19.5</v>
      </c>
      <c r="W1821" t="inlineStr">
        <is>
          <t>1%</t>
        </is>
      </c>
      <c r="X1821" t="inlineStr">
        <is>
          <t>68 : 32</t>
        </is>
      </c>
      <c r="Y1821" t="inlineStr"/>
      <c r="Z1821" t="n">
        <v>1501</v>
      </c>
      <c r="AA1821" t="n">
        <v>16.2</v>
      </c>
      <c r="AB1821" t="inlineStr">
        <is>
          <t>U1820</t>
        </is>
      </c>
      <c r="AC1821" t="inlineStr">
        <is>
          <t>AL</t>
        </is>
      </c>
      <c r="AD1821" t="n">
        <v>16.2</v>
      </c>
      <c r="AE1821" t="n">
        <v>8.1</v>
      </c>
      <c r="AF1821" t="n">
        <v>19.5</v>
      </c>
      <c r="AG1821" t="inlineStr">
        <is>
          <t>1:19.5</t>
        </is>
      </c>
      <c r="AH1821" t="inlineStr">
        <is>
          <t>1%</t>
        </is>
      </c>
      <c r="AI1821" t="inlineStr"/>
      <c r="AJ1821" t="n">
        <v>8.039999999999999</v>
      </c>
    </row>
    <row r="1822">
      <c r="A1822" t="inlineStr">
        <is>
          <t>University at Albany SUNY</t>
        </is>
      </c>
      <c r="B1822" t="inlineStr">
        <is>
          <t>United States</t>
        </is>
      </c>
      <c r="C1822" t="inlineStr">
        <is>
          <t>851-900</t>
        </is>
      </c>
      <c r="D1822" t="inlineStr"/>
      <c r="E1822" t="n">
        <v>8.1</v>
      </c>
      <c r="F1822" t="n">
        <v>4.5</v>
      </c>
      <c r="G1822" t="n">
        <v>5.4</v>
      </c>
      <c r="H1822" t="n">
        <v>33.9</v>
      </c>
      <c r="I1822" t="n">
        <v>3.9</v>
      </c>
      <c r="J1822" t="n">
        <v>7.2</v>
      </c>
      <c r="K1822" t="n">
        <v>66</v>
      </c>
      <c r="L1822" t="n">
        <v>4.2</v>
      </c>
      <c r="M1822" t="n">
        <v>13.2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n">
        <v>851</v>
      </c>
      <c r="Z1822" t="inlineStr"/>
      <c r="AA1822" t="inlineStr"/>
      <c r="AB1822" t="inlineStr">
        <is>
          <t>U1821</t>
        </is>
      </c>
      <c r="AC1822" t="inlineStr">
        <is>
          <t>UN</t>
        </is>
      </c>
      <c r="AD1822" t="inlineStr"/>
      <c r="AE1822" t="n">
        <v>33.9</v>
      </c>
      <c r="AF1822" t="inlineStr"/>
      <c r="AG1822" t="inlineStr"/>
      <c r="AH1822" t="inlineStr"/>
      <c r="AI1822" t="n">
        <v>8.1</v>
      </c>
      <c r="AJ1822" t="n">
        <v>23.66</v>
      </c>
    </row>
    <row r="1823">
      <c r="A1823" t="inlineStr">
        <is>
          <t>University at Buffalo</t>
        </is>
      </c>
      <c r="B1823" t="inlineStr">
        <is>
          <t>United States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>
        <is>
          <t>301–350</t>
        </is>
      </c>
      <c r="O1823" t="inlineStr">
        <is>
          <t>51.1–53.0</t>
        </is>
      </c>
      <c r="P1823" t="n">
        <v>39.9</v>
      </c>
      <c r="Q1823" t="n">
        <v>34.1</v>
      </c>
      <c r="R1823" t="n">
        <v>76.09999999999999</v>
      </c>
      <c r="S1823" t="n">
        <v>74.8</v>
      </c>
      <c r="T1823" t="n">
        <v>71.40000000000001</v>
      </c>
      <c r="U1823" t="inlineStr">
        <is>
          <t>27,086</t>
        </is>
      </c>
      <c r="V1823" t="n">
        <v>17.2</v>
      </c>
      <c r="W1823" t="inlineStr">
        <is>
          <t>12%</t>
        </is>
      </c>
      <c r="X1823" t="inlineStr">
        <is>
          <t>46 : 54</t>
        </is>
      </c>
      <c r="Y1823" t="inlineStr"/>
      <c r="Z1823" t="n">
        <v>301</v>
      </c>
      <c r="AA1823" t="n">
        <v>52.05</v>
      </c>
      <c r="AB1823" t="inlineStr">
        <is>
          <t>U1822</t>
        </is>
      </c>
      <c r="AC1823" t="inlineStr">
        <is>
          <t>UN</t>
        </is>
      </c>
      <c r="AD1823" t="n">
        <v>52.05</v>
      </c>
      <c r="AE1823" t="n">
        <v>76.09999999999999</v>
      </c>
      <c r="AF1823" t="n">
        <v>17.2</v>
      </c>
      <c r="AG1823" t="inlineStr">
        <is>
          <t>1:17.2</t>
        </is>
      </c>
      <c r="AH1823" t="inlineStr">
        <is>
          <t>12%</t>
        </is>
      </c>
      <c r="AI1823" t="inlineStr"/>
      <c r="AJ1823" t="n">
        <v>51.59</v>
      </c>
    </row>
    <row r="1824">
      <c r="A1824" t="inlineStr">
        <is>
          <t>University at Buffalo SUNY</t>
        </is>
      </c>
      <c r="B1824" t="inlineStr">
        <is>
          <t>United States</t>
        </is>
      </c>
      <c r="C1824" t="inlineStr">
        <is>
          <t>466</t>
        </is>
      </c>
      <c r="D1824" t="n">
        <v>25.7</v>
      </c>
      <c r="E1824" t="n">
        <v>18</v>
      </c>
      <c r="F1824" t="n">
        <v>10.7</v>
      </c>
      <c r="G1824" t="n">
        <v>8.800000000000001</v>
      </c>
      <c r="H1824" t="n">
        <v>33.6</v>
      </c>
      <c r="I1824" t="n">
        <v>20.1</v>
      </c>
      <c r="J1824" t="n">
        <v>36.9</v>
      </c>
      <c r="K1824" t="n">
        <v>68.59999999999999</v>
      </c>
      <c r="L1824" t="n">
        <v>33.3</v>
      </c>
      <c r="M1824" t="n">
        <v>82.5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n">
        <v>466</v>
      </c>
      <c r="Z1824" t="inlineStr"/>
      <c r="AA1824" t="inlineStr"/>
      <c r="AB1824" t="inlineStr">
        <is>
          <t>U1823</t>
        </is>
      </c>
      <c r="AC1824" t="inlineStr">
        <is>
          <t>UN</t>
        </is>
      </c>
      <c r="AD1824" t="n">
        <v>25.7</v>
      </c>
      <c r="AE1824" t="n">
        <v>33.6</v>
      </c>
      <c r="AF1824" t="inlineStr"/>
      <c r="AG1824" t="inlineStr"/>
      <c r="AH1824" t="inlineStr"/>
      <c r="AI1824" t="n">
        <v>18</v>
      </c>
      <c r="AJ1824" t="n">
        <v>23.57</v>
      </c>
    </row>
    <row r="1825">
      <c r="A1825" t="inlineStr">
        <is>
          <t>University College Cork</t>
        </is>
      </c>
      <c r="B1825" t="inlineStr">
        <is>
          <t>Ireland</t>
        </is>
      </c>
      <c r="C1825" t="inlineStr">
        <is>
          <t>273</t>
        </is>
      </c>
      <c r="D1825" t="n">
        <v>38.3</v>
      </c>
      <c r="E1825" t="n">
        <v>30.1</v>
      </c>
      <c r="F1825" t="n">
        <v>35.1</v>
      </c>
      <c r="G1825" t="n">
        <v>22.1</v>
      </c>
      <c r="H1825" t="n">
        <v>28.5</v>
      </c>
      <c r="I1825" t="n">
        <v>89</v>
      </c>
      <c r="J1825" t="n">
        <v>52.1</v>
      </c>
      <c r="K1825" t="n">
        <v>69.09999999999999</v>
      </c>
      <c r="L1825" t="n">
        <v>34</v>
      </c>
      <c r="M1825" t="n">
        <v>91</v>
      </c>
      <c r="N1825" t="inlineStr">
        <is>
          <t>301–350</t>
        </is>
      </c>
      <c r="O1825" t="inlineStr">
        <is>
          <t>51.1–53.0</t>
        </is>
      </c>
      <c r="P1825" t="n">
        <v>28.3</v>
      </c>
      <c r="Q1825" t="n">
        <v>31.6</v>
      </c>
      <c r="R1825" t="n">
        <v>82.40000000000001</v>
      </c>
      <c r="S1825" t="n">
        <v>75.90000000000001</v>
      </c>
      <c r="T1825" t="n">
        <v>77.2</v>
      </c>
      <c r="U1825" t="inlineStr">
        <is>
          <t>18,567</t>
        </is>
      </c>
      <c r="V1825" t="n">
        <v>21.1</v>
      </c>
      <c r="W1825" t="inlineStr">
        <is>
          <t>16%</t>
        </is>
      </c>
      <c r="X1825" t="inlineStr">
        <is>
          <t>59 : 41</t>
        </is>
      </c>
      <c r="Y1825" t="n">
        <v>273</v>
      </c>
      <c r="Z1825" t="n">
        <v>301</v>
      </c>
      <c r="AA1825" t="n">
        <v>52.05</v>
      </c>
      <c r="AB1825" t="inlineStr">
        <is>
          <t>U1824</t>
        </is>
      </c>
      <c r="AC1825" t="inlineStr">
        <is>
          <t>IR</t>
        </is>
      </c>
      <c r="AD1825" t="n">
        <v>38.3</v>
      </c>
      <c r="AE1825" t="n">
        <v>28.5</v>
      </c>
      <c r="AF1825" t="n">
        <v>21.1</v>
      </c>
      <c r="AG1825" t="inlineStr">
        <is>
          <t>1:21.1</t>
        </is>
      </c>
      <c r="AH1825" t="inlineStr">
        <is>
          <t>16%</t>
        </is>
      </c>
      <c r="AI1825" t="n">
        <v>30.1</v>
      </c>
      <c r="AJ1825" t="n">
        <v>37.26</v>
      </c>
    </row>
    <row r="1826">
      <c r="A1826" t="inlineStr">
        <is>
          <t>University College Dublin</t>
        </is>
      </c>
      <c r="B1826" t="inlineStr">
        <is>
          <t>Ireland</t>
        </is>
      </c>
      <c r="C1826" t="inlineStr">
        <is>
          <t>126</t>
        </is>
      </c>
      <c r="D1826" t="n">
        <v>55</v>
      </c>
      <c r="E1826" t="n">
        <v>51.4</v>
      </c>
      <c r="F1826" t="n">
        <v>43.5</v>
      </c>
      <c r="G1826" t="n">
        <v>16.6</v>
      </c>
      <c r="H1826" t="n">
        <v>46.4</v>
      </c>
      <c r="I1826" t="n">
        <v>99.09999999999999</v>
      </c>
      <c r="J1826" t="n">
        <v>74.8</v>
      </c>
      <c r="K1826" t="n">
        <v>87.2</v>
      </c>
      <c r="L1826" t="n">
        <v>89.8</v>
      </c>
      <c r="M1826" t="n">
        <v>95.59999999999999</v>
      </c>
      <c r="N1826" t="inlineStr">
        <is>
          <t>201–250</t>
        </is>
      </c>
      <c r="O1826" t="inlineStr">
        <is>
          <t>55.9–58.6</t>
        </is>
      </c>
      <c r="P1826" t="n">
        <v>34.3</v>
      </c>
      <c r="Q1826" t="n">
        <v>41.3</v>
      </c>
      <c r="R1826" t="n">
        <v>84</v>
      </c>
      <c r="S1826" t="n">
        <v>75.09999999999999</v>
      </c>
      <c r="T1826" t="n">
        <v>88.09999999999999</v>
      </c>
      <c r="U1826" t="inlineStr">
        <is>
          <t>23,405</t>
        </is>
      </c>
      <c r="V1826" t="n">
        <v>20.7</v>
      </c>
      <c r="W1826" t="inlineStr">
        <is>
          <t>25%</t>
        </is>
      </c>
      <c r="X1826" t="inlineStr"/>
      <c r="Y1826" t="n">
        <v>126</v>
      </c>
      <c r="Z1826" t="n">
        <v>201</v>
      </c>
      <c r="AA1826" t="n">
        <v>57.25</v>
      </c>
      <c r="AB1826" t="inlineStr">
        <is>
          <t>U1825</t>
        </is>
      </c>
      <c r="AC1826" t="inlineStr">
        <is>
          <t>IR</t>
        </is>
      </c>
      <c r="AD1826" t="n">
        <v>55</v>
      </c>
      <c r="AE1826" t="n">
        <v>46.4</v>
      </c>
      <c r="AF1826" t="n">
        <v>20.7</v>
      </c>
      <c r="AG1826" t="inlineStr">
        <is>
          <t>1:20.7</t>
        </is>
      </c>
      <c r="AH1826" t="inlineStr">
        <is>
          <t>25%</t>
        </is>
      </c>
      <c r="AI1826" t="n">
        <v>51.4</v>
      </c>
      <c r="AJ1826" t="n">
        <v>50.4</v>
      </c>
    </row>
    <row r="1827">
      <c r="A1827" t="inlineStr">
        <is>
          <t>University Duesseldorf</t>
        </is>
      </c>
      <c r="B1827" t="inlineStr">
        <is>
          <t>Germany</t>
        </is>
      </c>
      <c r="C1827" t="inlineStr">
        <is>
          <t>851-900</t>
        </is>
      </c>
      <c r="D1827" t="inlineStr"/>
      <c r="E1827" t="n">
        <v>12.3</v>
      </c>
      <c r="F1827" t="n">
        <v>8.5</v>
      </c>
      <c r="G1827" t="n">
        <v>44.3</v>
      </c>
      <c r="H1827" t="n">
        <v>7.2</v>
      </c>
      <c r="I1827" t="inlineStr"/>
      <c r="J1827" t="n">
        <v>14.1</v>
      </c>
      <c r="K1827" t="n">
        <v>66.2</v>
      </c>
      <c r="L1827" t="n">
        <v>3.8</v>
      </c>
      <c r="M1827" t="n">
        <v>2.2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n">
        <v>851</v>
      </c>
      <c r="Z1827" t="inlineStr"/>
      <c r="AA1827" t="inlineStr"/>
      <c r="AB1827" t="inlineStr">
        <is>
          <t>U1826</t>
        </is>
      </c>
      <c r="AC1827" t="inlineStr">
        <is>
          <t>GE</t>
        </is>
      </c>
      <c r="AD1827" t="inlineStr"/>
      <c r="AE1827" t="n">
        <v>7.2</v>
      </c>
      <c r="AF1827" t="inlineStr"/>
      <c r="AG1827" t="inlineStr"/>
      <c r="AH1827" t="inlineStr"/>
      <c r="AI1827" t="n">
        <v>12.3</v>
      </c>
      <c r="AJ1827" t="n">
        <v>15.57</v>
      </c>
    </row>
    <row r="1828">
      <c r="A1828" t="inlineStr">
        <is>
          <t>University for Development Studies</t>
        </is>
      </c>
      <c r="B1828" t="inlineStr">
        <is>
          <t>Ghana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>
        <is>
          <t>1501+</t>
        </is>
      </c>
      <c r="O1828" t="inlineStr">
        <is>
          <t>9.7–22.7</t>
        </is>
      </c>
      <c r="P1828" t="n">
        <v>11.1</v>
      </c>
      <c r="Q1828" t="n">
        <v>9.9</v>
      </c>
      <c r="R1828" t="n">
        <v>31.1</v>
      </c>
      <c r="S1828" t="n">
        <v>18.9</v>
      </c>
      <c r="T1828" t="n">
        <v>51.5</v>
      </c>
      <c r="U1828" t="inlineStr">
        <is>
          <t>16,714</t>
        </is>
      </c>
      <c r="V1828" t="n">
        <v>27.4</v>
      </c>
      <c r="W1828" t="inlineStr">
        <is>
          <t>0%</t>
        </is>
      </c>
      <c r="X1828" t="inlineStr">
        <is>
          <t>43 : 57</t>
        </is>
      </c>
      <c r="Y1828" t="inlineStr"/>
      <c r="Z1828" t="n">
        <v>1501</v>
      </c>
      <c r="AA1828" t="n">
        <v>16.2</v>
      </c>
      <c r="AB1828" t="inlineStr">
        <is>
          <t>U1827</t>
        </is>
      </c>
      <c r="AC1828" t="inlineStr">
        <is>
          <t>GH</t>
        </is>
      </c>
      <c r="AD1828" t="n">
        <v>16.2</v>
      </c>
      <c r="AE1828" t="n">
        <v>31.1</v>
      </c>
      <c r="AF1828" t="n">
        <v>27.4</v>
      </c>
      <c r="AG1828" t="inlineStr">
        <is>
          <t>1:27.4</t>
        </is>
      </c>
      <c r="AH1828" t="inlineStr">
        <is>
          <t>0%</t>
        </is>
      </c>
      <c r="AI1828" t="inlineStr"/>
      <c r="AJ1828" t="n">
        <v>20.46</v>
      </c>
    </row>
    <row r="1829">
      <c r="A1829" t="inlineStr">
        <is>
          <t>University Mohamed Boudiaf of M’Sila</t>
        </is>
      </c>
      <c r="B1829" t="inlineStr">
        <is>
          <t>Algeria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>
        <is>
          <t>1501+</t>
        </is>
      </c>
      <c r="O1829" t="inlineStr">
        <is>
          <t>9.7–22.7</t>
        </is>
      </c>
      <c r="P1829" t="n">
        <v>18.1</v>
      </c>
      <c r="Q1829" t="n">
        <v>9.199999999999999</v>
      </c>
      <c r="R1829" t="n">
        <v>10.3</v>
      </c>
      <c r="S1829" t="n">
        <v>17.9</v>
      </c>
      <c r="T1829" t="n">
        <v>34.3</v>
      </c>
      <c r="U1829" t="inlineStr">
        <is>
          <t>35,110</t>
        </is>
      </c>
      <c r="V1829" t="n">
        <v>17.7</v>
      </c>
      <c r="W1829" t="inlineStr">
        <is>
          <t>1%</t>
        </is>
      </c>
      <c r="X1829" t="inlineStr">
        <is>
          <t>55 : 45</t>
        </is>
      </c>
      <c r="Y1829" t="inlineStr"/>
      <c r="Z1829" t="n">
        <v>1501</v>
      </c>
      <c r="AA1829" t="n">
        <v>16.2</v>
      </c>
      <c r="AB1829" t="inlineStr">
        <is>
          <t>U1828</t>
        </is>
      </c>
      <c r="AC1829" t="inlineStr">
        <is>
          <t>AL</t>
        </is>
      </c>
      <c r="AD1829" t="n">
        <v>16.2</v>
      </c>
      <c r="AE1829" t="n">
        <v>10.3</v>
      </c>
      <c r="AF1829" t="n">
        <v>17.7</v>
      </c>
      <c r="AG1829" t="inlineStr">
        <is>
          <t>1:17.7</t>
        </is>
      </c>
      <c r="AH1829" t="inlineStr">
        <is>
          <t>1%</t>
        </is>
      </c>
      <c r="AI1829" t="inlineStr"/>
      <c r="AJ1829" t="n">
        <v>9.630000000000001</v>
      </c>
    </row>
    <row r="1830">
      <c r="A1830" t="inlineStr">
        <is>
          <t>University of A Coruña</t>
        </is>
      </c>
      <c r="B1830" t="inlineStr">
        <is>
          <t>Spain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>
        <is>
          <t>1001–1200</t>
        </is>
      </c>
      <c r="O1830" t="inlineStr">
        <is>
          <t>28.3–32.6</t>
        </is>
      </c>
      <c r="P1830" t="n">
        <v>24.2</v>
      </c>
      <c r="Q1830" t="n">
        <v>17.5</v>
      </c>
      <c r="R1830" t="n">
        <v>45.6</v>
      </c>
      <c r="S1830" t="n">
        <v>36.1</v>
      </c>
      <c r="T1830" t="n">
        <v>36.5</v>
      </c>
      <c r="U1830" t="inlineStr">
        <is>
          <t>15,359</t>
        </is>
      </c>
      <c r="V1830" t="n">
        <v>12.4</v>
      </c>
      <c r="W1830" t="inlineStr">
        <is>
          <t>5%</t>
        </is>
      </c>
      <c r="X1830" t="inlineStr">
        <is>
          <t>51 : 49</t>
        </is>
      </c>
      <c r="Y1830" t="inlineStr"/>
      <c r="Z1830" t="n">
        <v>1001</v>
      </c>
      <c r="AA1830" t="n">
        <v>30.45</v>
      </c>
      <c r="AB1830" t="inlineStr">
        <is>
          <t>U1829</t>
        </is>
      </c>
      <c r="AC1830" t="inlineStr">
        <is>
          <t>SP</t>
        </is>
      </c>
      <c r="AD1830" t="n">
        <v>30.45</v>
      </c>
      <c r="AE1830" t="n">
        <v>45.6</v>
      </c>
      <c r="AF1830" t="n">
        <v>12.4</v>
      </c>
      <c r="AG1830" t="inlineStr">
        <is>
          <t>1:12.4</t>
        </is>
      </c>
      <c r="AH1830" t="inlineStr">
        <is>
          <t>5%</t>
        </is>
      </c>
      <c r="AI1830" t="inlineStr"/>
      <c r="AJ1830" t="n">
        <v>25.21</v>
      </c>
    </row>
    <row r="1831">
      <c r="A1831" t="inlineStr">
        <is>
          <t>University of Aberdeen</t>
        </is>
      </c>
      <c r="B1831" t="inlineStr">
        <is>
          <t>United Kingdom</t>
        </is>
      </c>
      <c r="C1831" t="inlineStr">
        <is>
          <t>236</t>
        </is>
      </c>
      <c r="D1831" t="n">
        <v>42.3</v>
      </c>
      <c r="E1831" t="n">
        <v>30.5</v>
      </c>
      <c r="F1831" t="n">
        <v>28.8</v>
      </c>
      <c r="G1831" t="n">
        <v>32.7</v>
      </c>
      <c r="H1831" t="n">
        <v>32</v>
      </c>
      <c r="I1831" t="n">
        <v>94.5</v>
      </c>
      <c r="J1831" t="n">
        <v>92.59999999999999</v>
      </c>
      <c r="K1831" t="n">
        <v>88.5</v>
      </c>
      <c r="L1831" t="n">
        <v>22.2</v>
      </c>
      <c r="M1831" t="n">
        <v>96.5</v>
      </c>
      <c r="N1831" t="inlineStr">
        <is>
          <t>201–250</t>
        </is>
      </c>
      <c r="O1831" t="inlineStr">
        <is>
          <t>55.9–58.6</t>
        </is>
      </c>
      <c r="P1831" t="n">
        <v>36.4</v>
      </c>
      <c r="Q1831" t="n">
        <v>35.8</v>
      </c>
      <c r="R1831" t="n">
        <v>81.8</v>
      </c>
      <c r="S1831" t="n">
        <v>78.90000000000001</v>
      </c>
      <c r="T1831" t="n">
        <v>97.5</v>
      </c>
      <c r="U1831" t="inlineStr">
        <is>
          <t>12,755</t>
        </is>
      </c>
      <c r="V1831" t="n">
        <v>15.3</v>
      </c>
      <c r="W1831" t="inlineStr">
        <is>
          <t>40%</t>
        </is>
      </c>
      <c r="X1831" t="inlineStr">
        <is>
          <t>58 : 42</t>
        </is>
      </c>
      <c r="Y1831" t="n">
        <v>236</v>
      </c>
      <c r="Z1831" t="n">
        <v>201</v>
      </c>
      <c r="AA1831" t="n">
        <v>57.25</v>
      </c>
      <c r="AB1831" t="inlineStr">
        <is>
          <t>U1830</t>
        </is>
      </c>
      <c r="AC1831" t="inlineStr">
        <is>
          <t>UN</t>
        </is>
      </c>
      <c r="AD1831" t="n">
        <v>42.3</v>
      </c>
      <c r="AE1831" t="n">
        <v>32</v>
      </c>
      <c r="AF1831" t="n">
        <v>15.3</v>
      </c>
      <c r="AG1831" t="inlineStr">
        <is>
          <t>1:15.3</t>
        </is>
      </c>
      <c r="AH1831" t="inlineStr">
        <is>
          <t>40%</t>
        </is>
      </c>
      <c r="AI1831" t="n">
        <v>30.5</v>
      </c>
      <c r="AJ1831" t="n">
        <v>45.43</v>
      </c>
    </row>
    <row r="1832">
      <c r="A1832" t="inlineStr">
        <is>
          <t>University of Abou Bekr Belkaïd Tlemcen</t>
        </is>
      </c>
      <c r="B1832" t="inlineStr">
        <is>
          <t>Algeria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>
        <is>
          <t>1501+</t>
        </is>
      </c>
      <c r="O1832" t="inlineStr">
        <is>
          <t>9.7–22.7</t>
        </is>
      </c>
      <c r="P1832" t="n">
        <v>22.7</v>
      </c>
      <c r="Q1832" t="n">
        <v>9</v>
      </c>
      <c r="R1832" t="n">
        <v>11.6</v>
      </c>
      <c r="S1832" t="n">
        <v>19.6</v>
      </c>
      <c r="T1832" t="n">
        <v>35.3</v>
      </c>
      <c r="U1832" t="inlineStr">
        <is>
          <t>42,485</t>
        </is>
      </c>
      <c r="V1832" t="n">
        <v>21.3</v>
      </c>
      <c r="W1832" t="inlineStr">
        <is>
          <t>1%</t>
        </is>
      </c>
      <c r="X1832" t="inlineStr">
        <is>
          <t>59 : 41</t>
        </is>
      </c>
      <c r="Y1832" t="inlineStr"/>
      <c r="Z1832" t="n">
        <v>1501</v>
      </c>
      <c r="AA1832" t="n">
        <v>16.2</v>
      </c>
      <c r="AB1832" t="inlineStr">
        <is>
          <t>U1831</t>
        </is>
      </c>
      <c r="AC1832" t="inlineStr">
        <is>
          <t>AL</t>
        </is>
      </c>
      <c r="AD1832" t="n">
        <v>16.2</v>
      </c>
      <c r="AE1832" t="n">
        <v>11.6</v>
      </c>
      <c r="AF1832" t="n">
        <v>21.3</v>
      </c>
      <c r="AG1832" t="inlineStr">
        <is>
          <t>1:21.3</t>
        </is>
      </c>
      <c r="AH1832" t="inlineStr">
        <is>
          <t>1%</t>
        </is>
      </c>
      <c r="AI1832" t="inlineStr"/>
      <c r="AJ1832" t="n">
        <v>10.16</v>
      </c>
    </row>
    <row r="1833">
      <c r="A1833" t="inlineStr">
        <is>
          <t>The University of Adelaide</t>
        </is>
      </c>
      <c r="B1833" t="inlineStr">
        <is>
          <t>Australia</t>
        </is>
      </c>
      <c r="C1833" t="inlineStr">
        <is>
          <t>82</t>
        </is>
      </c>
      <c r="D1833" t="n">
        <v>63.8</v>
      </c>
      <c r="E1833" t="n">
        <v>56</v>
      </c>
      <c r="F1833" t="n">
        <v>38.9</v>
      </c>
      <c r="G1833" t="n">
        <v>17.9</v>
      </c>
      <c r="H1833" t="n">
        <v>87</v>
      </c>
      <c r="I1833" t="n">
        <v>100</v>
      </c>
      <c r="J1833" t="n">
        <v>99.3</v>
      </c>
      <c r="K1833" t="n">
        <v>93.59999999999999</v>
      </c>
      <c r="L1833" t="n">
        <v>51.5</v>
      </c>
      <c r="M1833" t="n">
        <v>95.7</v>
      </c>
      <c r="N1833">
        <f>111</f>
        <v/>
      </c>
      <c r="O1833" t="inlineStr">
        <is>
          <t>65.8</t>
        </is>
      </c>
      <c r="P1833" t="n">
        <v>42.4</v>
      </c>
      <c r="Q1833" t="n">
        <v>50.6</v>
      </c>
      <c r="R1833" t="n">
        <v>92.8</v>
      </c>
      <c r="S1833" t="n">
        <v>95</v>
      </c>
      <c r="T1833" t="n">
        <v>92.90000000000001</v>
      </c>
      <c r="U1833" t="inlineStr">
        <is>
          <t>23,792</t>
        </is>
      </c>
      <c r="V1833" t="n">
        <v>36.4</v>
      </c>
      <c r="W1833" t="inlineStr">
        <is>
          <t>31%</t>
        </is>
      </c>
      <c r="X1833" t="inlineStr">
        <is>
          <t>49 : 51</t>
        </is>
      </c>
      <c r="Y1833" t="n">
        <v>82</v>
      </c>
      <c r="Z1833" t="n">
        <v>111</v>
      </c>
      <c r="AA1833" t="n">
        <v>65.8</v>
      </c>
      <c r="AB1833" t="inlineStr">
        <is>
          <t>U1832</t>
        </is>
      </c>
      <c r="AC1833" t="inlineStr">
        <is>
          <t>AU</t>
        </is>
      </c>
      <c r="AD1833" t="n">
        <v>63.8</v>
      </c>
      <c r="AE1833" t="n">
        <v>87</v>
      </c>
      <c r="AF1833" t="n">
        <v>36.4</v>
      </c>
      <c r="AG1833" t="inlineStr">
        <is>
          <t>1:36.4</t>
        </is>
      </c>
      <c r="AH1833" t="inlineStr">
        <is>
          <t>31%</t>
        </is>
      </c>
      <c r="AI1833" t="n">
        <v>56</v>
      </c>
      <c r="AJ1833" t="n">
        <v>68.73999999999999</v>
      </c>
    </row>
    <row r="1834">
      <c r="A1834" t="inlineStr">
        <is>
          <t xml:space="preserve">University of Agriculture, Faisalabad </t>
        </is>
      </c>
      <c r="B1834" t="inlineStr">
        <is>
          <t>Pakistan</t>
        </is>
      </c>
      <c r="C1834" t="inlineStr">
        <is>
          <t>681-690</t>
        </is>
      </c>
      <c r="D1834" t="inlineStr"/>
      <c r="E1834" t="n">
        <v>6.3</v>
      </c>
      <c r="F1834" t="n">
        <v>11.6</v>
      </c>
      <c r="G1834" t="n">
        <v>1.6</v>
      </c>
      <c r="H1834" t="n">
        <v>61</v>
      </c>
      <c r="I1834" t="n">
        <v>2.5</v>
      </c>
      <c r="J1834" t="n">
        <v>1.1</v>
      </c>
      <c r="K1834" t="n">
        <v>66.7</v>
      </c>
      <c r="L1834" t="n">
        <v>2.4</v>
      </c>
      <c r="M1834" t="n">
        <v>1.7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n">
        <v>681</v>
      </c>
      <c r="Z1834" t="inlineStr"/>
      <c r="AA1834" t="inlineStr"/>
      <c r="AB1834" t="inlineStr">
        <is>
          <t>U1833</t>
        </is>
      </c>
      <c r="AC1834" t="inlineStr">
        <is>
          <t>PA</t>
        </is>
      </c>
      <c r="AD1834" t="inlineStr"/>
      <c r="AE1834" t="n">
        <v>61</v>
      </c>
      <c r="AF1834" t="inlineStr"/>
      <c r="AG1834" t="inlineStr"/>
      <c r="AH1834" t="inlineStr"/>
      <c r="AI1834" t="n">
        <v>6.3</v>
      </c>
      <c r="AJ1834" t="n">
        <v>31.87</v>
      </c>
    </row>
    <row r="1835">
      <c r="A1835" t="inlineStr">
        <is>
          <t>The University of Agriculture, Peshawar</t>
        </is>
      </c>
      <c r="B1835" t="inlineStr">
        <is>
          <t>Pakistan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>
        <is>
          <t>1201–1500</t>
        </is>
      </c>
      <c r="O1835" t="inlineStr">
        <is>
          <t>22.8–28.2</t>
        </is>
      </c>
      <c r="P1835" t="n">
        <v>15.6</v>
      </c>
      <c r="Q1835" t="n">
        <v>10.2</v>
      </c>
      <c r="R1835" t="n">
        <v>36.5</v>
      </c>
      <c r="S1835" t="n">
        <v>22.3</v>
      </c>
      <c r="T1835" t="n">
        <v>48.1</v>
      </c>
      <c r="U1835" t="inlineStr">
        <is>
          <t>11,262</t>
        </is>
      </c>
      <c r="V1835" t="n">
        <v>35.3</v>
      </c>
      <c r="W1835" t="inlineStr">
        <is>
          <t>1%</t>
        </is>
      </c>
      <c r="X1835" t="inlineStr">
        <is>
          <t>9 : 91</t>
        </is>
      </c>
      <c r="Y1835" t="inlineStr"/>
      <c r="Z1835" t="n">
        <v>1201</v>
      </c>
      <c r="AA1835" t="n">
        <v>25.5</v>
      </c>
      <c r="AB1835" t="inlineStr">
        <is>
          <t>U1834</t>
        </is>
      </c>
      <c r="AC1835" t="inlineStr">
        <is>
          <t>PA</t>
        </is>
      </c>
      <c r="AD1835" t="n">
        <v>25.5</v>
      </c>
      <c r="AE1835" t="n">
        <v>36.5</v>
      </c>
      <c r="AF1835" t="n">
        <v>35.3</v>
      </c>
      <c r="AG1835" t="inlineStr">
        <is>
          <t>1:35.3</t>
        </is>
      </c>
      <c r="AH1835" t="inlineStr">
        <is>
          <t>1%</t>
        </is>
      </c>
      <c r="AI1835" t="inlineStr"/>
      <c r="AJ1835" t="n">
        <v>21.43</v>
      </c>
    </row>
    <row r="1836">
      <c r="A1836" t="inlineStr">
        <is>
          <t>The University of Aizu</t>
        </is>
      </c>
      <c r="B1836" t="inlineStr">
        <is>
          <t>Japan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>
        <is>
          <t>601–800</t>
        </is>
      </c>
      <c r="O1836" t="inlineStr">
        <is>
          <t>37.0–41.8</t>
        </is>
      </c>
      <c r="P1836" t="n">
        <v>26.6</v>
      </c>
      <c r="Q1836" t="n">
        <v>13.8</v>
      </c>
      <c r="R1836" t="n">
        <v>58.6</v>
      </c>
      <c r="S1836" t="n">
        <v>63.7</v>
      </c>
      <c r="T1836" t="n">
        <v>82.59999999999999</v>
      </c>
      <c r="U1836" t="inlineStr">
        <is>
          <t>1,221</t>
        </is>
      </c>
      <c r="V1836" t="n">
        <v>11.5</v>
      </c>
      <c r="W1836" t="inlineStr">
        <is>
          <t>12%</t>
        </is>
      </c>
      <c r="X1836" t="inlineStr">
        <is>
          <t>11 : 89</t>
        </is>
      </c>
      <c r="Y1836" t="inlineStr"/>
      <c r="Z1836" t="n">
        <v>601</v>
      </c>
      <c r="AA1836" t="n">
        <v>39.4</v>
      </c>
      <c r="AB1836" t="inlineStr">
        <is>
          <t>U1835</t>
        </is>
      </c>
      <c r="AC1836" t="inlineStr">
        <is>
          <t>JA</t>
        </is>
      </c>
      <c r="AD1836" t="n">
        <v>39.4</v>
      </c>
      <c r="AE1836" t="n">
        <v>58.6</v>
      </c>
      <c r="AF1836" t="n">
        <v>11.5</v>
      </c>
      <c r="AG1836" t="inlineStr">
        <is>
          <t>1:11.5</t>
        </is>
      </c>
      <c r="AH1836" t="inlineStr">
        <is>
          <t>12%</t>
        </is>
      </c>
      <c r="AI1836" t="inlineStr"/>
      <c r="AJ1836" t="n">
        <v>38.36</v>
      </c>
    </row>
    <row r="1837">
      <c r="A1837" t="inlineStr">
        <is>
          <t>University of Al-Qadisiyah</t>
        </is>
      </c>
      <c r="B1837" t="inlineStr">
        <is>
          <t>Iraq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>
        <is>
          <t>1201–1500</t>
        </is>
      </c>
      <c r="O1837" t="inlineStr">
        <is>
          <t>22.8–28.2</t>
        </is>
      </c>
      <c r="P1837" t="n">
        <v>18.5</v>
      </c>
      <c r="Q1837" t="n">
        <v>7.8</v>
      </c>
      <c r="R1837" t="n">
        <v>55</v>
      </c>
      <c r="S1837" t="n">
        <v>16.7</v>
      </c>
      <c r="T1837" t="n">
        <v>26.3</v>
      </c>
      <c r="U1837" t="inlineStr">
        <is>
          <t>24,322</t>
        </is>
      </c>
      <c r="V1837" t="n">
        <v>16.4</v>
      </c>
      <c r="W1837" t="inlineStr">
        <is>
          <t>0%</t>
        </is>
      </c>
      <c r="X1837" t="inlineStr">
        <is>
          <t>55 : 45</t>
        </is>
      </c>
      <c r="Y1837" t="inlineStr"/>
      <c r="Z1837" t="n">
        <v>1201</v>
      </c>
      <c r="AA1837" t="n">
        <v>25.5</v>
      </c>
      <c r="AB1837" t="inlineStr">
        <is>
          <t>U1836</t>
        </is>
      </c>
      <c r="AC1837" t="inlineStr">
        <is>
          <t>IR</t>
        </is>
      </c>
      <c r="AD1837" t="n">
        <v>25.5</v>
      </c>
      <c r="AE1837" t="n">
        <v>55</v>
      </c>
      <c r="AF1837" t="n">
        <v>16.4</v>
      </c>
      <c r="AG1837" t="inlineStr">
        <is>
          <t>1:16.4</t>
        </is>
      </c>
      <c r="AH1837" t="inlineStr">
        <is>
          <t>0%</t>
        </is>
      </c>
      <c r="AI1837" t="inlineStr"/>
      <c r="AJ1837" t="n">
        <v>20.51</v>
      </c>
    </row>
    <row r="1838">
      <c r="A1838" t="inlineStr">
        <is>
          <t>The University of Alabama</t>
        </is>
      </c>
      <c r="B1838" t="inlineStr">
        <is>
          <t>United States</t>
        </is>
      </c>
      <c r="C1838" t="inlineStr">
        <is>
          <t>951-1000</t>
        </is>
      </c>
      <c r="D1838" t="inlineStr"/>
      <c r="E1838" t="n">
        <v>10</v>
      </c>
      <c r="F1838" t="n">
        <v>20.3</v>
      </c>
      <c r="G1838" t="n">
        <v>5.3</v>
      </c>
      <c r="H1838" t="n">
        <v>11.9</v>
      </c>
      <c r="I1838" t="n">
        <v>5.3</v>
      </c>
      <c r="J1838" t="n">
        <v>2.5</v>
      </c>
      <c r="K1838" t="n">
        <v>54.9</v>
      </c>
      <c r="L1838" t="n">
        <v>10.7</v>
      </c>
      <c r="M1838" t="n">
        <v>6.7</v>
      </c>
      <c r="N1838" t="inlineStr">
        <is>
          <t>601–800</t>
        </is>
      </c>
      <c r="O1838" t="inlineStr">
        <is>
          <t>37.0–41.8</t>
        </is>
      </c>
      <c r="P1838" t="n">
        <v>26</v>
      </c>
      <c r="Q1838" t="n">
        <v>21.2</v>
      </c>
      <c r="R1838" t="n">
        <v>64.40000000000001</v>
      </c>
      <c r="S1838" t="n">
        <v>46.6</v>
      </c>
      <c r="T1838" t="n">
        <v>39.3</v>
      </c>
      <c r="U1838" t="inlineStr">
        <is>
          <t>34,810</t>
        </is>
      </c>
      <c r="V1838" t="n">
        <v>21.6</v>
      </c>
      <c r="W1838" t="inlineStr">
        <is>
          <t>4%</t>
        </is>
      </c>
      <c r="X1838" t="inlineStr">
        <is>
          <t>57 : 43</t>
        </is>
      </c>
      <c r="Y1838" t="n">
        <v>951</v>
      </c>
      <c r="Z1838" t="n">
        <v>601</v>
      </c>
      <c r="AA1838" t="n">
        <v>39.4</v>
      </c>
      <c r="AB1838" t="inlineStr">
        <is>
          <t>U1837</t>
        </is>
      </c>
      <c r="AC1838" t="inlineStr">
        <is>
          <t>UN</t>
        </is>
      </c>
      <c r="AD1838" t="n">
        <v>39.4</v>
      </c>
      <c r="AE1838" t="n">
        <v>11.9</v>
      </c>
      <c r="AF1838" t="n">
        <v>21.6</v>
      </c>
      <c r="AG1838" t="inlineStr">
        <is>
          <t>1:21.6</t>
        </is>
      </c>
      <c r="AH1838" t="inlineStr">
        <is>
          <t>4%</t>
        </is>
      </c>
      <c r="AI1838" t="n">
        <v>10</v>
      </c>
      <c r="AJ1838" t="n">
        <v>17.61</v>
      </c>
    </row>
    <row r="1839">
      <c r="A1839" t="inlineStr">
        <is>
          <t>University of Alabama, Birmingham</t>
        </is>
      </c>
      <c r="B1839" t="inlineStr">
        <is>
          <t>United States</t>
        </is>
      </c>
      <c r="C1839" t="inlineStr">
        <is>
          <t>901-950</t>
        </is>
      </c>
      <c r="D1839" t="inlineStr"/>
      <c r="E1839" t="n">
        <v>5.8</v>
      </c>
      <c r="F1839" t="n">
        <v>4.2</v>
      </c>
      <c r="G1839" t="n">
        <v>56</v>
      </c>
      <c r="H1839" t="n">
        <v>16.8</v>
      </c>
      <c r="I1839" t="inlineStr"/>
      <c r="J1839" t="inlineStr"/>
      <c r="K1839" t="n">
        <v>54.5</v>
      </c>
      <c r="L1839" t="n">
        <v>1.7</v>
      </c>
      <c r="M1839" t="n">
        <v>2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n">
        <v>901</v>
      </c>
      <c r="Z1839" t="inlineStr"/>
      <c r="AA1839" t="inlineStr"/>
      <c r="AB1839" t="inlineStr">
        <is>
          <t>U1838</t>
        </is>
      </c>
      <c r="AC1839" t="inlineStr">
        <is>
          <t>UN</t>
        </is>
      </c>
      <c r="AD1839" t="inlineStr"/>
      <c r="AE1839" t="n">
        <v>16.8</v>
      </c>
      <c r="AF1839" t="inlineStr"/>
      <c r="AG1839" t="inlineStr"/>
      <c r="AH1839" t="inlineStr"/>
      <c r="AI1839" t="n">
        <v>5.8</v>
      </c>
      <c r="AJ1839" t="n">
        <v>18.48</v>
      </c>
    </row>
    <row r="1840">
      <c r="A1840" t="inlineStr">
        <is>
          <t>University of Alaska Fairbanks</t>
        </is>
      </c>
      <c r="B1840" t="inlineStr">
        <is>
          <t>United States</t>
        </is>
      </c>
      <c r="C1840" t="inlineStr">
        <is>
          <t>801-850</t>
        </is>
      </c>
      <c r="D1840" t="inlineStr"/>
      <c r="E1840" t="n">
        <v>2.7</v>
      </c>
      <c r="F1840" t="n">
        <v>2</v>
      </c>
      <c r="G1840" t="n">
        <v>98.8</v>
      </c>
      <c r="H1840" t="n">
        <v>12.9</v>
      </c>
      <c r="I1840" t="n">
        <v>4.8</v>
      </c>
      <c r="J1840" t="n">
        <v>3</v>
      </c>
      <c r="K1840" t="n">
        <v>42.6</v>
      </c>
      <c r="L1840" t="n">
        <v>4.2</v>
      </c>
      <c r="M1840" t="n">
        <v>2.5</v>
      </c>
      <c r="N1840" t="inlineStr">
        <is>
          <t>501–600</t>
        </is>
      </c>
      <c r="O1840" t="inlineStr">
        <is>
          <t>41.9–45.3</t>
        </is>
      </c>
      <c r="P1840" t="n">
        <v>34.5</v>
      </c>
      <c r="Q1840" t="n">
        <v>31</v>
      </c>
      <c r="R1840" t="n">
        <v>63.1</v>
      </c>
      <c r="S1840" t="n">
        <v>47.5</v>
      </c>
      <c r="T1840" t="n">
        <v>70.09999999999999</v>
      </c>
      <c r="U1840" t="inlineStr">
        <is>
          <t>2,829</t>
        </is>
      </c>
      <c r="V1840" t="n">
        <v>7.9</v>
      </c>
      <c r="W1840" t="inlineStr">
        <is>
          <t>6%</t>
        </is>
      </c>
      <c r="X1840" t="inlineStr">
        <is>
          <t>55 : 45</t>
        </is>
      </c>
      <c r="Y1840" t="n">
        <v>801</v>
      </c>
      <c r="Z1840" t="n">
        <v>501</v>
      </c>
      <c r="AA1840" t="n">
        <v>43.59999999999999</v>
      </c>
      <c r="AB1840" t="inlineStr">
        <is>
          <t>U1839</t>
        </is>
      </c>
      <c r="AC1840" t="inlineStr">
        <is>
          <t>UN</t>
        </is>
      </c>
      <c r="AD1840" t="n">
        <v>43.59999999999999</v>
      </c>
      <c r="AE1840" t="n">
        <v>12.9</v>
      </c>
      <c r="AF1840" t="n">
        <v>7.9</v>
      </c>
      <c r="AG1840" t="inlineStr">
        <is>
          <t>1:7.9</t>
        </is>
      </c>
      <c r="AH1840" t="inlineStr">
        <is>
          <t>6%</t>
        </is>
      </c>
      <c r="AI1840" t="n">
        <v>2.7</v>
      </c>
      <c r="AJ1840" t="n">
        <v>30.5</v>
      </c>
    </row>
    <row r="1841">
      <c r="A1841" t="inlineStr">
        <is>
          <t>University of Alberta</t>
        </is>
      </c>
      <c r="B1841" t="inlineStr">
        <is>
          <t>Canada</t>
        </is>
      </c>
      <c r="C1841" t="inlineStr">
        <is>
          <t>96</t>
        </is>
      </c>
      <c r="D1841" t="n">
        <v>61.2</v>
      </c>
      <c r="E1841" t="n">
        <v>57</v>
      </c>
      <c r="F1841" t="n">
        <v>42.2</v>
      </c>
      <c r="G1841" t="n">
        <v>39.1</v>
      </c>
      <c r="H1841" t="n">
        <v>61.3</v>
      </c>
      <c r="I1841" t="n">
        <v>98.3</v>
      </c>
      <c r="J1841" t="n">
        <v>71</v>
      </c>
      <c r="K1841" t="n">
        <v>96</v>
      </c>
      <c r="L1841" t="n">
        <v>70</v>
      </c>
      <c r="M1841" t="n">
        <v>97.59999999999999</v>
      </c>
      <c r="N1841">
        <f>109</f>
        <v/>
      </c>
      <c r="O1841" t="inlineStr">
        <is>
          <t>65.9</t>
        </is>
      </c>
      <c r="P1841" t="n">
        <v>50.1</v>
      </c>
      <c r="Q1841" t="n">
        <v>55.5</v>
      </c>
      <c r="R1841" t="n">
        <v>80.90000000000001</v>
      </c>
      <c r="S1841" t="n">
        <v>99.90000000000001</v>
      </c>
      <c r="T1841" t="n">
        <v>90.7</v>
      </c>
      <c r="U1841" t="inlineStr">
        <is>
          <t>33,730</t>
        </is>
      </c>
      <c r="V1841" t="n">
        <v>22.8</v>
      </c>
      <c r="W1841" t="inlineStr">
        <is>
          <t>27%</t>
        </is>
      </c>
      <c r="X1841" t="inlineStr"/>
      <c r="Y1841" t="n">
        <v>96</v>
      </c>
      <c r="Z1841" t="n">
        <v>109</v>
      </c>
      <c r="AA1841" t="n">
        <v>65.90000000000001</v>
      </c>
      <c r="AB1841" t="inlineStr">
        <is>
          <t>U1840</t>
        </is>
      </c>
      <c r="AC1841" t="inlineStr">
        <is>
          <t>CA</t>
        </is>
      </c>
      <c r="AD1841" t="n">
        <v>61.2</v>
      </c>
      <c r="AE1841" t="n">
        <v>61.3</v>
      </c>
      <c r="AF1841" t="n">
        <v>22.8</v>
      </c>
      <c r="AG1841" t="inlineStr">
        <is>
          <t>1:22.8</t>
        </is>
      </c>
      <c r="AH1841" t="inlineStr">
        <is>
          <t>27%</t>
        </is>
      </c>
      <c r="AI1841" t="n">
        <v>57</v>
      </c>
      <c r="AJ1841" t="n">
        <v>62.99</v>
      </c>
    </row>
    <row r="1842">
      <c r="A1842" t="inlineStr">
        <is>
          <t>University of Alcalá</t>
        </is>
      </c>
      <c r="B1842" t="inlineStr">
        <is>
          <t>Spain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>
        <is>
          <t>801–1000</t>
        </is>
      </c>
      <c r="O1842" t="inlineStr">
        <is>
          <t>32.7–36.9</t>
        </is>
      </c>
      <c r="P1842" t="n">
        <v>27.8</v>
      </c>
      <c r="Q1842" t="n">
        <v>15.1</v>
      </c>
      <c r="R1842" t="n">
        <v>55</v>
      </c>
      <c r="S1842" t="n">
        <v>41.9</v>
      </c>
      <c r="T1842" t="n">
        <v>64.40000000000001</v>
      </c>
      <c r="U1842" t="inlineStr">
        <is>
          <t>16,260</t>
        </is>
      </c>
      <c r="V1842" t="n">
        <v>10.4</v>
      </c>
      <c r="W1842" t="inlineStr">
        <is>
          <t>24%</t>
        </is>
      </c>
      <c r="X1842" t="inlineStr">
        <is>
          <t>59 : 41</t>
        </is>
      </c>
      <c r="Y1842" t="inlineStr"/>
      <c r="Z1842" t="n">
        <v>801</v>
      </c>
      <c r="AA1842" t="n">
        <v>34.8</v>
      </c>
      <c r="AB1842" t="inlineStr">
        <is>
          <t>U1841</t>
        </is>
      </c>
      <c r="AC1842" t="inlineStr">
        <is>
          <t>SP</t>
        </is>
      </c>
      <c r="AD1842" t="n">
        <v>34.8</v>
      </c>
      <c r="AE1842" t="n">
        <v>55</v>
      </c>
      <c r="AF1842" t="n">
        <v>10.4</v>
      </c>
      <c r="AG1842" t="inlineStr">
        <is>
          <t>1:10.4</t>
        </is>
      </c>
      <c r="AH1842" t="inlineStr">
        <is>
          <t>24%</t>
        </is>
      </c>
      <c r="AI1842" t="inlineStr"/>
      <c r="AJ1842" t="n">
        <v>33.55</v>
      </c>
    </row>
    <row r="1843">
      <c r="A1843" t="inlineStr">
        <is>
          <t>University of Algarve</t>
        </is>
      </c>
      <c r="B1843" t="inlineStr">
        <is>
          <t>Portugal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>
        <is>
          <t>801–1000</t>
        </is>
      </c>
      <c r="O1843" t="inlineStr">
        <is>
          <t>32.7–36.9</t>
        </is>
      </c>
      <c r="P1843" t="n">
        <v>18.5</v>
      </c>
      <c r="Q1843" t="n">
        <v>19.5</v>
      </c>
      <c r="R1843" t="n">
        <v>52.3</v>
      </c>
      <c r="S1843" t="n">
        <v>25.3</v>
      </c>
      <c r="T1843" t="n">
        <v>66.40000000000001</v>
      </c>
      <c r="U1843" t="inlineStr">
        <is>
          <t>8,878</t>
        </is>
      </c>
      <c r="V1843" t="n">
        <v>15</v>
      </c>
      <c r="W1843" t="inlineStr">
        <is>
          <t>19%</t>
        </is>
      </c>
      <c r="X1843" t="inlineStr">
        <is>
          <t>56 : 44</t>
        </is>
      </c>
      <c r="Y1843" t="inlineStr"/>
      <c r="Z1843" t="n">
        <v>801</v>
      </c>
      <c r="AA1843" t="n">
        <v>34.8</v>
      </c>
      <c r="AB1843" t="inlineStr">
        <is>
          <t>U1842</t>
        </is>
      </c>
      <c r="AC1843" t="inlineStr">
        <is>
          <t>PO</t>
        </is>
      </c>
      <c r="AD1843" t="n">
        <v>34.8</v>
      </c>
      <c r="AE1843" t="n">
        <v>52.3</v>
      </c>
      <c r="AF1843" t="n">
        <v>15</v>
      </c>
      <c r="AG1843" t="inlineStr">
        <is>
          <t>1:15.0</t>
        </is>
      </c>
      <c r="AH1843" t="inlineStr">
        <is>
          <t>19%</t>
        </is>
      </c>
      <c r="AI1843" t="inlineStr"/>
      <c r="AJ1843" t="n">
        <v>35.52</v>
      </c>
    </row>
    <row r="1844">
      <c r="A1844" t="inlineStr">
        <is>
          <t>University of Alicante</t>
        </is>
      </c>
      <c r="B1844" t="inlineStr">
        <is>
          <t>Spain</t>
        </is>
      </c>
      <c r="C1844" t="inlineStr">
        <is>
          <t>801-850</t>
        </is>
      </c>
      <c r="D1844" t="inlineStr"/>
      <c r="E1844" t="n">
        <v>13.5</v>
      </c>
      <c r="F1844" t="n">
        <v>6.7</v>
      </c>
      <c r="G1844" t="n">
        <v>25.3</v>
      </c>
      <c r="H1844" t="n">
        <v>7.7</v>
      </c>
      <c r="I1844" t="n">
        <v>7.3</v>
      </c>
      <c r="J1844" t="n">
        <v>12.8</v>
      </c>
      <c r="K1844" t="n">
        <v>71.7</v>
      </c>
      <c r="L1844" t="n">
        <v>7.6</v>
      </c>
      <c r="M1844" t="n">
        <v>31.3</v>
      </c>
      <c r="N1844" t="inlineStr">
        <is>
          <t>1001–1200</t>
        </is>
      </c>
      <c r="O1844" t="inlineStr">
        <is>
          <t>28.3–32.6</t>
        </is>
      </c>
      <c r="P1844" t="n">
        <v>25</v>
      </c>
      <c r="Q1844" t="n">
        <v>19.8</v>
      </c>
      <c r="R1844" t="n">
        <v>43.8</v>
      </c>
      <c r="S1844" t="n">
        <v>51.6</v>
      </c>
      <c r="T1844" t="n">
        <v>44.6</v>
      </c>
      <c r="U1844" t="inlineStr">
        <is>
          <t>22,767</t>
        </is>
      </c>
      <c r="V1844" t="n">
        <v>14.5</v>
      </c>
      <c r="W1844" t="inlineStr">
        <is>
          <t>10%</t>
        </is>
      </c>
      <c r="X1844" t="inlineStr">
        <is>
          <t>59 : 41</t>
        </is>
      </c>
      <c r="Y1844" t="n">
        <v>801</v>
      </c>
      <c r="Z1844" t="n">
        <v>1001</v>
      </c>
      <c r="AA1844" t="n">
        <v>30.45</v>
      </c>
      <c r="AB1844" t="inlineStr">
        <is>
          <t>U1843</t>
        </is>
      </c>
      <c r="AC1844" t="inlineStr">
        <is>
          <t>SP</t>
        </is>
      </c>
      <c r="AD1844" t="n">
        <v>30.45</v>
      </c>
      <c r="AE1844" t="n">
        <v>7.7</v>
      </c>
      <c r="AF1844" t="n">
        <v>14.5</v>
      </c>
      <c r="AG1844" t="inlineStr">
        <is>
          <t>1:14.5</t>
        </is>
      </c>
      <c r="AH1844" t="inlineStr">
        <is>
          <t>10%</t>
        </is>
      </c>
      <c r="AI1844" t="n">
        <v>13.5</v>
      </c>
      <c r="AJ1844" t="n">
        <v>16.89</v>
      </c>
    </row>
    <row r="1845">
      <c r="A1845" t="inlineStr">
        <is>
          <t>University of Almería</t>
        </is>
      </c>
      <c r="B1845" t="inlineStr">
        <is>
          <t>Spain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>
        <is>
          <t>1001–1200</t>
        </is>
      </c>
      <c r="O1845" t="inlineStr">
        <is>
          <t>28.3–32.6</t>
        </is>
      </c>
      <c r="P1845" t="n">
        <v>21.7</v>
      </c>
      <c r="Q1845" t="n">
        <v>18.9</v>
      </c>
      <c r="R1845" t="n">
        <v>48.9</v>
      </c>
      <c r="S1845" t="n">
        <v>33.7</v>
      </c>
      <c r="T1845" t="n">
        <v>42.2</v>
      </c>
      <c r="U1845" t="inlineStr">
        <is>
          <t>12,902</t>
        </is>
      </c>
      <c r="V1845" t="n">
        <v>17</v>
      </c>
      <c r="W1845" t="inlineStr">
        <is>
          <t>10%</t>
        </is>
      </c>
      <c r="X1845" t="inlineStr">
        <is>
          <t>55 : 45</t>
        </is>
      </c>
      <c r="Y1845" t="inlineStr"/>
      <c r="Z1845" t="n">
        <v>1001</v>
      </c>
      <c r="AA1845" t="n">
        <v>30.45</v>
      </c>
      <c r="AB1845" t="inlineStr">
        <is>
          <t>U1844</t>
        </is>
      </c>
      <c r="AC1845" t="inlineStr">
        <is>
          <t>SP</t>
        </is>
      </c>
      <c r="AD1845" t="n">
        <v>30.45</v>
      </c>
      <c r="AE1845" t="n">
        <v>48.9</v>
      </c>
      <c r="AF1845" t="n">
        <v>17</v>
      </c>
      <c r="AG1845" t="inlineStr">
        <is>
          <t>1:17.0</t>
        </is>
      </c>
      <c r="AH1845" t="inlineStr">
        <is>
          <t>10%</t>
        </is>
      </c>
      <c r="AI1845" t="inlineStr"/>
      <c r="AJ1845" t="n">
        <v>28.32</v>
      </c>
    </row>
    <row r="1846">
      <c r="A1846" t="inlineStr">
        <is>
          <t>University of Amsterdam</t>
        </is>
      </c>
      <c r="B1846" t="inlineStr">
        <is>
          <t>Netherlands</t>
        </is>
      </c>
      <c r="C1846" t="inlineStr">
        <is>
          <t>55</t>
        </is>
      </c>
      <c r="D1846" t="n">
        <v>73.7</v>
      </c>
      <c r="E1846" t="n">
        <v>83.8</v>
      </c>
      <c r="F1846" t="n">
        <v>52.1</v>
      </c>
      <c r="G1846" t="n">
        <v>21.4</v>
      </c>
      <c r="H1846" t="n">
        <v>92.2</v>
      </c>
      <c r="I1846" t="n">
        <v>96</v>
      </c>
      <c r="J1846" t="n">
        <v>87.5</v>
      </c>
      <c r="K1846" t="n">
        <v>96.3</v>
      </c>
      <c r="L1846" t="n">
        <v>79.8</v>
      </c>
      <c r="M1846" t="n">
        <v>38.2</v>
      </c>
      <c r="N1846" t="inlineStr">
        <is>
          <t>61</t>
        </is>
      </c>
      <c r="O1846" t="inlineStr">
        <is>
          <t>73.6</t>
        </is>
      </c>
      <c r="P1846" t="n">
        <v>55</v>
      </c>
      <c r="Q1846" t="n">
        <v>63.1</v>
      </c>
      <c r="R1846" t="n">
        <v>96.7</v>
      </c>
      <c r="S1846" t="n">
        <v>77.59999999999999</v>
      </c>
      <c r="T1846" t="n">
        <v>93.2</v>
      </c>
      <c r="U1846" t="inlineStr">
        <is>
          <t>28,649</t>
        </is>
      </c>
      <c r="V1846" t="n">
        <v>13.2</v>
      </c>
      <c r="W1846" t="inlineStr">
        <is>
          <t>36%</t>
        </is>
      </c>
      <c r="X1846" t="inlineStr">
        <is>
          <t>60 : 40</t>
        </is>
      </c>
      <c r="Y1846" t="n">
        <v>55</v>
      </c>
      <c r="Z1846" t="n">
        <v>61</v>
      </c>
      <c r="AA1846" t="n">
        <v>73.59999999999999</v>
      </c>
      <c r="AB1846" t="inlineStr">
        <is>
          <t>U1845</t>
        </is>
      </c>
      <c r="AC1846" t="inlineStr">
        <is>
          <t>NE</t>
        </is>
      </c>
      <c r="AD1846" t="n">
        <v>73.7</v>
      </c>
      <c r="AE1846" t="n">
        <v>92.2</v>
      </c>
      <c r="AF1846" t="n">
        <v>13.2</v>
      </c>
      <c r="AG1846" t="inlineStr">
        <is>
          <t>1:13.2</t>
        </is>
      </c>
      <c r="AH1846" t="inlineStr">
        <is>
          <t>36%</t>
        </is>
      </c>
      <c r="AI1846" t="n">
        <v>83.8</v>
      </c>
      <c r="AJ1846" t="n">
        <v>76.94</v>
      </c>
    </row>
    <row r="1847">
      <c r="A1847" t="inlineStr">
        <is>
          <t>University of Anbar</t>
        </is>
      </c>
      <c r="B1847" t="inlineStr">
        <is>
          <t>Iraq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>
        <is>
          <t>1501+</t>
        </is>
      </c>
      <c r="O1847" t="inlineStr">
        <is>
          <t>9.7–22.7</t>
        </is>
      </c>
      <c r="P1847" t="n">
        <v>17.7</v>
      </c>
      <c r="Q1847" t="n">
        <v>9.1</v>
      </c>
      <c r="R1847" t="n">
        <v>39.1</v>
      </c>
      <c r="S1847" t="n">
        <v>16.9</v>
      </c>
      <c r="T1847" t="n">
        <v>29.3</v>
      </c>
      <c r="U1847" t="inlineStr">
        <is>
          <t>26,956</t>
        </is>
      </c>
      <c r="V1847" t="n">
        <v>15.5</v>
      </c>
      <c r="W1847" t="inlineStr">
        <is>
          <t>0%</t>
        </is>
      </c>
      <c r="X1847" t="inlineStr">
        <is>
          <t>55 : 45</t>
        </is>
      </c>
      <c r="Y1847" t="inlineStr"/>
      <c r="Z1847" t="n">
        <v>1501</v>
      </c>
      <c r="AA1847" t="n">
        <v>16.2</v>
      </c>
      <c r="AB1847" t="inlineStr">
        <is>
          <t>U1846</t>
        </is>
      </c>
      <c r="AC1847" t="inlineStr">
        <is>
          <t>IR</t>
        </is>
      </c>
      <c r="AD1847" t="n">
        <v>16.2</v>
      </c>
      <c r="AE1847" t="n">
        <v>39.1</v>
      </c>
      <c r="AF1847" t="n">
        <v>15.5</v>
      </c>
      <c r="AG1847" t="inlineStr">
        <is>
          <t>1:15.5</t>
        </is>
      </c>
      <c r="AH1847" t="inlineStr">
        <is>
          <t>0%</t>
        </is>
      </c>
      <c r="AI1847" t="inlineStr"/>
      <c r="AJ1847" t="n">
        <v>17.1</v>
      </c>
    </row>
    <row r="1848">
      <c r="A1848" t="inlineStr">
        <is>
          <t>University of Antioquia</t>
        </is>
      </c>
      <c r="B1848" t="inlineStr">
        <is>
          <t>Colombia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>
        <is>
          <t>1201–1500</t>
        </is>
      </c>
      <c r="O1848" t="inlineStr">
        <is>
          <t>22.8–28.2</t>
        </is>
      </c>
      <c r="P1848" t="n">
        <v>17.7</v>
      </c>
      <c r="Q1848" t="n">
        <v>20.3</v>
      </c>
      <c r="R1848" t="n">
        <v>33.5</v>
      </c>
      <c r="S1848" t="n">
        <v>37</v>
      </c>
      <c r="T1848" t="n">
        <v>40.9</v>
      </c>
      <c r="U1848" t="inlineStr">
        <is>
          <t>38,087</t>
        </is>
      </c>
      <c r="V1848" t="n">
        <v>21.1</v>
      </c>
      <c r="W1848" t="inlineStr">
        <is>
          <t>0%</t>
        </is>
      </c>
      <c r="X1848" t="inlineStr">
        <is>
          <t>51 : 49</t>
        </is>
      </c>
      <c r="Y1848" t="inlineStr"/>
      <c r="Z1848" t="n">
        <v>1201</v>
      </c>
      <c r="AA1848" t="n">
        <v>25.5</v>
      </c>
      <c r="AB1848" t="inlineStr">
        <is>
          <t>U1847</t>
        </is>
      </c>
      <c r="AC1848" t="inlineStr">
        <is>
          <t>CO</t>
        </is>
      </c>
      <c r="AD1848" t="n">
        <v>25.5</v>
      </c>
      <c r="AE1848" t="n">
        <v>33.5</v>
      </c>
      <c r="AF1848" t="n">
        <v>21.1</v>
      </c>
      <c r="AG1848" t="inlineStr">
        <is>
          <t>1:21.1</t>
        </is>
      </c>
      <c r="AH1848" t="inlineStr">
        <is>
          <t>0%</t>
        </is>
      </c>
      <c r="AI1848" t="inlineStr"/>
      <c r="AJ1848" t="n">
        <v>24.07</v>
      </c>
    </row>
    <row r="1849">
      <c r="A1849" t="inlineStr">
        <is>
          <t>University of Antofagasta</t>
        </is>
      </c>
      <c r="B1849" t="inlineStr">
        <is>
          <t>Chile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>
        <is>
          <t>1201–1500</t>
        </is>
      </c>
      <c r="O1849" t="inlineStr">
        <is>
          <t>22.8–28.2</t>
        </is>
      </c>
      <c r="P1849" t="n">
        <v>16.9</v>
      </c>
      <c r="Q1849" t="n">
        <v>9.4</v>
      </c>
      <c r="R1849" t="n">
        <v>51.7</v>
      </c>
      <c r="S1849" t="n">
        <v>17.2</v>
      </c>
      <c r="T1849" t="n">
        <v>53.2</v>
      </c>
      <c r="U1849" t="inlineStr">
        <is>
          <t>8,563</t>
        </is>
      </c>
      <c r="V1849" t="n">
        <v>15.9</v>
      </c>
      <c r="W1849" t="inlineStr">
        <is>
          <t>2%</t>
        </is>
      </c>
      <c r="X1849" t="inlineStr">
        <is>
          <t>55 : 45</t>
        </is>
      </c>
      <c r="Y1849" t="inlineStr"/>
      <c r="Z1849" t="n">
        <v>1201</v>
      </c>
      <c r="AA1849" t="n">
        <v>25.5</v>
      </c>
      <c r="AB1849" t="inlineStr">
        <is>
          <t>U1848</t>
        </is>
      </c>
      <c r="AC1849" t="inlineStr">
        <is>
          <t>CH</t>
        </is>
      </c>
      <c r="AD1849" t="n">
        <v>25.5</v>
      </c>
      <c r="AE1849" t="n">
        <v>51.7</v>
      </c>
      <c r="AF1849" t="n">
        <v>15.9</v>
      </c>
      <c r="AG1849" t="inlineStr">
        <is>
          <t>1:15.9</t>
        </is>
      </c>
      <c r="AH1849" t="inlineStr">
        <is>
          <t>2%</t>
        </is>
      </c>
      <c r="AI1849" t="inlineStr"/>
      <c r="AJ1849" t="n">
        <v>26.85</v>
      </c>
    </row>
    <row r="1850">
      <c r="A1850" t="inlineStr">
        <is>
          <t>University of Antwerp</t>
        </is>
      </c>
      <c r="B1850" t="inlineStr">
        <is>
          <t>Belgium</t>
        </is>
      </c>
      <c r="C1850" t="inlineStr">
        <is>
          <t>267</t>
        </is>
      </c>
      <c r="D1850" t="n">
        <v>38.7</v>
      </c>
      <c r="E1850" t="n">
        <v>24.1</v>
      </c>
      <c r="F1850" t="n">
        <v>11.3</v>
      </c>
      <c r="G1850" t="n">
        <v>37.5</v>
      </c>
      <c r="H1850" t="n">
        <v>48.1</v>
      </c>
      <c r="I1850" t="n">
        <v>94.40000000000001</v>
      </c>
      <c r="J1850" t="n">
        <v>32</v>
      </c>
      <c r="K1850" t="n">
        <v>94.59999999999999</v>
      </c>
      <c r="L1850" t="n">
        <v>44.8</v>
      </c>
      <c r="M1850" t="n">
        <v>74.8</v>
      </c>
      <c r="N1850">
        <f>161</f>
        <v/>
      </c>
      <c r="O1850" t="inlineStr">
        <is>
          <t>61.4</t>
        </is>
      </c>
      <c r="P1850" t="n">
        <v>38.2</v>
      </c>
      <c r="Q1850" t="n">
        <v>44.4</v>
      </c>
      <c r="R1850" t="n">
        <v>92.5</v>
      </c>
      <c r="S1850" t="n">
        <v>98.40000000000001</v>
      </c>
      <c r="T1850" t="n">
        <v>74.7</v>
      </c>
      <c r="U1850" t="inlineStr">
        <is>
          <t>16,168</t>
        </is>
      </c>
      <c r="V1850" t="n">
        <v>31.8</v>
      </c>
      <c r="W1850" t="inlineStr">
        <is>
          <t>17%</t>
        </is>
      </c>
      <c r="X1850" t="inlineStr">
        <is>
          <t>56 : 44</t>
        </is>
      </c>
      <c r="Y1850" t="n">
        <v>267</v>
      </c>
      <c r="Z1850" t="n">
        <v>161</v>
      </c>
      <c r="AA1850" t="n">
        <v>61.4</v>
      </c>
      <c r="AB1850" t="inlineStr">
        <is>
          <t>U1849</t>
        </is>
      </c>
      <c r="AC1850" t="inlineStr">
        <is>
          <t>BE</t>
        </is>
      </c>
      <c r="AD1850" t="n">
        <v>38.7</v>
      </c>
      <c r="AE1850" t="n">
        <v>48.1</v>
      </c>
      <c r="AF1850" t="n">
        <v>31.8</v>
      </c>
      <c r="AG1850" t="inlineStr">
        <is>
          <t>1:31.8</t>
        </is>
      </c>
      <c r="AH1850" t="inlineStr">
        <is>
          <t>17%</t>
        </is>
      </c>
      <c r="AI1850" t="n">
        <v>24.1</v>
      </c>
      <c r="AJ1850" t="n">
        <v>49.3</v>
      </c>
    </row>
    <row r="1851">
      <c r="A1851" t="inlineStr">
        <is>
          <t>University of Applied Sciences and Arts of Western Switzerland</t>
        </is>
      </c>
      <c r="B1851" t="inlineStr">
        <is>
          <t>Switzerland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>
        <is>
          <t>1001–1200</t>
        </is>
      </c>
      <c r="O1851" t="inlineStr">
        <is>
          <t>28.3–32.6</t>
        </is>
      </c>
      <c r="P1851" t="n">
        <v>24</v>
      </c>
      <c r="Q1851" t="n">
        <v>13.1</v>
      </c>
      <c r="R1851" t="n">
        <v>38.3</v>
      </c>
      <c r="S1851" t="n">
        <v>33.8</v>
      </c>
      <c r="T1851" t="n">
        <v>87.40000000000001</v>
      </c>
      <c r="U1851" t="inlineStr">
        <is>
          <t>17,933</t>
        </is>
      </c>
      <c r="V1851" t="n">
        <v>6.5</v>
      </c>
      <c r="W1851" t="inlineStr">
        <is>
          <t>29%</t>
        </is>
      </c>
      <c r="X1851" t="inlineStr">
        <is>
          <t>54 : 46</t>
        </is>
      </c>
      <c r="Y1851" t="inlineStr"/>
      <c r="Z1851" t="n">
        <v>1001</v>
      </c>
      <c r="AA1851" t="n">
        <v>30.45</v>
      </c>
      <c r="AB1851" t="inlineStr">
        <is>
          <t>U1850</t>
        </is>
      </c>
      <c r="AC1851" t="inlineStr">
        <is>
          <t>SW</t>
        </is>
      </c>
      <c r="AD1851" t="n">
        <v>30.45</v>
      </c>
      <c r="AE1851" t="n">
        <v>38.3</v>
      </c>
      <c r="AF1851" t="n">
        <v>6.5</v>
      </c>
      <c r="AG1851" t="inlineStr">
        <is>
          <t>1:6.5</t>
        </is>
      </c>
      <c r="AH1851" t="inlineStr">
        <is>
          <t>29%</t>
        </is>
      </c>
      <c r="AI1851" t="inlineStr"/>
      <c r="AJ1851" t="n">
        <v>33</v>
      </c>
    </row>
    <row r="1852">
      <c r="A1852" t="inlineStr">
        <is>
          <t>The University of Arizona</t>
        </is>
      </c>
      <c r="B1852" t="inlineStr">
        <is>
          <t>United States</t>
        </is>
      </c>
      <c r="C1852" t="inlineStr">
        <is>
          <t>293</t>
        </is>
      </c>
      <c r="D1852" t="n">
        <v>37</v>
      </c>
      <c r="E1852" t="n">
        <v>37.3</v>
      </c>
      <c r="F1852" t="n">
        <v>22.2</v>
      </c>
      <c r="G1852" t="n">
        <v>44.4</v>
      </c>
      <c r="H1852" t="n">
        <v>38.8</v>
      </c>
      <c r="I1852" t="n">
        <v>31.6</v>
      </c>
      <c r="J1852" t="n">
        <v>15.1</v>
      </c>
      <c r="K1852" t="n">
        <v>94.09999999999999</v>
      </c>
      <c r="L1852" t="n">
        <v>37.1</v>
      </c>
      <c r="M1852" t="n">
        <v>40.4</v>
      </c>
      <c r="N1852">
        <f>155</f>
        <v/>
      </c>
      <c r="O1852" t="inlineStr">
        <is>
          <t>61.8</t>
        </is>
      </c>
      <c r="P1852" t="n">
        <v>48.7</v>
      </c>
      <c r="Q1852" t="n">
        <v>51.3</v>
      </c>
      <c r="R1852" t="n">
        <v>85.7</v>
      </c>
      <c r="S1852" t="n">
        <v>84</v>
      </c>
      <c r="T1852" t="n">
        <v>47</v>
      </c>
      <c r="U1852" t="inlineStr">
        <is>
          <t>45,517</t>
        </is>
      </c>
      <c r="V1852" t="n">
        <v>19.9</v>
      </c>
      <c r="W1852" t="inlineStr">
        <is>
          <t>7%</t>
        </is>
      </c>
      <c r="X1852" t="inlineStr">
        <is>
          <t>56 : 44</t>
        </is>
      </c>
      <c r="Y1852" t="n">
        <v>293</v>
      </c>
      <c r="Z1852" t="n">
        <v>155</v>
      </c>
      <c r="AA1852" t="n">
        <v>61.8</v>
      </c>
      <c r="AB1852" t="inlineStr">
        <is>
          <t>U1851</t>
        </is>
      </c>
      <c r="AC1852" t="inlineStr">
        <is>
          <t>UN</t>
        </is>
      </c>
      <c r="AD1852" t="n">
        <v>37</v>
      </c>
      <c r="AE1852" t="n">
        <v>38.8</v>
      </c>
      <c r="AF1852" t="n">
        <v>19.9</v>
      </c>
      <c r="AG1852" t="inlineStr">
        <is>
          <t>1:19.9</t>
        </is>
      </c>
      <c r="AH1852" t="inlineStr">
        <is>
          <t>7%</t>
        </is>
      </c>
      <c r="AI1852" t="n">
        <v>37.3</v>
      </c>
      <c r="AJ1852" t="n">
        <v>43.4</v>
      </c>
    </row>
    <row r="1853">
      <c r="A1853" t="inlineStr">
        <is>
          <t>University of Arkansas</t>
        </is>
      </c>
      <c r="B1853" t="inlineStr">
        <is>
          <t>United States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>
        <is>
          <t>601–800</t>
        </is>
      </c>
      <c r="O1853" t="inlineStr">
        <is>
          <t>37.0–41.8</t>
        </is>
      </c>
      <c r="P1853" t="n">
        <v>27.4</v>
      </c>
      <c r="Q1853" t="n">
        <v>30.5</v>
      </c>
      <c r="R1853" t="n">
        <v>62.6</v>
      </c>
      <c r="S1853" t="n">
        <v>67.3</v>
      </c>
      <c r="T1853" t="n">
        <v>36.2</v>
      </c>
      <c r="U1853" t="inlineStr">
        <is>
          <t>25,318</t>
        </is>
      </c>
      <c r="V1853" t="n">
        <v>18.6</v>
      </c>
      <c r="W1853" t="inlineStr">
        <is>
          <t>4%</t>
        </is>
      </c>
      <c r="X1853" t="inlineStr">
        <is>
          <t>55 : 45</t>
        </is>
      </c>
      <c r="Y1853" t="inlineStr"/>
      <c r="Z1853" t="n">
        <v>601</v>
      </c>
      <c r="AA1853" t="n">
        <v>39.4</v>
      </c>
      <c r="AB1853" t="inlineStr">
        <is>
          <t>U1852</t>
        </is>
      </c>
      <c r="AC1853" t="inlineStr">
        <is>
          <t>UN</t>
        </is>
      </c>
      <c r="AD1853" t="n">
        <v>39.4</v>
      </c>
      <c r="AE1853" t="n">
        <v>62.6</v>
      </c>
      <c r="AF1853" t="n">
        <v>18.6</v>
      </c>
      <c r="AG1853" t="inlineStr">
        <is>
          <t>1:18.6</t>
        </is>
      </c>
      <c r="AH1853" t="inlineStr">
        <is>
          <t>4%</t>
        </is>
      </c>
      <c r="AI1853" t="inlineStr"/>
      <c r="AJ1853" t="n">
        <v>37.1</v>
      </c>
    </row>
    <row r="1854">
      <c r="A1854" t="inlineStr">
        <is>
          <t xml:space="preserve">University of Arkansas Fayetteville </t>
        </is>
      </c>
      <c r="B1854" t="inlineStr">
        <is>
          <t>United States</t>
        </is>
      </c>
      <c r="C1854" t="inlineStr">
        <is>
          <t>1001-1200</t>
        </is>
      </c>
      <c r="D1854" t="inlineStr"/>
      <c r="E1854" t="n">
        <v>5.8</v>
      </c>
      <c r="F1854" t="n">
        <v>3.5</v>
      </c>
      <c r="G1854" t="n">
        <v>6.3</v>
      </c>
      <c r="H1854" t="n">
        <v>11.9</v>
      </c>
      <c r="I1854" t="n">
        <v>4.8</v>
      </c>
      <c r="J1854" t="n">
        <v>3</v>
      </c>
      <c r="K1854" t="n">
        <v>51.6</v>
      </c>
      <c r="L1854" t="n">
        <v>15.4</v>
      </c>
      <c r="M1854" t="n">
        <v>3.8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n">
        <v>1001</v>
      </c>
      <c r="Z1854" t="inlineStr"/>
      <c r="AA1854" t="inlineStr"/>
      <c r="AB1854" t="inlineStr">
        <is>
          <t>U1853</t>
        </is>
      </c>
      <c r="AC1854" t="inlineStr">
        <is>
          <t>UN</t>
        </is>
      </c>
      <c r="AD1854" t="inlineStr"/>
      <c r="AE1854" t="n">
        <v>11.9</v>
      </c>
      <c r="AF1854" t="inlineStr"/>
      <c r="AG1854" t="inlineStr"/>
      <c r="AH1854" t="inlineStr"/>
      <c r="AI1854" t="n">
        <v>5.8</v>
      </c>
      <c r="AJ1854" t="n">
        <v>16.99</v>
      </c>
    </row>
    <row r="1855">
      <c r="A1855" t="inlineStr">
        <is>
          <t>The University of Auckland</t>
        </is>
      </c>
      <c r="B1855" t="inlineStr">
        <is>
          <t>New Zealand</t>
        </is>
      </c>
      <c r="C1855" t="inlineStr">
        <is>
          <t>65</t>
        </is>
      </c>
      <c r="D1855" t="n">
        <v>69.7</v>
      </c>
      <c r="E1855" t="n">
        <v>82.2</v>
      </c>
      <c r="F1855" t="n">
        <v>44.7</v>
      </c>
      <c r="G1855" t="n">
        <v>15.5</v>
      </c>
      <c r="H1855" t="n">
        <v>66.90000000000001</v>
      </c>
      <c r="I1855" t="n">
        <v>100</v>
      </c>
      <c r="J1855" t="n">
        <v>84</v>
      </c>
      <c r="K1855" t="n">
        <v>87.40000000000001</v>
      </c>
      <c r="L1855" t="n">
        <v>92.90000000000001</v>
      </c>
      <c r="M1855" t="n">
        <v>99.7</v>
      </c>
      <c r="N1855">
        <f>150</f>
        <v/>
      </c>
      <c r="O1855" t="inlineStr">
        <is>
          <t>62.0</t>
        </is>
      </c>
      <c r="P1855" t="n">
        <v>39.7</v>
      </c>
      <c r="Q1855" t="n">
        <v>45.7</v>
      </c>
      <c r="R1855" t="n">
        <v>88.3</v>
      </c>
      <c r="S1855" t="n">
        <v>95.8</v>
      </c>
      <c r="T1855" t="n">
        <v>89.90000000000001</v>
      </c>
      <c r="U1855" t="inlineStr">
        <is>
          <t>35,663</t>
        </is>
      </c>
      <c r="V1855" t="n">
        <v>24.4</v>
      </c>
      <c r="W1855" t="inlineStr">
        <is>
          <t>31%</t>
        </is>
      </c>
      <c r="X1855" t="inlineStr">
        <is>
          <t>57 : 43</t>
        </is>
      </c>
      <c r="Y1855" t="n">
        <v>65</v>
      </c>
      <c r="Z1855" t="n">
        <v>150</v>
      </c>
      <c r="AA1855" t="n">
        <v>62</v>
      </c>
      <c r="AB1855" t="inlineStr">
        <is>
          <t>U1854</t>
        </is>
      </c>
      <c r="AC1855" t="inlineStr">
        <is>
          <t>NE</t>
        </is>
      </c>
      <c r="AD1855" t="n">
        <v>69.7</v>
      </c>
      <c r="AE1855" t="n">
        <v>66.90000000000001</v>
      </c>
      <c r="AF1855" t="n">
        <v>24.4</v>
      </c>
      <c r="AG1855" t="inlineStr">
        <is>
          <t>1:24.4</t>
        </is>
      </c>
      <c r="AH1855" t="inlineStr">
        <is>
          <t>31%</t>
        </is>
      </c>
      <c r="AI1855" t="n">
        <v>82.2</v>
      </c>
      <c r="AJ1855" t="n">
        <v>59.36</v>
      </c>
    </row>
    <row r="1856">
      <c r="A1856" t="inlineStr">
        <is>
          <t>University of Aveiro</t>
        </is>
      </c>
      <c r="B1856" t="inlineStr">
        <is>
          <t>Portugal</t>
        </is>
      </c>
      <c r="C1856" t="inlineStr">
        <is>
          <t>359</t>
        </is>
      </c>
      <c r="D1856" t="n">
        <v>31.9</v>
      </c>
      <c r="E1856" t="n">
        <v>13.9</v>
      </c>
      <c r="F1856" t="n">
        <v>5.6</v>
      </c>
      <c r="G1856" t="n">
        <v>11.1</v>
      </c>
      <c r="H1856" t="n">
        <v>90.59999999999999</v>
      </c>
      <c r="I1856" t="n">
        <v>4.2</v>
      </c>
      <c r="J1856" t="n">
        <v>15.3</v>
      </c>
      <c r="K1856" t="n">
        <v>89</v>
      </c>
      <c r="L1856" t="n">
        <v>2.7</v>
      </c>
      <c r="M1856" t="n">
        <v>57.7</v>
      </c>
      <c r="N1856" t="inlineStr">
        <is>
          <t>601–800</t>
        </is>
      </c>
      <c r="O1856" t="inlineStr">
        <is>
          <t>37.0–41.8</t>
        </is>
      </c>
      <c r="P1856" t="n">
        <v>27.1</v>
      </c>
      <c r="Q1856" t="n">
        <v>30.2</v>
      </c>
      <c r="R1856" t="n">
        <v>57.3</v>
      </c>
      <c r="S1856" t="n">
        <v>48.1</v>
      </c>
      <c r="T1856" t="n">
        <v>48.6</v>
      </c>
      <c r="U1856" t="inlineStr">
        <is>
          <t>13,563</t>
        </is>
      </c>
      <c r="V1856" t="n">
        <v>16.3</v>
      </c>
      <c r="W1856" t="inlineStr">
        <is>
          <t>11%</t>
        </is>
      </c>
      <c r="X1856" t="inlineStr">
        <is>
          <t>54 : 46</t>
        </is>
      </c>
      <c r="Y1856" t="n">
        <v>359</v>
      </c>
      <c r="Z1856" t="n">
        <v>601</v>
      </c>
      <c r="AA1856" t="n">
        <v>39.4</v>
      </c>
      <c r="AB1856" t="inlineStr">
        <is>
          <t>U1855</t>
        </is>
      </c>
      <c r="AC1856" t="inlineStr">
        <is>
          <t>PO</t>
        </is>
      </c>
      <c r="AD1856" t="n">
        <v>31.9</v>
      </c>
      <c r="AE1856" t="n">
        <v>90.59999999999999</v>
      </c>
      <c r="AF1856" t="n">
        <v>16.3</v>
      </c>
      <c r="AG1856" t="inlineStr">
        <is>
          <t>1:16.3</t>
        </is>
      </c>
      <c r="AH1856" t="inlineStr">
        <is>
          <t>11%</t>
        </is>
      </c>
      <c r="AI1856" t="n">
        <v>13.9</v>
      </c>
      <c r="AJ1856" t="n">
        <v>48.43</v>
      </c>
    </row>
    <row r="1857">
      <c r="A1857" t="inlineStr">
        <is>
          <t>University of Béjaïa</t>
        </is>
      </c>
      <c r="B1857" t="inlineStr">
        <is>
          <t>Algeria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>
        <is>
          <t>1501+</t>
        </is>
      </c>
      <c r="O1857" t="inlineStr">
        <is>
          <t>9.7–22.7</t>
        </is>
      </c>
      <c r="P1857" t="n">
        <v>13.8</v>
      </c>
      <c r="Q1857" t="n">
        <v>8.300000000000001</v>
      </c>
      <c r="R1857" t="n">
        <v>14.4</v>
      </c>
      <c r="S1857" t="n">
        <v>20.9</v>
      </c>
      <c r="T1857" t="n">
        <v>44.9</v>
      </c>
      <c r="U1857" t="inlineStr">
        <is>
          <t>40,752</t>
        </is>
      </c>
      <c r="V1857" t="n">
        <v>23.7</v>
      </c>
      <c r="W1857" t="inlineStr">
        <is>
          <t>1%</t>
        </is>
      </c>
      <c r="X1857" t="inlineStr">
        <is>
          <t>61 : 39</t>
        </is>
      </c>
      <c r="Y1857" t="inlineStr"/>
      <c r="Z1857" t="n">
        <v>1501</v>
      </c>
      <c r="AA1857" t="n">
        <v>16.2</v>
      </c>
      <c r="AB1857" t="inlineStr">
        <is>
          <t>U1856</t>
        </is>
      </c>
      <c r="AC1857" t="inlineStr">
        <is>
          <t>AL</t>
        </is>
      </c>
      <c r="AD1857" t="n">
        <v>16.2</v>
      </c>
      <c r="AE1857" t="n">
        <v>14.4</v>
      </c>
      <c r="AF1857" t="n">
        <v>23.7</v>
      </c>
      <c r="AG1857" t="inlineStr">
        <is>
          <t>1:23.7</t>
        </is>
      </c>
      <c r="AH1857" t="inlineStr">
        <is>
          <t>1%</t>
        </is>
      </c>
      <c r="AI1857" t="inlineStr"/>
      <c r="AJ1857" t="n">
        <v>12.96</v>
      </c>
    </row>
    <row r="1858">
      <c r="A1858" t="inlineStr">
        <is>
          <t>University of Bío-Bío</t>
        </is>
      </c>
      <c r="B1858" t="inlineStr">
        <is>
          <t>Chile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>
        <is>
          <t>1501+</t>
        </is>
      </c>
      <c r="O1858" t="inlineStr">
        <is>
          <t>9.7–22.7</t>
        </is>
      </c>
      <c r="P1858" t="n">
        <v>12.9</v>
      </c>
      <c r="Q1858" t="n">
        <v>12.8</v>
      </c>
      <c r="R1858" t="n">
        <v>13.9</v>
      </c>
      <c r="S1858" t="n">
        <v>19.1</v>
      </c>
      <c r="T1858" t="n">
        <v>46.7</v>
      </c>
      <c r="U1858" t="inlineStr">
        <is>
          <t>12,662</t>
        </is>
      </c>
      <c r="V1858" t="n">
        <v>25.5</v>
      </c>
      <c r="W1858" t="inlineStr">
        <is>
          <t>1%</t>
        </is>
      </c>
      <c r="X1858" t="inlineStr">
        <is>
          <t>43 : 57</t>
        </is>
      </c>
      <c r="Y1858" t="inlineStr"/>
      <c r="Z1858" t="n">
        <v>1501</v>
      </c>
      <c r="AA1858" t="n">
        <v>16.2</v>
      </c>
      <c r="AB1858" t="inlineStr">
        <is>
          <t>U1857</t>
        </is>
      </c>
      <c r="AC1858" t="inlineStr">
        <is>
          <t>CH</t>
        </is>
      </c>
      <c r="AD1858" t="n">
        <v>16.2</v>
      </c>
      <c r="AE1858" t="n">
        <v>13.9</v>
      </c>
      <c r="AF1858" t="n">
        <v>25.5</v>
      </c>
      <c r="AG1858" t="inlineStr">
        <is>
          <t>1:25.5</t>
        </is>
      </c>
      <c r="AH1858" t="inlineStr">
        <is>
          <t>1%</t>
        </is>
      </c>
      <c r="AI1858" t="inlineStr"/>
      <c r="AJ1858" t="n">
        <v>15.61</v>
      </c>
    </row>
    <row r="1859">
      <c r="A1859" t="inlineStr">
        <is>
          <t>University of Babylon</t>
        </is>
      </c>
      <c r="B1859" t="inlineStr">
        <is>
          <t>Iraq</t>
        </is>
      </c>
      <c r="C1859" t="inlineStr">
        <is>
          <t>1201-1400</t>
        </is>
      </c>
      <c r="D1859" t="inlineStr"/>
      <c r="E1859" t="n">
        <v>4.6</v>
      </c>
      <c r="F1859" t="n">
        <v>9.800000000000001</v>
      </c>
      <c r="G1859" t="n">
        <v>14.5</v>
      </c>
      <c r="H1859" t="n">
        <v>2</v>
      </c>
      <c r="I1859" t="n">
        <v>1.1</v>
      </c>
      <c r="J1859" t="n">
        <v>1</v>
      </c>
      <c r="K1859" t="n">
        <v>29.9</v>
      </c>
      <c r="L1859" t="n">
        <v>4.3</v>
      </c>
      <c r="M1859" t="n">
        <v>1.2</v>
      </c>
      <c r="N1859" t="inlineStr">
        <is>
          <t>1201–1500</t>
        </is>
      </c>
      <c r="O1859" t="inlineStr">
        <is>
          <t>22.8–28.2</t>
        </is>
      </c>
      <c r="P1859" t="n">
        <v>21.4</v>
      </c>
      <c r="Q1859" t="n">
        <v>8.199999999999999</v>
      </c>
      <c r="R1859" t="n">
        <v>47.3</v>
      </c>
      <c r="S1859" t="n">
        <v>30.3</v>
      </c>
      <c r="T1859" t="n">
        <v>21.4</v>
      </c>
      <c r="U1859" t="inlineStr">
        <is>
          <t>30,973</t>
        </is>
      </c>
      <c r="V1859" t="n">
        <v>14.9</v>
      </c>
      <c r="W1859" t="inlineStr">
        <is>
          <t>0%</t>
        </is>
      </c>
      <c r="X1859" t="inlineStr">
        <is>
          <t>59 : 41</t>
        </is>
      </c>
      <c r="Y1859" t="n">
        <v>1201</v>
      </c>
      <c r="Z1859" t="n">
        <v>1201</v>
      </c>
      <c r="AA1859" t="n">
        <v>25.5</v>
      </c>
      <c r="AB1859" t="inlineStr">
        <is>
          <t>U1858</t>
        </is>
      </c>
      <c r="AC1859" t="inlineStr">
        <is>
          <t>IR</t>
        </is>
      </c>
      <c r="AD1859" t="n">
        <v>25.5</v>
      </c>
      <c r="AE1859" t="n">
        <v>2</v>
      </c>
      <c r="AF1859" t="n">
        <v>14.9</v>
      </c>
      <c r="AG1859" t="inlineStr">
        <is>
          <t>1:14.9</t>
        </is>
      </c>
      <c r="AH1859" t="inlineStr">
        <is>
          <t>0%</t>
        </is>
      </c>
      <c r="AI1859" t="n">
        <v>4.6</v>
      </c>
      <c r="AJ1859" t="n">
        <v>3.47</v>
      </c>
    </row>
    <row r="1860">
      <c r="A1860" t="inlineStr">
        <is>
          <t>University of Baghdad</t>
        </is>
      </c>
      <c r="B1860" t="inlineStr">
        <is>
          <t>Iraq</t>
        </is>
      </c>
      <c r="C1860" t="inlineStr">
        <is>
          <t>801-850</t>
        </is>
      </c>
      <c r="D1860" t="inlineStr"/>
      <c r="E1860" t="n">
        <v>11</v>
      </c>
      <c r="F1860" t="n">
        <v>16.9</v>
      </c>
      <c r="G1860" t="n">
        <v>24.6</v>
      </c>
      <c r="H1860" t="n">
        <v>1.5</v>
      </c>
      <c r="I1860" t="n">
        <v>2.4</v>
      </c>
      <c r="J1860" t="n">
        <v>1.1</v>
      </c>
      <c r="K1860" t="n">
        <v>63.5</v>
      </c>
      <c r="L1860" t="n">
        <v>72.7</v>
      </c>
      <c r="M1860" t="n">
        <v>3.1</v>
      </c>
      <c r="N1860" t="inlineStr">
        <is>
          <t>1501+</t>
        </is>
      </c>
      <c r="O1860" t="inlineStr">
        <is>
          <t>9.7–22.7</t>
        </is>
      </c>
      <c r="P1860" t="n">
        <v>25.1</v>
      </c>
      <c r="Q1860" t="n">
        <v>12.6</v>
      </c>
      <c r="R1860" t="n">
        <v>19.8</v>
      </c>
      <c r="S1860" t="n">
        <v>28.5</v>
      </c>
      <c r="T1860" t="n">
        <v>20.2</v>
      </c>
      <c r="U1860" t="inlineStr">
        <is>
          <t>77,128</t>
        </is>
      </c>
      <c r="V1860" t="n">
        <v>13.3</v>
      </c>
      <c r="W1860" t="inlineStr">
        <is>
          <t>0%</t>
        </is>
      </c>
      <c r="X1860" t="inlineStr">
        <is>
          <t>57 : 43</t>
        </is>
      </c>
      <c r="Y1860" t="n">
        <v>801</v>
      </c>
      <c r="Z1860" t="n">
        <v>1501</v>
      </c>
      <c r="AA1860" t="n">
        <v>16.2</v>
      </c>
      <c r="AB1860" t="inlineStr">
        <is>
          <t>U1859</t>
        </is>
      </c>
      <c r="AC1860" t="inlineStr">
        <is>
          <t>IR</t>
        </is>
      </c>
      <c r="AD1860" t="n">
        <v>16.2</v>
      </c>
      <c r="AE1860" t="n">
        <v>1.5</v>
      </c>
      <c r="AF1860" t="n">
        <v>13.3</v>
      </c>
      <c r="AG1860" t="inlineStr">
        <is>
          <t>1:13.3</t>
        </is>
      </c>
      <c r="AH1860" t="inlineStr">
        <is>
          <t>0%</t>
        </is>
      </c>
      <c r="AI1860" t="n">
        <v>11</v>
      </c>
      <c r="AJ1860" t="n">
        <v>5.34</v>
      </c>
    </row>
    <row r="1861">
      <c r="A1861" t="inlineStr">
        <is>
          <t>University of Bahrain</t>
        </is>
      </c>
      <c r="B1861" t="inlineStr">
        <is>
          <t>Bahrain</t>
        </is>
      </c>
      <c r="C1861" t="inlineStr">
        <is>
          <t>951-1000</t>
        </is>
      </c>
      <c r="D1861" t="inlineStr"/>
      <c r="E1861" t="n">
        <v>9.699999999999999</v>
      </c>
      <c r="F1861" t="n">
        <v>5.1</v>
      </c>
      <c r="G1861" t="n">
        <v>7</v>
      </c>
      <c r="H1861" t="n">
        <v>2.2</v>
      </c>
      <c r="I1861" t="n">
        <v>87</v>
      </c>
      <c r="J1861" t="n">
        <v>8.9</v>
      </c>
      <c r="K1861" t="n">
        <v>36.2</v>
      </c>
      <c r="L1861" t="n">
        <v>36.3</v>
      </c>
      <c r="M1861" t="n">
        <v>1.1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n">
        <v>951</v>
      </c>
      <c r="Z1861" t="inlineStr"/>
      <c r="AA1861" t="inlineStr"/>
      <c r="AB1861" t="inlineStr">
        <is>
          <t>U1860</t>
        </is>
      </c>
      <c r="AC1861" t="inlineStr">
        <is>
          <t>BA</t>
        </is>
      </c>
      <c r="AD1861" t="inlineStr"/>
      <c r="AE1861" t="n">
        <v>2.2</v>
      </c>
      <c r="AF1861" t="inlineStr"/>
      <c r="AG1861" t="inlineStr"/>
      <c r="AH1861" t="inlineStr"/>
      <c r="AI1861" t="n">
        <v>9.699999999999999</v>
      </c>
      <c r="AJ1861" t="n">
        <v>14.06</v>
      </c>
    </row>
    <row r="1862">
      <c r="A1862" t="inlineStr">
        <is>
          <t>University of Barcelona</t>
        </is>
      </c>
      <c r="B1862" t="inlineStr">
        <is>
          <t>Spain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>
        <f>152</f>
        <v/>
      </c>
      <c r="O1862" t="inlineStr">
        <is>
          <t>61.9</t>
        </is>
      </c>
      <c r="P1862" t="n">
        <v>42.4</v>
      </c>
      <c r="Q1862" t="n">
        <v>47.3</v>
      </c>
      <c r="R1862" t="n">
        <v>91.40000000000001</v>
      </c>
      <c r="S1862" t="n">
        <v>83.90000000000001</v>
      </c>
      <c r="T1862" t="n">
        <v>65.2</v>
      </c>
      <c r="U1862" t="inlineStr">
        <is>
          <t>44,365</t>
        </is>
      </c>
      <c r="V1862" t="n">
        <v>15.3</v>
      </c>
      <c r="W1862" t="inlineStr">
        <is>
          <t>11%</t>
        </is>
      </c>
      <c r="X1862" t="inlineStr">
        <is>
          <t>64 : 36</t>
        </is>
      </c>
      <c r="Y1862" t="inlineStr"/>
      <c r="Z1862" t="n">
        <v>152</v>
      </c>
      <c r="AA1862" t="n">
        <v>61.9</v>
      </c>
      <c r="AB1862" t="inlineStr">
        <is>
          <t>U1861</t>
        </is>
      </c>
      <c r="AC1862" t="inlineStr">
        <is>
          <t>SP</t>
        </is>
      </c>
      <c r="AD1862" t="n">
        <v>61.9</v>
      </c>
      <c r="AE1862" t="n">
        <v>91.40000000000001</v>
      </c>
      <c r="AF1862" t="n">
        <v>15.3</v>
      </c>
      <c r="AG1862" t="inlineStr">
        <is>
          <t>1:15.3</t>
        </is>
      </c>
      <c r="AH1862" t="inlineStr">
        <is>
          <t>11%</t>
        </is>
      </c>
      <c r="AI1862" t="inlineStr"/>
      <c r="AJ1862" t="n">
        <v>61.65</v>
      </c>
    </row>
    <row r="1863">
      <c r="A1863" t="inlineStr">
        <is>
          <t>University of Bari</t>
        </is>
      </c>
      <c r="B1863" t="inlineStr">
        <is>
          <t>Italy</t>
        </is>
      </c>
      <c r="C1863" t="inlineStr">
        <is>
          <t>801-850</t>
        </is>
      </c>
      <c r="D1863" t="inlineStr"/>
      <c r="E1863" t="n">
        <v>12.4</v>
      </c>
      <c r="F1863" t="n">
        <v>3</v>
      </c>
      <c r="G1863" t="n">
        <v>4.6</v>
      </c>
      <c r="H1863" t="n">
        <v>25</v>
      </c>
      <c r="I1863" t="n">
        <v>4.9</v>
      </c>
      <c r="J1863" t="n">
        <v>2</v>
      </c>
      <c r="K1863" t="n">
        <v>81.59999999999999</v>
      </c>
      <c r="L1863" t="n">
        <v>7.7</v>
      </c>
      <c r="M1863" t="n">
        <v>25.7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n">
        <v>801</v>
      </c>
      <c r="Z1863" t="inlineStr"/>
      <c r="AA1863" t="inlineStr"/>
      <c r="AB1863" t="inlineStr">
        <is>
          <t>U1862</t>
        </is>
      </c>
      <c r="AC1863" t="inlineStr">
        <is>
          <t>IT</t>
        </is>
      </c>
      <c r="AD1863" t="inlineStr"/>
      <c r="AE1863" t="n">
        <v>25</v>
      </c>
      <c r="AF1863" t="inlineStr"/>
      <c r="AG1863" t="inlineStr"/>
      <c r="AH1863" t="inlineStr"/>
      <c r="AI1863" t="n">
        <v>12.4</v>
      </c>
      <c r="AJ1863" t="n">
        <v>20.96</v>
      </c>
    </row>
    <row r="1864">
      <c r="A1864" t="inlineStr">
        <is>
          <t>University of Bari Aldo Moro</t>
        </is>
      </c>
      <c r="B1864" t="inlineStr">
        <is>
          <t>Italy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>
        <is>
          <t>601–800</t>
        </is>
      </c>
      <c r="O1864" t="inlineStr">
        <is>
          <t>37.0–41.8</t>
        </is>
      </c>
      <c r="P1864" t="n">
        <v>19.8</v>
      </c>
      <c r="Q1864" t="n">
        <v>21.8</v>
      </c>
      <c r="R1864" t="n">
        <v>78.3</v>
      </c>
      <c r="S1864" t="n">
        <v>57.8</v>
      </c>
      <c r="T1864" t="n">
        <v>37.5</v>
      </c>
      <c r="U1864" t="inlineStr">
        <is>
          <t>30,486</t>
        </is>
      </c>
      <c r="V1864" t="n">
        <v>20</v>
      </c>
      <c r="W1864" t="inlineStr">
        <is>
          <t>2%</t>
        </is>
      </c>
      <c r="X1864" t="inlineStr">
        <is>
          <t>62 : 38</t>
        </is>
      </c>
      <c r="Y1864" t="inlineStr"/>
      <c r="Z1864" t="n">
        <v>601</v>
      </c>
      <c r="AA1864" t="n">
        <v>39.4</v>
      </c>
      <c r="AB1864" t="inlineStr">
        <is>
          <t>U1863</t>
        </is>
      </c>
      <c r="AC1864" t="inlineStr">
        <is>
          <t>IT</t>
        </is>
      </c>
      <c r="AD1864" t="n">
        <v>39.4</v>
      </c>
      <c r="AE1864" t="n">
        <v>78.3</v>
      </c>
      <c r="AF1864" t="n">
        <v>20</v>
      </c>
      <c r="AG1864" t="inlineStr">
        <is>
          <t>1:20.0</t>
        </is>
      </c>
      <c r="AH1864" t="inlineStr">
        <is>
          <t>2%</t>
        </is>
      </c>
      <c r="AI1864" t="inlineStr"/>
      <c r="AJ1864" t="n">
        <v>37.61</v>
      </c>
    </row>
    <row r="1865">
      <c r="A1865" t="inlineStr">
        <is>
          <t>University of Basel</t>
        </is>
      </c>
      <c r="B1865" t="inlineStr">
        <is>
          <t>Switzerland</t>
        </is>
      </c>
      <c r="C1865" t="inlineStr">
        <is>
          <t>131</t>
        </is>
      </c>
      <c r="D1865" t="n">
        <v>54.3</v>
      </c>
      <c r="E1865" t="n">
        <v>26.6</v>
      </c>
      <c r="F1865" t="n">
        <v>13.5</v>
      </c>
      <c r="G1865" t="n">
        <v>61.4</v>
      </c>
      <c r="H1865" t="n">
        <v>94.5</v>
      </c>
      <c r="I1865" t="n">
        <v>100</v>
      </c>
      <c r="J1865" t="n">
        <v>85.8</v>
      </c>
      <c r="K1865" t="n">
        <v>89.40000000000001</v>
      </c>
      <c r="L1865" t="n">
        <v>69.90000000000001</v>
      </c>
      <c r="M1865" t="n">
        <v>44.6</v>
      </c>
      <c r="N1865">
        <f>123</f>
        <v/>
      </c>
      <c r="O1865" t="inlineStr">
        <is>
          <t>64.9</t>
        </is>
      </c>
      <c r="P1865" t="n">
        <v>50.8</v>
      </c>
      <c r="Q1865" t="n">
        <v>42.9</v>
      </c>
      <c r="R1865" t="n">
        <v>87.7</v>
      </c>
      <c r="S1865" t="n">
        <v>99.40000000000001</v>
      </c>
      <c r="T1865" t="n">
        <v>95.40000000000001</v>
      </c>
      <c r="U1865" t="inlineStr">
        <is>
          <t>8,536</t>
        </is>
      </c>
      <c r="V1865" t="n">
        <v>10.4</v>
      </c>
      <c r="W1865" t="inlineStr">
        <is>
          <t>31%</t>
        </is>
      </c>
      <c r="X1865" t="inlineStr">
        <is>
          <t>56 : 44</t>
        </is>
      </c>
      <c r="Y1865" t="n">
        <v>131</v>
      </c>
      <c r="Z1865" t="n">
        <v>123</v>
      </c>
      <c r="AA1865" t="n">
        <v>64.90000000000001</v>
      </c>
      <c r="AB1865" t="inlineStr">
        <is>
          <t>U1864</t>
        </is>
      </c>
      <c r="AC1865" t="inlineStr">
        <is>
          <t>SW</t>
        </is>
      </c>
      <c r="AD1865" t="n">
        <v>54.3</v>
      </c>
      <c r="AE1865" t="n">
        <v>94.5</v>
      </c>
      <c r="AF1865" t="n">
        <v>10.4</v>
      </c>
      <c r="AG1865" t="inlineStr">
        <is>
          <t>1:10.4</t>
        </is>
      </c>
      <c r="AH1865" t="inlineStr">
        <is>
          <t>31%</t>
        </is>
      </c>
      <c r="AI1865" t="n">
        <v>26.6</v>
      </c>
      <c r="AJ1865" t="n">
        <v>67.58</v>
      </c>
    </row>
    <row r="1866">
      <c r="A1866" t="inlineStr">
        <is>
          <t>University of Basrah</t>
        </is>
      </c>
      <c r="B1866" t="inlineStr">
        <is>
          <t>Iraq</t>
        </is>
      </c>
      <c r="C1866" t="inlineStr">
        <is>
          <t>1201-1400</t>
        </is>
      </c>
      <c r="D1866" t="inlineStr"/>
      <c r="E1866" t="n">
        <v>5.5</v>
      </c>
      <c r="F1866" t="n">
        <v>9.300000000000001</v>
      </c>
      <c r="G1866" t="n">
        <v>18.4</v>
      </c>
      <c r="H1866" t="n">
        <v>1.4</v>
      </c>
      <c r="I1866" t="n">
        <v>1.3</v>
      </c>
      <c r="J1866" t="n">
        <v>1.1</v>
      </c>
      <c r="K1866" t="n">
        <v>33.7</v>
      </c>
      <c r="L1866" t="n">
        <v>10</v>
      </c>
      <c r="M1866" t="n">
        <v>1</v>
      </c>
      <c r="N1866" t="inlineStr">
        <is>
          <t>1501+</t>
        </is>
      </c>
      <c r="O1866" t="inlineStr">
        <is>
          <t>9.7–22.7</t>
        </is>
      </c>
      <c r="P1866" t="n">
        <v>23.4</v>
      </c>
      <c r="Q1866" t="n">
        <v>7.8</v>
      </c>
      <c r="R1866" t="n">
        <v>14.6</v>
      </c>
      <c r="S1866" t="n">
        <v>16.2</v>
      </c>
      <c r="T1866" t="n">
        <v>26.1</v>
      </c>
      <c r="U1866" t="inlineStr">
        <is>
          <t>42,848</t>
        </is>
      </c>
      <c r="V1866" t="n">
        <v>11.7</v>
      </c>
      <c r="W1866" t="inlineStr">
        <is>
          <t>0%</t>
        </is>
      </c>
      <c r="X1866" t="inlineStr">
        <is>
          <t>55 : 45</t>
        </is>
      </c>
      <c r="Y1866" t="n">
        <v>1201</v>
      </c>
      <c r="Z1866" t="n">
        <v>1501</v>
      </c>
      <c r="AA1866" t="n">
        <v>16.2</v>
      </c>
      <c r="AB1866" t="inlineStr">
        <is>
          <t>U1865</t>
        </is>
      </c>
      <c r="AC1866" t="inlineStr">
        <is>
          <t>IR</t>
        </is>
      </c>
      <c r="AD1866" t="n">
        <v>16.2</v>
      </c>
      <c r="AE1866" t="n">
        <v>1.4</v>
      </c>
      <c r="AF1866" t="n">
        <v>11.7</v>
      </c>
      <c r="AG1866" t="inlineStr">
        <is>
          <t>1:11.7</t>
        </is>
      </c>
      <c r="AH1866" t="inlineStr">
        <is>
          <t>0%</t>
        </is>
      </c>
      <c r="AI1866" t="n">
        <v>5.5</v>
      </c>
      <c r="AJ1866" t="n">
        <v>4.22</v>
      </c>
    </row>
    <row r="1867">
      <c r="A1867" t="inlineStr">
        <is>
          <t>University of Bath</t>
        </is>
      </c>
      <c r="B1867" t="inlineStr">
        <is>
          <t>United Kingdom</t>
        </is>
      </c>
      <c r="C1867" t="inlineStr">
        <is>
          <t>150</t>
        </is>
      </c>
      <c r="D1867" t="n">
        <v>52.1</v>
      </c>
      <c r="E1867" t="n">
        <v>35.8</v>
      </c>
      <c r="F1867" t="n">
        <v>67.90000000000001</v>
      </c>
      <c r="G1867" t="n">
        <v>18.3</v>
      </c>
      <c r="H1867" t="n">
        <v>52</v>
      </c>
      <c r="I1867" t="n">
        <v>94.3</v>
      </c>
      <c r="J1867" t="n">
        <v>80</v>
      </c>
      <c r="K1867" t="n">
        <v>84.2</v>
      </c>
      <c r="L1867" t="n">
        <v>35.2</v>
      </c>
      <c r="M1867" t="n">
        <v>90.40000000000001</v>
      </c>
      <c r="N1867" t="inlineStr">
        <is>
          <t>251–300</t>
        </is>
      </c>
      <c r="O1867" t="inlineStr">
        <is>
          <t>53.1–55.8</t>
        </is>
      </c>
      <c r="P1867" t="n">
        <v>34.7</v>
      </c>
      <c r="Q1867" t="n">
        <v>35.1</v>
      </c>
      <c r="R1867" t="n">
        <v>80.5</v>
      </c>
      <c r="S1867" t="n">
        <v>65.3</v>
      </c>
      <c r="T1867" t="n">
        <v>95</v>
      </c>
      <c r="U1867" t="inlineStr">
        <is>
          <t>15,280</t>
        </is>
      </c>
      <c r="V1867" t="n">
        <v>15.8</v>
      </c>
      <c r="W1867" t="inlineStr">
        <is>
          <t>31%</t>
        </is>
      </c>
      <c r="X1867" t="inlineStr">
        <is>
          <t>45 : 55</t>
        </is>
      </c>
      <c r="Y1867" t="n">
        <v>150</v>
      </c>
      <c r="Z1867" t="n">
        <v>251</v>
      </c>
      <c r="AA1867" t="n">
        <v>54.45</v>
      </c>
      <c r="AB1867" t="inlineStr">
        <is>
          <t>U1866</t>
        </is>
      </c>
      <c r="AC1867" t="inlineStr">
        <is>
          <t>UN</t>
        </is>
      </c>
      <c r="AD1867" t="n">
        <v>52.1</v>
      </c>
      <c r="AE1867" t="n">
        <v>52</v>
      </c>
      <c r="AF1867" t="n">
        <v>15.8</v>
      </c>
      <c r="AG1867" t="inlineStr">
        <is>
          <t>1:15.8</t>
        </is>
      </c>
      <c r="AH1867" t="inlineStr">
        <is>
          <t>31%</t>
        </is>
      </c>
      <c r="AI1867" t="n">
        <v>35.8</v>
      </c>
      <c r="AJ1867" t="n">
        <v>50.52</v>
      </c>
    </row>
    <row r="1868">
      <c r="A1868" t="inlineStr">
        <is>
          <t>University of Batna 2</t>
        </is>
      </c>
      <c r="B1868" t="inlineStr">
        <is>
          <t>Algeria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>
        <is>
          <t>1501+</t>
        </is>
      </c>
      <c r="O1868" t="inlineStr">
        <is>
          <t>9.7–22.7</t>
        </is>
      </c>
      <c r="P1868" t="n">
        <v>17.5</v>
      </c>
      <c r="Q1868" t="n">
        <v>7.9</v>
      </c>
      <c r="R1868" t="n">
        <v>12.2</v>
      </c>
      <c r="S1868" t="n">
        <v>15.9</v>
      </c>
      <c r="T1868" t="n">
        <v>30.4</v>
      </c>
      <c r="U1868" t="inlineStr">
        <is>
          <t>27,867</t>
        </is>
      </c>
      <c r="V1868" t="n">
        <v>23.7</v>
      </c>
      <c r="W1868" t="inlineStr">
        <is>
          <t>1%</t>
        </is>
      </c>
      <c r="X1868" t="inlineStr">
        <is>
          <t>51 : 49</t>
        </is>
      </c>
      <c r="Y1868" t="inlineStr"/>
      <c r="Z1868" t="n">
        <v>1501</v>
      </c>
      <c r="AA1868" t="n">
        <v>16.2</v>
      </c>
      <c r="AB1868" t="inlineStr">
        <is>
          <t>U1867</t>
        </is>
      </c>
      <c r="AC1868" t="inlineStr">
        <is>
          <t>AL</t>
        </is>
      </c>
      <c r="AD1868" t="n">
        <v>16.2</v>
      </c>
      <c r="AE1868" t="n">
        <v>12.2</v>
      </c>
      <c r="AF1868" t="n">
        <v>23.7</v>
      </c>
      <c r="AG1868" t="inlineStr">
        <is>
          <t>1:23.7</t>
        </is>
      </c>
      <c r="AH1868" t="inlineStr">
        <is>
          <t>1%</t>
        </is>
      </c>
      <c r="AI1868" t="inlineStr"/>
      <c r="AJ1868" t="n">
        <v>8.58</v>
      </c>
    </row>
    <row r="1869">
      <c r="A1869" t="inlineStr">
        <is>
          <t>University of Bayreuth</t>
        </is>
      </c>
      <c r="B1869" t="inlineStr">
        <is>
          <t>Germany</t>
        </is>
      </c>
      <c r="C1869" t="inlineStr">
        <is>
          <t>527</t>
        </is>
      </c>
      <c r="D1869" t="n">
        <v>23.2</v>
      </c>
      <c r="E1869" t="n">
        <v>10.2</v>
      </c>
      <c r="F1869" t="n">
        <v>15.7</v>
      </c>
      <c r="G1869" t="n">
        <v>50.3</v>
      </c>
      <c r="H1869" t="n">
        <v>25.8</v>
      </c>
      <c r="I1869" t="n">
        <v>54.8</v>
      </c>
      <c r="J1869" t="n">
        <v>21.2</v>
      </c>
      <c r="K1869" t="n">
        <v>75.09999999999999</v>
      </c>
      <c r="L1869" t="n">
        <v>9</v>
      </c>
      <c r="M1869" t="n">
        <v>11.3</v>
      </c>
      <c r="N1869" t="inlineStr">
        <is>
          <t>351–400</t>
        </is>
      </c>
      <c r="O1869" t="inlineStr">
        <is>
          <t>49.1–51.0</t>
        </is>
      </c>
      <c r="P1869" t="n">
        <v>38</v>
      </c>
      <c r="Q1869" t="n">
        <v>40.8</v>
      </c>
      <c r="R1869" t="n">
        <v>65</v>
      </c>
      <c r="S1869" t="n">
        <v>83.40000000000001</v>
      </c>
      <c r="T1869" t="n">
        <v>67.7</v>
      </c>
      <c r="U1869" t="inlineStr">
        <is>
          <t>8,944</t>
        </is>
      </c>
      <c r="V1869" t="n">
        <v>24.5</v>
      </c>
      <c r="W1869" t="inlineStr">
        <is>
          <t>14%</t>
        </is>
      </c>
      <c r="X1869" t="inlineStr">
        <is>
          <t>46 : 54</t>
        </is>
      </c>
      <c r="Y1869" t="n">
        <v>527</v>
      </c>
      <c r="Z1869" t="n">
        <v>351</v>
      </c>
      <c r="AA1869" t="n">
        <v>50.05</v>
      </c>
      <c r="AB1869" t="inlineStr">
        <is>
          <t>U1868</t>
        </is>
      </c>
      <c r="AC1869" t="inlineStr">
        <is>
          <t>GE</t>
        </is>
      </c>
      <c r="AD1869" t="n">
        <v>23.2</v>
      </c>
      <c r="AE1869" t="n">
        <v>25.8</v>
      </c>
      <c r="AF1869" t="n">
        <v>24.5</v>
      </c>
      <c r="AG1869" t="inlineStr">
        <is>
          <t>1:24.5</t>
        </is>
      </c>
      <c r="AH1869" t="inlineStr">
        <is>
          <t>14%</t>
        </is>
      </c>
      <c r="AI1869" t="n">
        <v>10.2</v>
      </c>
      <c r="AJ1869" t="n">
        <v>38.97</v>
      </c>
    </row>
    <row r="1870">
      <c r="A1870" t="inlineStr">
        <is>
          <t>University of Bedfordshire</t>
        </is>
      </c>
      <c r="B1870" t="inlineStr">
        <is>
          <t>United Kingdom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>
        <is>
          <t>1001–1200</t>
        </is>
      </c>
      <c r="O1870" t="inlineStr">
        <is>
          <t>28.3–32.6</t>
        </is>
      </c>
      <c r="P1870" t="n">
        <v>17.5</v>
      </c>
      <c r="Q1870" t="n">
        <v>14.3</v>
      </c>
      <c r="R1870" t="n">
        <v>52.4</v>
      </c>
      <c r="S1870" t="n">
        <v>25.6</v>
      </c>
      <c r="T1870" t="n">
        <v>83.90000000000001</v>
      </c>
      <c r="U1870" t="inlineStr">
        <is>
          <t>13,545</t>
        </is>
      </c>
      <c r="V1870" t="n">
        <v>29.1</v>
      </c>
      <c r="W1870" t="inlineStr">
        <is>
          <t>64%</t>
        </is>
      </c>
      <c r="X1870" t="inlineStr">
        <is>
          <t>59 : 41</t>
        </is>
      </c>
      <c r="Y1870" t="inlineStr"/>
      <c r="Z1870" t="n">
        <v>1001</v>
      </c>
      <c r="AA1870" t="n">
        <v>30.45</v>
      </c>
      <c r="AB1870" t="inlineStr">
        <is>
          <t>U1869</t>
        </is>
      </c>
      <c r="AC1870" t="inlineStr">
        <is>
          <t>UN</t>
        </is>
      </c>
      <c r="AD1870" t="n">
        <v>30.45</v>
      </c>
      <c r="AE1870" t="n">
        <v>52.4</v>
      </c>
      <c r="AF1870" t="n">
        <v>29.1</v>
      </c>
      <c r="AG1870" t="inlineStr">
        <is>
          <t>1:29.1</t>
        </is>
      </c>
      <c r="AH1870" t="inlineStr">
        <is>
          <t>64%</t>
        </is>
      </c>
      <c r="AI1870" t="inlineStr"/>
      <c r="AJ1870" t="n">
        <v>37.06</v>
      </c>
    </row>
    <row r="1871">
      <c r="A1871" t="inlineStr">
        <is>
          <t>University of Beira Interior</t>
        </is>
      </c>
      <c r="B1871" t="inlineStr">
        <is>
          <t>Portugal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>
        <is>
          <t>601–800</t>
        </is>
      </c>
      <c r="O1871" t="inlineStr">
        <is>
          <t>37.0–41.8</t>
        </is>
      </c>
      <c r="P1871" t="n">
        <v>20.1</v>
      </c>
      <c r="Q1871" t="n">
        <v>22.2</v>
      </c>
      <c r="R1871" t="n">
        <v>65.40000000000001</v>
      </c>
      <c r="S1871" t="n">
        <v>36.7</v>
      </c>
      <c r="T1871" t="n">
        <v>52.3</v>
      </c>
      <c r="U1871" t="inlineStr">
        <is>
          <t>8,248</t>
        </is>
      </c>
      <c r="V1871" t="n">
        <v>17.4</v>
      </c>
      <c r="W1871" t="inlineStr">
        <is>
          <t>18%</t>
        </is>
      </c>
      <c r="X1871" t="inlineStr">
        <is>
          <t>52 : 48</t>
        </is>
      </c>
      <c r="Y1871" t="inlineStr"/>
      <c r="Z1871" t="n">
        <v>601</v>
      </c>
      <c r="AA1871" t="n">
        <v>39.4</v>
      </c>
      <c r="AB1871" t="inlineStr">
        <is>
          <t>U1870</t>
        </is>
      </c>
      <c r="AC1871" t="inlineStr">
        <is>
          <t>PO</t>
        </is>
      </c>
      <c r="AD1871" t="n">
        <v>39.4</v>
      </c>
      <c r="AE1871" t="n">
        <v>65.40000000000001</v>
      </c>
      <c r="AF1871" t="n">
        <v>17.4</v>
      </c>
      <c r="AG1871" t="inlineStr">
        <is>
          <t>1:17.4</t>
        </is>
      </c>
      <c r="AH1871" t="inlineStr">
        <is>
          <t>18%</t>
        </is>
      </c>
      <c r="AI1871" t="inlineStr"/>
      <c r="AJ1871" t="n">
        <v>37.49</v>
      </c>
    </row>
    <row r="1872">
      <c r="A1872" t="inlineStr">
        <is>
          <t>University of Belgrade</t>
        </is>
      </c>
      <c r="B1872" t="inlineStr">
        <is>
          <t>Serbia</t>
        </is>
      </c>
      <c r="C1872" t="inlineStr">
        <is>
          <t>731-740</t>
        </is>
      </c>
      <c r="D1872" t="inlineStr"/>
      <c r="E1872" t="n">
        <v>17.6</v>
      </c>
      <c r="F1872" t="n">
        <v>8.4</v>
      </c>
      <c r="G1872" t="n">
        <v>4.6</v>
      </c>
      <c r="H1872" t="n">
        <v>5.3</v>
      </c>
      <c r="I1872" t="n">
        <v>2.8</v>
      </c>
      <c r="J1872" t="n">
        <v>4</v>
      </c>
      <c r="K1872" t="n">
        <v>95.2</v>
      </c>
      <c r="L1872" t="n">
        <v>96.40000000000001</v>
      </c>
      <c r="M1872" t="n">
        <v>3.7</v>
      </c>
      <c r="N1872" t="inlineStr">
        <is>
          <t>801–1000</t>
        </is>
      </c>
      <c r="O1872" t="inlineStr">
        <is>
          <t>32.7–36.9</t>
        </is>
      </c>
      <c r="P1872" t="n">
        <v>21.3</v>
      </c>
      <c r="Q1872" t="n">
        <v>27</v>
      </c>
      <c r="R1872" t="n">
        <v>49.4</v>
      </c>
      <c r="S1872" t="n">
        <v>34</v>
      </c>
      <c r="T1872" t="n">
        <v>42.3</v>
      </c>
      <c r="U1872" t="inlineStr">
        <is>
          <t>91,494</t>
        </is>
      </c>
      <c r="V1872" t="n">
        <v>18.2</v>
      </c>
      <c r="W1872" t="inlineStr">
        <is>
          <t>5%</t>
        </is>
      </c>
      <c r="X1872" t="inlineStr">
        <is>
          <t>62 : 38</t>
        </is>
      </c>
      <c r="Y1872" t="n">
        <v>731</v>
      </c>
      <c r="Z1872" t="n">
        <v>801</v>
      </c>
      <c r="AA1872" t="n">
        <v>34.8</v>
      </c>
      <c r="AB1872" t="inlineStr">
        <is>
          <t>U1871</t>
        </is>
      </c>
      <c r="AC1872" t="inlineStr">
        <is>
          <t>SE</t>
        </is>
      </c>
      <c r="AD1872" t="n">
        <v>34.8</v>
      </c>
      <c r="AE1872" t="n">
        <v>5.3</v>
      </c>
      <c r="AF1872" t="n">
        <v>18.2</v>
      </c>
      <c r="AG1872" t="inlineStr">
        <is>
          <t>1:18.2</t>
        </is>
      </c>
      <c r="AH1872" t="inlineStr">
        <is>
          <t>5%</t>
        </is>
      </c>
      <c r="AI1872" t="n">
        <v>17.6</v>
      </c>
      <c r="AJ1872" t="n">
        <v>19.38</v>
      </c>
    </row>
    <row r="1873">
      <c r="A1873" t="inlineStr">
        <is>
          <t>University of Benin</t>
        </is>
      </c>
      <c r="B1873" t="inlineStr">
        <is>
          <t>Nigeria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>
        <is>
          <t>1501+</t>
        </is>
      </c>
      <c r="O1873" t="inlineStr">
        <is>
          <t>9.7–22.7</t>
        </is>
      </c>
      <c r="P1873" t="n">
        <v>15.5</v>
      </c>
      <c r="Q1873" t="n">
        <v>5.7</v>
      </c>
      <c r="R1873" t="n">
        <v>35</v>
      </c>
      <c r="S1873" t="n">
        <v>16.4</v>
      </c>
      <c r="T1873" t="n">
        <v>34.7</v>
      </c>
      <c r="U1873" t="inlineStr">
        <is>
          <t>47,837</t>
        </is>
      </c>
      <c r="V1873" t="n">
        <v>25.8</v>
      </c>
      <c r="W1873" t="inlineStr">
        <is>
          <t>0%</t>
        </is>
      </c>
      <c r="X1873" t="inlineStr">
        <is>
          <t>49 : 51</t>
        </is>
      </c>
      <c r="Y1873" t="inlineStr"/>
      <c r="Z1873" t="n">
        <v>1501</v>
      </c>
      <c r="AA1873" t="n">
        <v>16.2</v>
      </c>
      <c r="AB1873" t="inlineStr">
        <is>
          <t>U1872</t>
        </is>
      </c>
      <c r="AC1873" t="inlineStr">
        <is>
          <t>NI</t>
        </is>
      </c>
      <c r="AD1873" t="n">
        <v>16.2</v>
      </c>
      <c r="AE1873" t="n">
        <v>35</v>
      </c>
      <c r="AF1873" t="n">
        <v>25.8</v>
      </c>
      <c r="AG1873" t="inlineStr">
        <is>
          <t>1:25.8</t>
        </is>
      </c>
      <c r="AH1873" t="inlineStr">
        <is>
          <t>0%</t>
        </is>
      </c>
      <c r="AI1873" t="inlineStr"/>
      <c r="AJ1873" t="n">
        <v>15.38</v>
      </c>
    </row>
    <row r="1874">
      <c r="A1874" t="inlineStr">
        <is>
          <t>University of Bergamo</t>
        </is>
      </c>
      <c r="B1874" t="inlineStr">
        <is>
          <t>Italy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>
        <is>
          <t>801–1000</t>
        </is>
      </c>
      <c r="O1874" t="inlineStr">
        <is>
          <t>32.7–36.9</t>
        </is>
      </c>
      <c r="P1874" t="n">
        <v>19.4</v>
      </c>
      <c r="Q1874" t="n">
        <v>21.2</v>
      </c>
      <c r="R1874" t="n">
        <v>59.6</v>
      </c>
      <c r="S1874" t="n">
        <v>33.3</v>
      </c>
      <c r="T1874" t="n">
        <v>37.5</v>
      </c>
      <c r="U1874" t="inlineStr">
        <is>
          <t>21,846</t>
        </is>
      </c>
      <c r="V1874" t="n">
        <v>54.8</v>
      </c>
      <c r="W1874" t="inlineStr">
        <is>
          <t>7%</t>
        </is>
      </c>
      <c r="X1874" t="inlineStr">
        <is>
          <t>63 : 37</t>
        </is>
      </c>
      <c r="Y1874" t="inlineStr"/>
      <c r="Z1874" t="n">
        <v>801</v>
      </c>
      <c r="AA1874" t="n">
        <v>34.8</v>
      </c>
      <c r="AB1874" t="inlineStr">
        <is>
          <t>U1873</t>
        </is>
      </c>
      <c r="AC1874" t="inlineStr">
        <is>
          <t>IT</t>
        </is>
      </c>
      <c r="AD1874" t="n">
        <v>34.8</v>
      </c>
      <c r="AE1874" t="n">
        <v>59.6</v>
      </c>
      <c r="AF1874" t="n">
        <v>54.8</v>
      </c>
      <c r="AG1874" t="inlineStr">
        <is>
          <t>1:54.8</t>
        </is>
      </c>
      <c r="AH1874" t="inlineStr">
        <is>
          <t>7%</t>
        </is>
      </c>
      <c r="AI1874" t="inlineStr"/>
      <c r="AJ1874" t="n">
        <v>31.63</v>
      </c>
    </row>
    <row r="1875">
      <c r="A1875" t="inlineStr">
        <is>
          <t>University of Bergen</t>
        </is>
      </c>
      <c r="B1875" t="inlineStr">
        <is>
          <t>Norway</t>
        </is>
      </c>
      <c r="C1875" t="inlineStr">
        <is>
          <t>291</t>
        </is>
      </c>
      <c r="D1875" t="n">
        <v>37.1</v>
      </c>
      <c r="E1875" t="n">
        <v>31.6</v>
      </c>
      <c r="F1875" t="n">
        <v>8.300000000000001</v>
      </c>
      <c r="G1875" t="n">
        <v>64.90000000000001</v>
      </c>
      <c r="H1875" t="n">
        <v>28.3</v>
      </c>
      <c r="I1875" t="n">
        <v>93.3</v>
      </c>
      <c r="J1875" t="n">
        <v>16.9</v>
      </c>
      <c r="K1875" t="n">
        <v>90.7</v>
      </c>
      <c r="L1875" t="n">
        <v>63.9</v>
      </c>
      <c r="M1875" t="n">
        <v>33.6</v>
      </c>
      <c r="N1875" t="inlineStr">
        <is>
          <t>251–300</t>
        </is>
      </c>
      <c r="O1875" t="inlineStr">
        <is>
          <t>53.1–55.8</t>
        </is>
      </c>
      <c r="P1875" t="n">
        <v>36.7</v>
      </c>
      <c r="Q1875" t="n">
        <v>33.9</v>
      </c>
      <c r="R1875" t="n">
        <v>84.2</v>
      </c>
      <c r="S1875" t="n">
        <v>69.40000000000001</v>
      </c>
      <c r="T1875" t="n">
        <v>76.3</v>
      </c>
      <c r="U1875" t="inlineStr">
        <is>
          <t>15,751</t>
        </is>
      </c>
      <c r="V1875" t="n">
        <v>13</v>
      </c>
      <c r="W1875" t="inlineStr">
        <is>
          <t>11%</t>
        </is>
      </c>
      <c r="X1875" t="inlineStr">
        <is>
          <t>61 : 39</t>
        </is>
      </c>
      <c r="Y1875" t="n">
        <v>291</v>
      </c>
      <c r="Z1875" t="n">
        <v>251</v>
      </c>
      <c r="AA1875" t="n">
        <v>54.45</v>
      </c>
      <c r="AB1875" t="inlineStr">
        <is>
          <t>U1874</t>
        </is>
      </c>
      <c r="AC1875" t="inlineStr">
        <is>
          <t>NO</t>
        </is>
      </c>
      <c r="AD1875" t="n">
        <v>37.1</v>
      </c>
      <c r="AE1875" t="n">
        <v>28.3</v>
      </c>
      <c r="AF1875" t="n">
        <v>13</v>
      </c>
      <c r="AG1875" t="inlineStr">
        <is>
          <t>1:13.0</t>
        </is>
      </c>
      <c r="AH1875" t="inlineStr">
        <is>
          <t>11%</t>
        </is>
      </c>
      <c r="AI1875" t="n">
        <v>31.6</v>
      </c>
      <c r="AJ1875" t="n">
        <v>38.19</v>
      </c>
    </row>
    <row r="1876">
      <c r="A1876" t="inlineStr">
        <is>
          <t>University of Bern</t>
        </is>
      </c>
      <c r="B1876" t="inlineStr">
        <is>
          <t>Switzerland</t>
        </is>
      </c>
      <c r="C1876" t="inlineStr">
        <is>
          <t>161</t>
        </is>
      </c>
      <c r="D1876" t="n">
        <v>51.2</v>
      </c>
      <c r="E1876" t="n">
        <v>29.7</v>
      </c>
      <c r="F1876" t="n">
        <v>16.1</v>
      </c>
      <c r="G1876" t="n">
        <v>45.9</v>
      </c>
      <c r="H1876" t="n">
        <v>99.3</v>
      </c>
      <c r="I1876" t="n">
        <v>100</v>
      </c>
      <c r="J1876" t="n">
        <v>38</v>
      </c>
      <c r="K1876" t="n">
        <v>93.8</v>
      </c>
      <c r="L1876" t="n">
        <v>30.7</v>
      </c>
      <c r="M1876" t="n">
        <v>52.1</v>
      </c>
      <c r="N1876">
        <f>116</f>
        <v/>
      </c>
      <c r="O1876" t="inlineStr">
        <is>
          <t>65.4</t>
        </is>
      </c>
      <c r="P1876" t="n">
        <v>45.1</v>
      </c>
      <c r="Q1876" t="n">
        <v>47</v>
      </c>
      <c r="R1876" t="n">
        <v>93.3</v>
      </c>
      <c r="S1876" t="n">
        <v>99.2</v>
      </c>
      <c r="T1876" t="n">
        <v>87</v>
      </c>
      <c r="U1876" t="inlineStr">
        <is>
          <t>12,399</t>
        </is>
      </c>
      <c r="V1876" t="n">
        <v>18.2</v>
      </c>
      <c r="W1876" t="inlineStr">
        <is>
          <t>16%</t>
        </is>
      </c>
      <c r="X1876" t="inlineStr">
        <is>
          <t>59 : 41</t>
        </is>
      </c>
      <c r="Y1876" t="n">
        <v>161</v>
      </c>
      <c r="Z1876" t="n">
        <v>116</v>
      </c>
      <c r="AA1876" t="n">
        <v>65.40000000000001</v>
      </c>
      <c r="AB1876" t="inlineStr">
        <is>
          <t>U1875</t>
        </is>
      </c>
      <c r="AC1876" t="inlineStr">
        <is>
          <t>SW</t>
        </is>
      </c>
      <c r="AD1876" t="n">
        <v>51.2</v>
      </c>
      <c r="AE1876" t="n">
        <v>99.3</v>
      </c>
      <c r="AF1876" t="n">
        <v>18.2</v>
      </c>
      <c r="AG1876" t="inlineStr">
        <is>
          <t>1:18.2</t>
        </is>
      </c>
      <c r="AH1876" t="inlineStr">
        <is>
          <t>16%</t>
        </is>
      </c>
      <c r="AI1876" t="n">
        <v>29.7</v>
      </c>
      <c r="AJ1876" t="n">
        <v>69.16</v>
      </c>
    </row>
    <row r="1877">
      <c r="A1877" t="inlineStr">
        <is>
          <t>University of Bialystok</t>
        </is>
      </c>
      <c r="B1877" t="inlineStr">
        <is>
          <t>Poland</t>
        </is>
      </c>
      <c r="C1877" t="inlineStr">
        <is>
          <t>1201-1400</t>
        </is>
      </c>
      <c r="D1877" t="inlineStr"/>
      <c r="E1877" t="n">
        <v>5.4</v>
      </c>
      <c r="F1877" t="n">
        <v>2.7</v>
      </c>
      <c r="G1877" t="n">
        <v>24</v>
      </c>
      <c r="H1877" t="n">
        <v>2.6</v>
      </c>
      <c r="I1877" t="inlineStr"/>
      <c r="J1877" t="n">
        <v>4.7</v>
      </c>
      <c r="K1877" t="n">
        <v>28.6</v>
      </c>
      <c r="L1877" t="n">
        <v>3.1</v>
      </c>
      <c r="M1877" t="n">
        <v>1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n">
        <v>1201</v>
      </c>
      <c r="Z1877" t="inlineStr"/>
      <c r="AA1877" t="inlineStr"/>
      <c r="AB1877" t="inlineStr">
        <is>
          <t>U1876</t>
        </is>
      </c>
      <c r="AC1877" t="inlineStr">
        <is>
          <t>PO</t>
        </is>
      </c>
      <c r="AD1877" t="inlineStr"/>
      <c r="AE1877" t="n">
        <v>2.6</v>
      </c>
      <c r="AF1877" t="inlineStr"/>
      <c r="AG1877" t="inlineStr"/>
      <c r="AH1877" t="inlineStr"/>
      <c r="AI1877" t="n">
        <v>5.4</v>
      </c>
      <c r="AJ1877" t="n">
        <v>14.18</v>
      </c>
    </row>
    <row r="1878">
      <c r="A1878" t="inlineStr">
        <is>
          <t>University of Birjand</t>
        </is>
      </c>
      <c r="B1878" t="inlineStr">
        <is>
          <t>Iran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>
        <is>
          <t>1501+</t>
        </is>
      </c>
      <c r="O1878" t="inlineStr">
        <is>
          <t>9.7–22.7</t>
        </is>
      </c>
      <c r="P1878" t="n">
        <v>11.1</v>
      </c>
      <c r="Q1878" t="n">
        <v>9.5</v>
      </c>
      <c r="R1878" t="n">
        <v>26.7</v>
      </c>
      <c r="S1878" t="n">
        <v>16.8</v>
      </c>
      <c r="T1878" t="n">
        <v>26.2</v>
      </c>
      <c r="U1878" t="inlineStr">
        <is>
          <t>12,245</t>
        </is>
      </c>
      <c r="V1878" t="n">
        <v>36.9</v>
      </c>
      <c r="W1878" t="inlineStr">
        <is>
          <t>4%</t>
        </is>
      </c>
      <c r="X1878" t="inlineStr">
        <is>
          <t>53 : 47</t>
        </is>
      </c>
      <c r="Y1878" t="inlineStr"/>
      <c r="Z1878" t="n">
        <v>1501</v>
      </c>
      <c r="AA1878" t="n">
        <v>16.2</v>
      </c>
      <c r="AB1878" t="inlineStr">
        <is>
          <t>U1877</t>
        </is>
      </c>
      <c r="AC1878" t="inlineStr">
        <is>
          <t>IR</t>
        </is>
      </c>
      <c r="AD1878" t="n">
        <v>16.2</v>
      </c>
      <c r="AE1878" t="n">
        <v>26.7</v>
      </c>
      <c r="AF1878" t="n">
        <v>36.9</v>
      </c>
      <c r="AG1878" t="inlineStr">
        <is>
          <t>1:36.9</t>
        </is>
      </c>
      <c r="AH1878" t="inlineStr">
        <is>
          <t>4%</t>
        </is>
      </c>
      <c r="AI1878" t="inlineStr"/>
      <c r="AJ1878" t="n">
        <v>12.8</v>
      </c>
    </row>
    <row r="1879">
      <c r="A1879" t="inlineStr">
        <is>
          <t>University of Birmingham</t>
        </is>
      </c>
      <c r="B1879" t="inlineStr">
        <is>
          <t>United Kingdom</t>
        </is>
      </c>
      <c r="C1879" t="inlineStr">
        <is>
          <t>80</t>
        </is>
      </c>
      <c r="D1879" t="n">
        <v>64.09999999999999</v>
      </c>
      <c r="E1879" t="n">
        <v>68.90000000000001</v>
      </c>
      <c r="F1879" t="n">
        <v>69</v>
      </c>
      <c r="G1879" t="n">
        <v>39</v>
      </c>
      <c r="H1879" t="n">
        <v>40.5</v>
      </c>
      <c r="I1879" t="n">
        <v>92.59999999999999</v>
      </c>
      <c r="J1879" t="n">
        <v>89.3</v>
      </c>
      <c r="K1879" t="n">
        <v>97.5</v>
      </c>
      <c r="L1879" t="n">
        <v>44.5</v>
      </c>
      <c r="M1879" t="n">
        <v>96.8</v>
      </c>
      <c r="N1879" t="inlineStr">
        <is>
          <t>101</t>
        </is>
      </c>
      <c r="O1879" t="inlineStr">
        <is>
          <t>66.6</t>
        </is>
      </c>
      <c r="P1879" t="n">
        <v>46.1</v>
      </c>
      <c r="Q1879" t="n">
        <v>49.3</v>
      </c>
      <c r="R1879" t="n">
        <v>95.5</v>
      </c>
      <c r="S1879" t="n">
        <v>72.09999999999999</v>
      </c>
      <c r="T1879" t="n">
        <v>95.09999999999999</v>
      </c>
      <c r="U1879" t="inlineStr">
        <is>
          <t>32,625</t>
        </is>
      </c>
      <c r="V1879" t="n">
        <v>15.2</v>
      </c>
      <c r="W1879" t="inlineStr">
        <is>
          <t>32%</t>
        </is>
      </c>
      <c r="X1879" t="inlineStr">
        <is>
          <t>58 : 42</t>
        </is>
      </c>
      <c r="Y1879" t="n">
        <v>80</v>
      </c>
      <c r="Z1879" t="n">
        <v>101</v>
      </c>
      <c r="AA1879" t="n">
        <v>66.59999999999999</v>
      </c>
      <c r="AB1879" t="inlineStr">
        <is>
          <t>U1878</t>
        </is>
      </c>
      <c r="AC1879" t="inlineStr">
        <is>
          <t>UN</t>
        </is>
      </c>
      <c r="AD1879" t="n">
        <v>64.09999999999999</v>
      </c>
      <c r="AE1879" t="n">
        <v>40.5</v>
      </c>
      <c r="AF1879" t="n">
        <v>15.2</v>
      </c>
      <c r="AG1879" t="inlineStr">
        <is>
          <t>1:15.2</t>
        </is>
      </c>
      <c r="AH1879" t="inlineStr">
        <is>
          <t>32%</t>
        </is>
      </c>
      <c r="AI1879" t="n">
        <v>68.90000000000001</v>
      </c>
      <c r="AJ1879" t="n">
        <v>54.5</v>
      </c>
    </row>
    <row r="1880">
      <c r="A1880" t="inlineStr">
        <is>
          <t>University of Biskra</t>
        </is>
      </c>
      <c r="B1880" t="inlineStr">
        <is>
          <t>Algeria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>
        <is>
          <t>1501+</t>
        </is>
      </c>
      <c r="O1880" t="inlineStr">
        <is>
          <t>9.7–22.7</t>
        </is>
      </c>
      <c r="P1880" t="n">
        <v>16.3</v>
      </c>
      <c r="Q1880" t="n">
        <v>8.6</v>
      </c>
      <c r="R1880" t="n">
        <v>19.3</v>
      </c>
      <c r="S1880" t="n">
        <v>15.9</v>
      </c>
      <c r="T1880" t="n">
        <v>38.1</v>
      </c>
      <c r="U1880" t="inlineStr">
        <is>
          <t>30,508</t>
        </is>
      </c>
      <c r="V1880" t="n">
        <v>21.5</v>
      </c>
      <c r="W1880" t="inlineStr">
        <is>
          <t>0%</t>
        </is>
      </c>
      <c r="X1880" t="inlineStr">
        <is>
          <t>64 : 36</t>
        </is>
      </c>
      <c r="Y1880" t="inlineStr"/>
      <c r="Z1880" t="n">
        <v>1501</v>
      </c>
      <c r="AA1880" t="n">
        <v>16.2</v>
      </c>
      <c r="AB1880" t="inlineStr">
        <is>
          <t>U1879</t>
        </is>
      </c>
      <c r="AC1880" t="inlineStr">
        <is>
          <t>AL</t>
        </is>
      </c>
      <c r="AD1880" t="n">
        <v>16.2</v>
      </c>
      <c r="AE1880" t="n">
        <v>19.3</v>
      </c>
      <c r="AF1880" t="n">
        <v>21.5</v>
      </c>
      <c r="AG1880" t="inlineStr">
        <is>
          <t>1:21.5</t>
        </is>
      </c>
      <c r="AH1880" t="inlineStr">
        <is>
          <t>0%</t>
        </is>
      </c>
      <c r="AI1880" t="inlineStr"/>
      <c r="AJ1880" t="n">
        <v>12.96</v>
      </c>
    </row>
    <row r="1881">
      <c r="A1881" t="inlineStr">
        <is>
          <t>University of Bologna</t>
        </is>
      </c>
      <c r="B1881" t="inlineStr">
        <is>
          <t>Italy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>
        <f>155</f>
        <v/>
      </c>
      <c r="O1881" t="inlineStr">
        <is>
          <t>61.8</t>
        </is>
      </c>
      <c r="P1881" t="n">
        <v>53</v>
      </c>
      <c r="Q1881" t="n">
        <v>44.6</v>
      </c>
      <c r="R1881" t="n">
        <v>86.5</v>
      </c>
      <c r="S1881" t="n">
        <v>79.40000000000001</v>
      </c>
      <c r="T1881" t="n">
        <v>54.3</v>
      </c>
      <c r="U1881" t="inlineStr">
        <is>
          <t>74,105</t>
        </is>
      </c>
      <c r="V1881" t="n">
        <v>24.7</v>
      </c>
      <c r="W1881" t="inlineStr">
        <is>
          <t>11%</t>
        </is>
      </c>
      <c r="X1881" t="inlineStr">
        <is>
          <t>57 : 43</t>
        </is>
      </c>
      <c r="Y1881" t="inlineStr"/>
      <c r="Z1881" t="n">
        <v>155</v>
      </c>
      <c r="AA1881" t="n">
        <v>61.8</v>
      </c>
      <c r="AB1881" t="inlineStr">
        <is>
          <t>U1880</t>
        </is>
      </c>
      <c r="AC1881" t="inlineStr">
        <is>
          <t>IT</t>
        </is>
      </c>
      <c r="AD1881" t="n">
        <v>61.8</v>
      </c>
      <c r="AE1881" t="n">
        <v>86.5</v>
      </c>
      <c r="AF1881" t="n">
        <v>24.7</v>
      </c>
      <c r="AG1881" t="inlineStr">
        <is>
          <t>1:24.7</t>
        </is>
      </c>
      <c r="AH1881" t="inlineStr">
        <is>
          <t>11%</t>
        </is>
      </c>
      <c r="AI1881" t="inlineStr"/>
      <c r="AJ1881" t="n">
        <v>56.11</v>
      </c>
    </row>
    <row r="1882">
      <c r="A1882" t="inlineStr">
        <is>
          <t>University of Bonn</t>
        </is>
      </c>
      <c r="B1882" t="inlineStr">
        <is>
          <t>Germany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>
        <is>
          <t>91</t>
        </is>
      </c>
      <c r="O1882" t="inlineStr">
        <is>
          <t>67.8</t>
        </is>
      </c>
      <c r="P1882" t="n">
        <v>51.7</v>
      </c>
      <c r="Q1882" t="n">
        <v>57.7</v>
      </c>
      <c r="R1882" t="n">
        <v>89.7</v>
      </c>
      <c r="S1882" t="n">
        <v>82.59999999999999</v>
      </c>
      <c r="T1882" t="n">
        <v>73.8</v>
      </c>
      <c r="U1882" t="inlineStr">
        <is>
          <t>26,290</t>
        </is>
      </c>
      <c r="V1882" t="n">
        <v>44.5</v>
      </c>
      <c r="W1882" t="inlineStr">
        <is>
          <t>17%</t>
        </is>
      </c>
      <c r="X1882" t="inlineStr">
        <is>
          <t>57 : 43</t>
        </is>
      </c>
      <c r="Y1882" t="inlineStr"/>
      <c r="Z1882" t="n">
        <v>91</v>
      </c>
      <c r="AA1882" t="n">
        <v>67.8</v>
      </c>
      <c r="AB1882" t="inlineStr">
        <is>
          <t>U1881</t>
        </is>
      </c>
      <c r="AC1882" t="inlineStr">
        <is>
          <t>GE</t>
        </is>
      </c>
      <c r="AD1882" t="n">
        <v>67.8</v>
      </c>
      <c r="AE1882" t="n">
        <v>89.7</v>
      </c>
      <c r="AF1882" t="n">
        <v>44.5</v>
      </c>
      <c r="AG1882" t="inlineStr">
        <is>
          <t>1:44.5</t>
        </is>
      </c>
      <c r="AH1882" t="inlineStr">
        <is>
          <t>17%</t>
        </is>
      </c>
      <c r="AI1882" t="inlineStr"/>
      <c r="AJ1882" t="n">
        <v>68.66</v>
      </c>
    </row>
    <row r="1883">
      <c r="A1883" t="inlineStr">
        <is>
          <t>University of Bordeaux</t>
        </is>
      </c>
      <c r="B1883" t="inlineStr">
        <is>
          <t>France</t>
        </is>
      </c>
      <c r="C1883" t="inlineStr">
        <is>
          <t>535</t>
        </is>
      </c>
      <c r="D1883" t="n">
        <v>22.9</v>
      </c>
      <c r="E1883" t="n">
        <v>31.3</v>
      </c>
      <c r="F1883" t="n">
        <v>5.5</v>
      </c>
      <c r="G1883" t="n">
        <v>11.5</v>
      </c>
      <c r="H1883" t="n">
        <v>17.6</v>
      </c>
      <c r="I1883" t="n">
        <v>27.1</v>
      </c>
      <c r="J1883" t="n">
        <v>23.3</v>
      </c>
      <c r="K1883" t="n">
        <v>92.90000000000001</v>
      </c>
      <c r="L1883" t="n">
        <v>16.7</v>
      </c>
      <c r="M1883" t="n">
        <v>20.1</v>
      </c>
      <c r="N1883" t="inlineStr">
        <is>
          <t>351–400</t>
        </is>
      </c>
      <c r="O1883" t="inlineStr">
        <is>
          <t>49.1–51.0</t>
        </is>
      </c>
      <c r="P1883" t="n">
        <v>37.2</v>
      </c>
      <c r="Q1883" t="n">
        <v>29.9</v>
      </c>
      <c r="R1883" t="n">
        <v>72.5</v>
      </c>
      <c r="S1883" t="n">
        <v>66.7</v>
      </c>
      <c r="T1883" t="n">
        <v>66.59999999999999</v>
      </c>
      <c r="U1883" t="inlineStr">
        <is>
          <t>52,643</t>
        </is>
      </c>
      <c r="V1883" t="n">
        <v>21.7</v>
      </c>
      <c r="W1883" t="inlineStr">
        <is>
          <t>14%</t>
        </is>
      </c>
      <c r="X1883" t="inlineStr">
        <is>
          <t>60 : 40</t>
        </is>
      </c>
      <c r="Y1883" t="n">
        <v>535</v>
      </c>
      <c r="Z1883" t="n">
        <v>351</v>
      </c>
      <c r="AA1883" t="n">
        <v>50.05</v>
      </c>
      <c r="AB1883" t="inlineStr">
        <is>
          <t>U1882</t>
        </is>
      </c>
      <c r="AC1883" t="inlineStr">
        <is>
          <t>FR</t>
        </is>
      </c>
      <c r="AD1883" t="n">
        <v>22.9</v>
      </c>
      <c r="AE1883" t="n">
        <v>17.6</v>
      </c>
      <c r="AF1883" t="n">
        <v>21.7</v>
      </c>
      <c r="AG1883" t="inlineStr">
        <is>
          <t>1:21.7</t>
        </is>
      </c>
      <c r="AH1883" t="inlineStr">
        <is>
          <t>14%</t>
        </is>
      </c>
      <c r="AI1883" t="n">
        <v>31.3</v>
      </c>
      <c r="AJ1883" t="n">
        <v>30.5</v>
      </c>
    </row>
    <row r="1884">
      <c r="A1884" t="inlineStr">
        <is>
          <t>University of Botswana</t>
        </is>
      </c>
      <c r="B1884" t="inlineStr">
        <is>
          <t>Botswana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>
        <is>
          <t>1201–1500</t>
        </is>
      </c>
      <c r="O1884" t="inlineStr">
        <is>
          <t>22.8–28.2</t>
        </is>
      </c>
      <c r="P1884" t="n">
        <v>16.8</v>
      </c>
      <c r="Q1884" t="n">
        <v>14.2</v>
      </c>
      <c r="R1884" t="n">
        <v>46.5</v>
      </c>
      <c r="S1884" t="n">
        <v>19.9</v>
      </c>
      <c r="T1884" t="n">
        <v>58.4</v>
      </c>
      <c r="U1884" t="inlineStr">
        <is>
          <t>15,370</t>
        </is>
      </c>
      <c r="V1884" t="n">
        <v>21.8</v>
      </c>
      <c r="W1884" t="inlineStr">
        <is>
          <t>4%</t>
        </is>
      </c>
      <c r="X1884" t="inlineStr">
        <is>
          <t>59 : 41</t>
        </is>
      </c>
      <c r="Y1884" t="inlineStr"/>
      <c r="Z1884" t="n">
        <v>1201</v>
      </c>
      <c r="AA1884" t="n">
        <v>25.5</v>
      </c>
      <c r="AB1884" t="inlineStr">
        <is>
          <t>U1883</t>
        </is>
      </c>
      <c r="AC1884" t="inlineStr">
        <is>
          <t>BO</t>
        </is>
      </c>
      <c r="AD1884" t="n">
        <v>25.5</v>
      </c>
      <c r="AE1884" t="n">
        <v>46.5</v>
      </c>
      <c r="AF1884" t="n">
        <v>21.8</v>
      </c>
      <c r="AG1884" t="inlineStr">
        <is>
          <t>1:21.8</t>
        </is>
      </c>
      <c r="AH1884" t="inlineStr">
        <is>
          <t>4%</t>
        </is>
      </c>
      <c r="AI1884" t="inlineStr"/>
      <c r="AJ1884" t="n">
        <v>29.05</v>
      </c>
    </row>
    <row r="1885">
      <c r="A1885" t="inlineStr">
        <is>
          <t>University of Bradford</t>
        </is>
      </c>
      <c r="B1885" t="inlineStr">
        <is>
          <t>United Kingdom</t>
        </is>
      </c>
      <c r="C1885" t="inlineStr">
        <is>
          <t>531</t>
        </is>
      </c>
      <c r="D1885" t="n">
        <v>23.1</v>
      </c>
      <c r="E1885" t="n">
        <v>9.1</v>
      </c>
      <c r="F1885" t="n">
        <v>7.1</v>
      </c>
      <c r="G1885" t="n">
        <v>6.8</v>
      </c>
      <c r="H1885" t="n">
        <v>21.7</v>
      </c>
      <c r="I1885" t="n">
        <v>68.5</v>
      </c>
      <c r="J1885" t="n">
        <v>97.59999999999999</v>
      </c>
      <c r="K1885" t="n">
        <v>66</v>
      </c>
      <c r="L1885" t="n">
        <v>34.3</v>
      </c>
      <c r="M1885" t="n">
        <v>40.7</v>
      </c>
      <c r="N1885" t="inlineStr">
        <is>
          <t>501–600</t>
        </is>
      </c>
      <c r="O1885" t="inlineStr">
        <is>
          <t>41.9–45.3</t>
        </is>
      </c>
      <c r="P1885" t="n">
        <v>23.3</v>
      </c>
      <c r="Q1885" t="n">
        <v>22.4</v>
      </c>
      <c r="R1885" t="n">
        <v>73.8</v>
      </c>
      <c r="S1885" t="n">
        <v>58.1</v>
      </c>
      <c r="T1885" t="n">
        <v>90.09999999999999</v>
      </c>
      <c r="U1885" t="inlineStr">
        <is>
          <t>8,970</t>
        </is>
      </c>
      <c r="V1885" t="n">
        <v>19.5</v>
      </c>
      <c r="W1885" t="inlineStr">
        <is>
          <t>31%</t>
        </is>
      </c>
      <c r="X1885" t="inlineStr">
        <is>
          <t>57 : 43</t>
        </is>
      </c>
      <c r="Y1885" t="n">
        <v>531</v>
      </c>
      <c r="Z1885" t="n">
        <v>501</v>
      </c>
      <c r="AA1885" t="n">
        <v>43.59999999999999</v>
      </c>
      <c r="AB1885" t="inlineStr">
        <is>
          <t>U1884</t>
        </is>
      </c>
      <c r="AC1885" t="inlineStr">
        <is>
          <t>UN</t>
        </is>
      </c>
      <c r="AD1885" t="n">
        <v>23.1</v>
      </c>
      <c r="AE1885" t="n">
        <v>21.7</v>
      </c>
      <c r="AF1885" t="n">
        <v>19.5</v>
      </c>
      <c r="AG1885" t="inlineStr">
        <is>
          <t>1:19.5</t>
        </is>
      </c>
      <c r="AH1885" t="inlineStr">
        <is>
          <t>31%</t>
        </is>
      </c>
      <c r="AI1885" t="n">
        <v>9.1</v>
      </c>
      <c r="AJ1885" t="n">
        <v>33.5</v>
      </c>
    </row>
    <row r="1886">
      <c r="A1886" t="inlineStr">
        <is>
          <t>University of Brasília</t>
        </is>
      </c>
      <c r="B1886" t="inlineStr">
        <is>
          <t>Brazil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>
        <is>
          <t>1201–1500</t>
        </is>
      </c>
      <c r="O1886" t="inlineStr">
        <is>
          <t>22.8–28.2</t>
        </is>
      </c>
      <c r="P1886" t="n">
        <v>32.6</v>
      </c>
      <c r="Q1886" t="n">
        <v>14.9</v>
      </c>
      <c r="R1886" t="n">
        <v>28.7</v>
      </c>
      <c r="S1886" t="n">
        <v>27.7</v>
      </c>
      <c r="T1886" t="n">
        <v>36.9</v>
      </c>
      <c r="U1886" t="inlineStr">
        <is>
          <t>46,097</t>
        </is>
      </c>
      <c r="V1886" t="n">
        <v>13.6</v>
      </c>
      <c r="W1886" t="inlineStr">
        <is>
          <t>1%</t>
        </is>
      </c>
      <c r="X1886" t="inlineStr">
        <is>
          <t>52 : 48</t>
        </is>
      </c>
      <c r="Y1886" t="inlineStr"/>
      <c r="Z1886" t="n">
        <v>1201</v>
      </c>
      <c r="AA1886" t="n">
        <v>25.5</v>
      </c>
      <c r="AB1886" t="inlineStr">
        <is>
          <t>U1885</t>
        </is>
      </c>
      <c r="AC1886" t="inlineStr">
        <is>
          <t>BR</t>
        </is>
      </c>
      <c r="AD1886" t="n">
        <v>25.5</v>
      </c>
      <c r="AE1886" t="n">
        <v>28.7</v>
      </c>
      <c r="AF1886" t="n">
        <v>13.6</v>
      </c>
      <c r="AG1886" t="inlineStr">
        <is>
          <t>1:13.6</t>
        </is>
      </c>
      <c r="AH1886" t="inlineStr">
        <is>
          <t>1%</t>
        </is>
      </c>
      <c r="AI1886" t="inlineStr"/>
      <c r="AJ1886" t="n">
        <v>18.82</v>
      </c>
    </row>
    <row r="1887">
      <c r="A1887" t="inlineStr">
        <is>
          <t>University of Brawijaya</t>
        </is>
      </c>
      <c r="B1887" t="inlineStr">
        <is>
          <t>Indonesia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>
        <is>
          <t>1501+</t>
        </is>
      </c>
      <c r="O1887" t="inlineStr">
        <is>
          <t>9.7–22.7</t>
        </is>
      </c>
      <c r="P1887" t="n">
        <v>20.5</v>
      </c>
      <c r="Q1887" t="n">
        <v>9.9</v>
      </c>
      <c r="R1887" t="n">
        <v>17.2</v>
      </c>
      <c r="S1887" t="n">
        <v>20.4</v>
      </c>
      <c r="T1887" t="n">
        <v>25.7</v>
      </c>
      <c r="U1887" t="inlineStr">
        <is>
          <t>55,332</t>
        </is>
      </c>
      <c r="V1887" t="n">
        <v>14.4</v>
      </c>
      <c r="W1887" t="inlineStr">
        <is>
          <t>1%</t>
        </is>
      </c>
      <c r="X1887" t="inlineStr">
        <is>
          <t>56 : 44</t>
        </is>
      </c>
      <c r="Y1887" t="inlineStr"/>
      <c r="Z1887" t="n">
        <v>1501</v>
      </c>
      <c r="AA1887" t="n">
        <v>16.2</v>
      </c>
      <c r="AB1887" t="inlineStr">
        <is>
          <t>U1886</t>
        </is>
      </c>
      <c r="AC1887" t="inlineStr">
        <is>
          <t>IN</t>
        </is>
      </c>
      <c r="AD1887" t="n">
        <v>16.2</v>
      </c>
      <c r="AE1887" t="n">
        <v>17.2</v>
      </c>
      <c r="AF1887" t="n">
        <v>14.4</v>
      </c>
      <c r="AG1887" t="inlineStr">
        <is>
          <t>1:14.4</t>
        </is>
      </c>
      <c r="AH1887" t="inlineStr">
        <is>
          <t>1%</t>
        </is>
      </c>
      <c r="AI1887" t="inlineStr"/>
      <c r="AJ1887" t="n">
        <v>10.01</v>
      </c>
    </row>
    <row r="1888">
      <c r="A1888" t="inlineStr">
        <is>
          <t>University of Bremen</t>
        </is>
      </c>
      <c r="B1888" t="inlineStr">
        <is>
          <t>Germany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>
        <is>
          <t>301–350</t>
        </is>
      </c>
      <c r="O1888" t="inlineStr">
        <is>
          <t>51.1–53.0</t>
        </is>
      </c>
      <c r="P1888" t="n">
        <v>39.8</v>
      </c>
      <c r="Q1888" t="n">
        <v>39</v>
      </c>
      <c r="R1888" t="n">
        <v>68.8</v>
      </c>
      <c r="S1888" t="n">
        <v>67.2</v>
      </c>
      <c r="T1888" t="n">
        <v>65</v>
      </c>
      <c r="U1888" t="inlineStr">
        <is>
          <t>12,263</t>
        </is>
      </c>
      <c r="V1888" t="n">
        <v>19.5</v>
      </c>
      <c r="W1888" t="inlineStr">
        <is>
          <t>13%</t>
        </is>
      </c>
      <c r="X1888" t="inlineStr">
        <is>
          <t>53 : 47</t>
        </is>
      </c>
      <c r="Y1888" t="inlineStr"/>
      <c r="Z1888" t="n">
        <v>301</v>
      </c>
      <c r="AA1888" t="n">
        <v>52.05</v>
      </c>
      <c r="AB1888" t="inlineStr">
        <is>
          <t>U1887</t>
        </is>
      </c>
      <c r="AC1888" t="inlineStr">
        <is>
          <t>GE</t>
        </is>
      </c>
      <c r="AD1888" t="n">
        <v>52.05</v>
      </c>
      <c r="AE1888" t="n">
        <v>68.8</v>
      </c>
      <c r="AF1888" t="n">
        <v>19.5</v>
      </c>
      <c r="AG1888" t="inlineStr">
        <is>
          <t>1:19.5</t>
        </is>
      </c>
      <c r="AH1888" t="inlineStr">
        <is>
          <t>13%</t>
        </is>
      </c>
      <c r="AI1888" t="inlineStr"/>
      <c r="AJ1888" t="n">
        <v>50.4</v>
      </c>
    </row>
    <row r="1889">
      <c r="A1889" t="inlineStr">
        <is>
          <t>University of Brescia</t>
        </is>
      </c>
      <c r="B1889" t="inlineStr">
        <is>
          <t>Italy</t>
        </is>
      </c>
      <c r="C1889" t="inlineStr">
        <is>
          <t>691-700</t>
        </is>
      </c>
      <c r="D1889" t="inlineStr"/>
      <c r="E1889" t="n">
        <v>4.4</v>
      </c>
      <c r="F1889" t="n">
        <v>2.2</v>
      </c>
      <c r="G1889" t="n">
        <v>7.4</v>
      </c>
      <c r="H1889" t="n">
        <v>56.3</v>
      </c>
      <c r="I1889" t="n">
        <v>2.6</v>
      </c>
      <c r="J1889" t="n">
        <v>6.3</v>
      </c>
      <c r="K1889" t="n">
        <v>55.5</v>
      </c>
      <c r="L1889" t="n">
        <v>3.3</v>
      </c>
      <c r="M1889" t="n">
        <v>44.9</v>
      </c>
      <c r="N1889" t="inlineStr">
        <is>
          <t>401–500</t>
        </is>
      </c>
      <c r="O1889" t="inlineStr">
        <is>
          <t>45.4–49.0</t>
        </is>
      </c>
      <c r="P1889" t="n">
        <v>24.4</v>
      </c>
      <c r="Q1889" t="n">
        <v>19.2</v>
      </c>
      <c r="R1889" t="n">
        <v>89.3</v>
      </c>
      <c r="S1889" t="n">
        <v>62.4</v>
      </c>
      <c r="T1889" t="n">
        <v>44.9</v>
      </c>
      <c r="U1889" t="inlineStr">
        <is>
          <t>14,615</t>
        </is>
      </c>
      <c r="V1889" t="n">
        <v>24.2</v>
      </c>
      <c r="W1889" t="inlineStr">
        <is>
          <t>6%</t>
        </is>
      </c>
      <c r="X1889" t="inlineStr">
        <is>
          <t>47 : 53</t>
        </is>
      </c>
      <c r="Y1889" t="n">
        <v>691</v>
      </c>
      <c r="Z1889" t="n">
        <v>401</v>
      </c>
      <c r="AA1889" t="n">
        <v>47.2</v>
      </c>
      <c r="AB1889" t="inlineStr">
        <is>
          <t>U1888</t>
        </is>
      </c>
      <c r="AC1889" t="inlineStr">
        <is>
          <t>IT</t>
        </is>
      </c>
      <c r="AD1889" t="n">
        <v>47.2</v>
      </c>
      <c r="AE1889" t="n">
        <v>56.3</v>
      </c>
      <c r="AF1889" t="n">
        <v>24.2</v>
      </c>
      <c r="AG1889" t="inlineStr">
        <is>
          <t>1:24.2</t>
        </is>
      </c>
      <c r="AH1889" t="inlineStr">
        <is>
          <t>6%</t>
        </is>
      </c>
      <c r="AI1889" t="n">
        <v>4.4</v>
      </c>
      <c r="AJ1889" t="n">
        <v>31.37</v>
      </c>
    </row>
    <row r="1890">
      <c r="A1890" t="inlineStr">
        <is>
          <t>University of Brighton</t>
        </is>
      </c>
      <c r="B1890" t="inlineStr">
        <is>
          <t>United Kingdom</t>
        </is>
      </c>
      <c r="C1890" t="inlineStr">
        <is>
          <t>801-850</t>
        </is>
      </c>
      <c r="D1890" t="inlineStr"/>
      <c r="E1890" t="n">
        <v>7.9</v>
      </c>
      <c r="F1890" t="n">
        <v>6.1</v>
      </c>
      <c r="G1890" t="n">
        <v>8.5</v>
      </c>
      <c r="H1890" t="n">
        <v>14.9</v>
      </c>
      <c r="I1890" t="n">
        <v>54.8</v>
      </c>
      <c r="J1890" t="n">
        <v>51.1</v>
      </c>
      <c r="K1890" t="n">
        <v>72.5</v>
      </c>
      <c r="L1890" t="n">
        <v>6.1</v>
      </c>
      <c r="M1890" t="n">
        <v>6.5</v>
      </c>
      <c r="N1890" t="inlineStr">
        <is>
          <t>801–1000</t>
        </is>
      </c>
      <c r="O1890" t="inlineStr">
        <is>
          <t>32.7–36.9</t>
        </is>
      </c>
      <c r="P1890" t="n">
        <v>19.8</v>
      </c>
      <c r="Q1890" t="n">
        <v>16.5</v>
      </c>
      <c r="R1890" t="n">
        <v>53.9</v>
      </c>
      <c r="S1890" t="n">
        <v>60.9</v>
      </c>
      <c r="T1890" t="n">
        <v>84.40000000000001</v>
      </c>
      <c r="U1890" t="inlineStr">
        <is>
          <t>14,525</t>
        </is>
      </c>
      <c r="V1890" t="n">
        <v>18</v>
      </c>
      <c r="W1890" t="inlineStr">
        <is>
          <t>22%</t>
        </is>
      </c>
      <c r="X1890" t="inlineStr">
        <is>
          <t>60 : 40</t>
        </is>
      </c>
      <c r="Y1890" t="n">
        <v>801</v>
      </c>
      <c r="Z1890" t="n">
        <v>801</v>
      </c>
      <c r="AA1890" t="n">
        <v>34.8</v>
      </c>
      <c r="AB1890" t="inlineStr">
        <is>
          <t>U1889</t>
        </is>
      </c>
      <c r="AC1890" t="inlineStr">
        <is>
          <t>UN</t>
        </is>
      </c>
      <c r="AD1890" t="n">
        <v>34.8</v>
      </c>
      <c r="AE1890" t="n">
        <v>14.9</v>
      </c>
      <c r="AF1890" t="n">
        <v>18</v>
      </c>
      <c r="AG1890" t="inlineStr">
        <is>
          <t>1:18.0</t>
        </is>
      </c>
      <c r="AH1890" t="inlineStr">
        <is>
          <t>22%</t>
        </is>
      </c>
      <c r="AI1890" t="n">
        <v>7.9</v>
      </c>
      <c r="AJ1890" t="n">
        <v>26.97</v>
      </c>
    </row>
    <row r="1891">
      <c r="A1891" t="inlineStr">
        <is>
          <t>University of Bristol</t>
        </is>
      </c>
      <c r="B1891" t="inlineStr">
        <is>
          <t>United Kingdom</t>
        </is>
      </c>
      <c r="C1891" t="inlineStr">
        <is>
          <t>54</t>
        </is>
      </c>
      <c r="D1891" t="n">
        <v>75.40000000000001</v>
      </c>
      <c r="E1891" t="n">
        <v>75.8</v>
      </c>
      <c r="F1891" t="n">
        <v>82.5</v>
      </c>
      <c r="G1891" t="n">
        <v>36.7</v>
      </c>
      <c r="H1891" t="n">
        <v>75.90000000000001</v>
      </c>
      <c r="I1891" t="n">
        <v>87.5</v>
      </c>
      <c r="J1891" t="n">
        <v>89.8</v>
      </c>
      <c r="K1891" t="n">
        <v>94.59999999999999</v>
      </c>
      <c r="L1891" t="n">
        <v>51.2</v>
      </c>
      <c r="M1891" t="n">
        <v>98.90000000000001</v>
      </c>
      <c r="N1891" t="inlineStr">
        <is>
          <t>81</t>
        </is>
      </c>
      <c r="O1891" t="inlineStr">
        <is>
          <t>69.8</t>
        </is>
      </c>
      <c r="P1891" t="n">
        <v>48.7</v>
      </c>
      <c r="Q1891" t="n">
        <v>56.5</v>
      </c>
      <c r="R1891" t="n">
        <v>97.3</v>
      </c>
      <c r="S1891" t="n">
        <v>72.3</v>
      </c>
      <c r="T1891" t="n">
        <v>92.5</v>
      </c>
      <c r="U1891" t="inlineStr">
        <is>
          <t>27,335</t>
        </is>
      </c>
      <c r="V1891" t="n">
        <v>14.8</v>
      </c>
      <c r="W1891" t="inlineStr">
        <is>
          <t>31%</t>
        </is>
      </c>
      <c r="X1891" t="inlineStr">
        <is>
          <t>55 : 45</t>
        </is>
      </c>
      <c r="Y1891" t="n">
        <v>54</v>
      </c>
      <c r="Z1891" t="n">
        <v>81</v>
      </c>
      <c r="AA1891" t="n">
        <v>69.8</v>
      </c>
      <c r="AB1891" t="inlineStr">
        <is>
          <t>U1890</t>
        </is>
      </c>
      <c r="AC1891" t="inlineStr">
        <is>
          <t>UN</t>
        </is>
      </c>
      <c r="AD1891" t="n">
        <v>75.40000000000001</v>
      </c>
      <c r="AE1891" t="n">
        <v>75.90000000000001</v>
      </c>
      <c r="AF1891" t="n">
        <v>14.8</v>
      </c>
      <c r="AG1891" t="inlineStr">
        <is>
          <t>1:14.8</t>
        </is>
      </c>
      <c r="AH1891" t="inlineStr">
        <is>
          <t>31%</t>
        </is>
      </c>
      <c r="AI1891" t="n">
        <v>75.8</v>
      </c>
      <c r="AJ1891" t="n">
        <v>68.37</v>
      </c>
    </row>
    <row r="1892">
      <c r="A1892" t="inlineStr">
        <is>
          <t>University of British Columbia</t>
        </is>
      </c>
      <c r="B1892" t="inlineStr">
        <is>
          <t>Canada</t>
        </is>
      </c>
      <c r="C1892" t="inlineStr">
        <is>
          <t>38</t>
        </is>
      </c>
      <c r="D1892" t="n">
        <v>81</v>
      </c>
      <c r="E1892" t="n">
        <v>98.3</v>
      </c>
      <c r="F1892" t="n">
        <v>94.3</v>
      </c>
      <c r="G1892" t="n">
        <v>34.5</v>
      </c>
      <c r="H1892" t="n">
        <v>57.7</v>
      </c>
      <c r="I1892" t="n">
        <v>95.5</v>
      </c>
      <c r="J1892" t="n">
        <v>72.8</v>
      </c>
      <c r="K1892" t="n">
        <v>96.2</v>
      </c>
      <c r="L1892" t="n">
        <v>74.59999999999999</v>
      </c>
      <c r="M1892" t="n">
        <v>99.8</v>
      </c>
      <c r="N1892" t="inlineStr">
        <is>
          <t>41</t>
        </is>
      </c>
      <c r="O1892" t="inlineStr">
        <is>
          <t>78.0</t>
        </is>
      </c>
      <c r="P1892" t="n">
        <v>62.5</v>
      </c>
      <c r="Q1892" t="n">
        <v>76.59999999999999</v>
      </c>
      <c r="R1892" t="n">
        <v>90.5</v>
      </c>
      <c r="S1892" t="n">
        <v>76.7</v>
      </c>
      <c r="T1892" t="n">
        <v>95</v>
      </c>
      <c r="U1892" t="inlineStr">
        <is>
          <t>58,987</t>
        </is>
      </c>
      <c r="V1892" t="n">
        <v>19.4</v>
      </c>
      <c r="W1892" t="inlineStr">
        <is>
          <t>34%</t>
        </is>
      </c>
      <c r="X1892" t="inlineStr">
        <is>
          <t>55 : 45</t>
        </is>
      </c>
      <c r="Y1892" t="n">
        <v>38</v>
      </c>
      <c r="Z1892" t="n">
        <v>41</v>
      </c>
      <c r="AA1892" t="n">
        <v>78</v>
      </c>
      <c r="AB1892" t="inlineStr">
        <is>
          <t>U1891</t>
        </is>
      </c>
      <c r="AC1892" t="inlineStr">
        <is>
          <t>CA</t>
        </is>
      </c>
      <c r="AD1892" t="n">
        <v>81</v>
      </c>
      <c r="AE1892" t="n">
        <v>57.7</v>
      </c>
      <c r="AF1892" t="n">
        <v>19.4</v>
      </c>
      <c r="AG1892" t="inlineStr">
        <is>
          <t>1:19.4</t>
        </is>
      </c>
      <c r="AH1892" t="inlineStr">
        <is>
          <t>34%</t>
        </is>
      </c>
      <c r="AI1892" t="n">
        <v>98.3</v>
      </c>
      <c r="AJ1892" t="n">
        <v>74</v>
      </c>
    </row>
    <row r="1893">
      <c r="A1893" t="inlineStr">
        <is>
          <t>University of Bucharest</t>
        </is>
      </c>
      <c r="B1893" t="inlineStr">
        <is>
          <t>Romania</t>
        </is>
      </c>
      <c r="C1893" t="inlineStr">
        <is>
          <t>801-850</t>
        </is>
      </c>
      <c r="D1893" t="inlineStr"/>
      <c r="E1893" t="n">
        <v>15.2</v>
      </c>
      <c r="F1893" t="n">
        <v>19.5</v>
      </c>
      <c r="G1893" t="n">
        <v>7.1</v>
      </c>
      <c r="H1893" t="n">
        <v>4.2</v>
      </c>
      <c r="I1893" t="n">
        <v>2.6</v>
      </c>
      <c r="J1893" t="n">
        <v>2</v>
      </c>
      <c r="K1893" t="n">
        <v>69.09999999999999</v>
      </c>
      <c r="L1893" t="n">
        <v>53.4</v>
      </c>
      <c r="M1893" t="n">
        <v>25.7</v>
      </c>
      <c r="N1893" t="inlineStr">
        <is>
          <t>1001–1200</t>
        </is>
      </c>
      <c r="O1893" t="inlineStr">
        <is>
          <t>28.3–32.6</t>
        </is>
      </c>
      <c r="P1893" t="n">
        <v>24.8</v>
      </c>
      <c r="Q1893" t="n">
        <v>21.1</v>
      </c>
      <c r="R1893" t="n">
        <v>43.2</v>
      </c>
      <c r="S1893" t="n">
        <v>25.3</v>
      </c>
      <c r="T1893" t="n">
        <v>29.1</v>
      </c>
      <c r="U1893" t="inlineStr">
        <is>
          <t>32,362</t>
        </is>
      </c>
      <c r="V1893" t="n">
        <v>33.3</v>
      </c>
      <c r="W1893" t="inlineStr">
        <is>
          <t>2%</t>
        </is>
      </c>
      <c r="X1893" t="inlineStr">
        <is>
          <t>70 : 30</t>
        </is>
      </c>
      <c r="Y1893" t="n">
        <v>801</v>
      </c>
      <c r="Z1893" t="n">
        <v>1001</v>
      </c>
      <c r="AA1893" t="n">
        <v>30.45</v>
      </c>
      <c r="AB1893" t="inlineStr">
        <is>
          <t>U1892</t>
        </is>
      </c>
      <c r="AC1893" t="inlineStr">
        <is>
          <t>RO</t>
        </is>
      </c>
      <c r="AD1893" t="n">
        <v>30.45</v>
      </c>
      <c r="AE1893" t="n">
        <v>4.2</v>
      </c>
      <c r="AF1893" t="n">
        <v>33.3</v>
      </c>
      <c r="AG1893" t="inlineStr">
        <is>
          <t>1:33.3</t>
        </is>
      </c>
      <c r="AH1893" t="inlineStr">
        <is>
          <t>2%</t>
        </is>
      </c>
      <c r="AI1893" t="n">
        <v>15.2</v>
      </c>
      <c r="AJ1893" t="n">
        <v>12.76</v>
      </c>
    </row>
    <row r="1894">
      <c r="A1894" t="inlineStr">
        <is>
          <t>University of Burgos</t>
        </is>
      </c>
      <c r="B1894" t="inlineStr">
        <is>
          <t>Spain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>
        <is>
          <t>1201–1500</t>
        </is>
      </c>
      <c r="O1894" t="inlineStr">
        <is>
          <t>22.8–28.2</t>
        </is>
      </c>
      <c r="P1894" t="n">
        <v>22.1</v>
      </c>
      <c r="Q1894" t="n">
        <v>14.7</v>
      </c>
      <c r="R1894" t="n">
        <v>41.7</v>
      </c>
      <c r="S1894" t="n">
        <v>39.7</v>
      </c>
      <c r="T1894" t="n">
        <v>38</v>
      </c>
      <c r="U1894" t="inlineStr">
        <is>
          <t>7,764</t>
        </is>
      </c>
      <c r="V1894" t="n">
        <v>13.5</v>
      </c>
      <c r="W1894" t="inlineStr">
        <is>
          <t>5%</t>
        </is>
      </c>
      <c r="X1894" t="inlineStr">
        <is>
          <t>55 : 45</t>
        </is>
      </c>
      <c r="Y1894" t="inlineStr"/>
      <c r="Z1894" t="n">
        <v>1201</v>
      </c>
      <c r="AA1894" t="n">
        <v>25.5</v>
      </c>
      <c r="AB1894" t="inlineStr">
        <is>
          <t>U1893</t>
        </is>
      </c>
      <c r="AC1894" t="inlineStr">
        <is>
          <t>SP</t>
        </is>
      </c>
      <c r="AD1894" t="n">
        <v>25.5</v>
      </c>
      <c r="AE1894" t="n">
        <v>41.7</v>
      </c>
      <c r="AF1894" t="n">
        <v>13.5</v>
      </c>
      <c r="AG1894" t="inlineStr">
        <is>
          <t>1:13.5</t>
        </is>
      </c>
      <c r="AH1894" t="inlineStr">
        <is>
          <t>5%</t>
        </is>
      </c>
      <c r="AI1894" t="inlineStr"/>
      <c r="AJ1894" t="n">
        <v>22.92</v>
      </c>
    </row>
    <row r="1895">
      <c r="A1895" t="inlineStr">
        <is>
          <t>University of Córdoba</t>
        </is>
      </c>
      <c r="B1895" t="inlineStr">
        <is>
          <t>Spain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>
        <is>
          <t>601–800</t>
        </is>
      </c>
      <c r="O1895" t="inlineStr">
        <is>
          <t>37.0–41.8</t>
        </is>
      </c>
      <c r="P1895" t="n">
        <v>27</v>
      </c>
      <c r="Q1895" t="n">
        <v>19.9</v>
      </c>
      <c r="R1895" t="n">
        <v>62.6</v>
      </c>
      <c r="S1895" t="n">
        <v>41.9</v>
      </c>
      <c r="T1895" t="n">
        <v>52.3</v>
      </c>
      <c r="U1895" t="inlineStr">
        <is>
          <t>17,070</t>
        </is>
      </c>
      <c r="V1895" t="n">
        <v>12.9</v>
      </c>
      <c r="W1895" t="inlineStr">
        <is>
          <t>11%</t>
        </is>
      </c>
      <c r="X1895" t="inlineStr">
        <is>
          <t>57 : 43</t>
        </is>
      </c>
      <c r="Y1895" t="inlineStr"/>
      <c r="Z1895" t="n">
        <v>601</v>
      </c>
      <c r="AA1895" t="n">
        <v>39.4</v>
      </c>
      <c r="AB1895" t="inlineStr">
        <is>
          <t>U1894</t>
        </is>
      </c>
      <c r="AC1895" t="inlineStr">
        <is>
          <t>SP</t>
        </is>
      </c>
      <c r="AD1895" t="n">
        <v>39.4</v>
      </c>
      <c r="AE1895" t="n">
        <v>62.6</v>
      </c>
      <c r="AF1895" t="n">
        <v>12.9</v>
      </c>
      <c r="AG1895" t="inlineStr">
        <is>
          <t>1:12.9</t>
        </is>
      </c>
      <c r="AH1895" t="inlineStr">
        <is>
          <t>11%</t>
        </is>
      </c>
      <c r="AI1895" t="inlineStr"/>
      <c r="AJ1895" t="n">
        <v>35.44</v>
      </c>
    </row>
    <row r="1896">
      <c r="A1896" t="inlineStr">
        <is>
          <t>University of Côte d’Azur</t>
        </is>
      </c>
      <c r="B1896" t="inlineStr">
        <is>
          <t>France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>
        <is>
          <t>501–600</t>
        </is>
      </c>
      <c r="O1896" t="inlineStr">
        <is>
          <t>41.9–45.3</t>
        </is>
      </c>
      <c r="P1896" t="n">
        <v>28.4</v>
      </c>
      <c r="Q1896" t="n">
        <v>22</v>
      </c>
      <c r="R1896" t="n">
        <v>65.59999999999999</v>
      </c>
      <c r="S1896" t="n">
        <v>62.4</v>
      </c>
      <c r="T1896" t="n">
        <v>80.59999999999999</v>
      </c>
      <c r="U1896" t="inlineStr">
        <is>
          <t>33,024</t>
        </is>
      </c>
      <c r="V1896" t="n">
        <v>20.5</v>
      </c>
      <c r="W1896" t="inlineStr">
        <is>
          <t>20%</t>
        </is>
      </c>
      <c r="X1896" t="inlineStr">
        <is>
          <t>56 : 44</t>
        </is>
      </c>
      <c r="Y1896" t="inlineStr"/>
      <c r="Z1896" t="n">
        <v>501</v>
      </c>
      <c r="AA1896" t="n">
        <v>43.59999999999999</v>
      </c>
      <c r="AB1896" t="inlineStr">
        <is>
          <t>U1895</t>
        </is>
      </c>
      <c r="AC1896" t="inlineStr">
        <is>
          <t>FR</t>
        </is>
      </c>
      <c r="AD1896" t="n">
        <v>43.59999999999999</v>
      </c>
      <c r="AE1896" t="n">
        <v>65.59999999999999</v>
      </c>
      <c r="AF1896" t="n">
        <v>20.5</v>
      </c>
      <c r="AG1896" t="inlineStr">
        <is>
          <t>1:20.5</t>
        </is>
      </c>
      <c r="AH1896" t="inlineStr">
        <is>
          <t>20%</t>
        </is>
      </c>
      <c r="AI1896" t="inlineStr"/>
      <c r="AJ1896" t="n">
        <v>44.29</v>
      </c>
    </row>
    <row r="1897">
      <c r="A1897" t="inlineStr">
        <is>
          <t>University of Cadiz</t>
        </is>
      </c>
      <c r="B1897" t="inlineStr">
        <is>
          <t>Spain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>
        <is>
          <t>1001–1200</t>
        </is>
      </c>
      <c r="O1897" t="inlineStr">
        <is>
          <t>28.3–32.6</t>
        </is>
      </c>
      <c r="P1897" t="n">
        <v>20.4</v>
      </c>
      <c r="Q1897" t="n">
        <v>16.7</v>
      </c>
      <c r="R1897" t="n">
        <v>43.7</v>
      </c>
      <c r="S1897" t="n">
        <v>30</v>
      </c>
      <c r="T1897" t="n">
        <v>42.3</v>
      </c>
      <c r="U1897" t="inlineStr">
        <is>
          <t>19,416</t>
        </is>
      </c>
      <c r="V1897" t="n">
        <v>17.7</v>
      </c>
      <c r="W1897" t="inlineStr">
        <is>
          <t>8%</t>
        </is>
      </c>
      <c r="X1897" t="inlineStr">
        <is>
          <t>55 : 45</t>
        </is>
      </c>
      <c r="Y1897" t="inlineStr"/>
      <c r="Z1897" t="n">
        <v>1001</v>
      </c>
      <c r="AA1897" t="n">
        <v>30.45</v>
      </c>
      <c r="AB1897" t="inlineStr">
        <is>
          <t>U1896</t>
        </is>
      </c>
      <c r="AC1897" t="inlineStr">
        <is>
          <t>SP</t>
        </is>
      </c>
      <c r="AD1897" t="n">
        <v>30.45</v>
      </c>
      <c r="AE1897" t="n">
        <v>43.7</v>
      </c>
      <c r="AF1897" t="n">
        <v>17.7</v>
      </c>
      <c r="AG1897" t="inlineStr">
        <is>
          <t>1:17.7</t>
        </is>
      </c>
      <c r="AH1897" t="inlineStr">
        <is>
          <t>8%</t>
        </is>
      </c>
      <c r="AI1897" t="inlineStr"/>
      <c r="AJ1897" t="n">
        <v>25.62</v>
      </c>
    </row>
    <row r="1898">
      <c r="A1898" t="inlineStr">
        <is>
          <t>University of Calabria</t>
        </is>
      </c>
      <c r="B1898" t="inlineStr">
        <is>
          <t>Italy</t>
        </is>
      </c>
      <c r="C1898" t="inlineStr">
        <is>
          <t>901-950</t>
        </is>
      </c>
      <c r="D1898" t="inlineStr"/>
      <c r="E1898" t="n">
        <v>6.8</v>
      </c>
      <c r="F1898" t="n">
        <v>2.3</v>
      </c>
      <c r="G1898" t="n">
        <v>5.5</v>
      </c>
      <c r="H1898" t="n">
        <v>22.6</v>
      </c>
      <c r="I1898" t="n">
        <v>8.300000000000001</v>
      </c>
      <c r="J1898" t="n">
        <v>6.2</v>
      </c>
      <c r="K1898" t="n">
        <v>81.40000000000001</v>
      </c>
      <c r="L1898" t="n">
        <v>1.7</v>
      </c>
      <c r="M1898" t="n">
        <v>29.6</v>
      </c>
      <c r="N1898" t="inlineStr">
        <is>
          <t>501–600</t>
        </is>
      </c>
      <c r="O1898" t="inlineStr">
        <is>
          <t>41.9–45.3</t>
        </is>
      </c>
      <c r="P1898" t="n">
        <v>34.9</v>
      </c>
      <c r="Q1898" t="n">
        <v>19.5</v>
      </c>
      <c r="R1898" t="n">
        <v>69.59999999999999</v>
      </c>
      <c r="S1898" t="n">
        <v>47.4</v>
      </c>
      <c r="T1898" t="n">
        <v>43.2</v>
      </c>
      <c r="U1898" t="inlineStr">
        <is>
          <t>12,784</t>
        </is>
      </c>
      <c r="V1898" t="n">
        <v>16.1</v>
      </c>
      <c r="W1898" t="inlineStr">
        <is>
          <t>5%</t>
        </is>
      </c>
      <c r="X1898" t="inlineStr">
        <is>
          <t>62 : 38</t>
        </is>
      </c>
      <c r="Y1898" t="n">
        <v>901</v>
      </c>
      <c r="Z1898" t="n">
        <v>501</v>
      </c>
      <c r="AA1898" t="n">
        <v>43.59999999999999</v>
      </c>
      <c r="AB1898" t="inlineStr">
        <is>
          <t>U1897</t>
        </is>
      </c>
      <c r="AC1898" t="inlineStr">
        <is>
          <t>IT</t>
        </is>
      </c>
      <c r="AD1898" t="n">
        <v>43.59999999999999</v>
      </c>
      <c r="AE1898" t="n">
        <v>22.6</v>
      </c>
      <c r="AF1898" t="n">
        <v>16.1</v>
      </c>
      <c r="AG1898" t="inlineStr">
        <is>
          <t>1:16.1</t>
        </is>
      </c>
      <c r="AH1898" t="inlineStr">
        <is>
          <t>5%</t>
        </is>
      </c>
      <c r="AI1898" t="n">
        <v>6.8</v>
      </c>
      <c r="AJ1898" t="n">
        <v>20.91</v>
      </c>
    </row>
    <row r="1899">
      <c r="A1899" t="inlineStr">
        <is>
          <t>University of Calcutta</t>
        </is>
      </c>
      <c r="B1899" t="inlineStr">
        <is>
          <t>India</t>
        </is>
      </c>
      <c r="C1899" t="inlineStr">
        <is>
          <t>751-760</t>
        </is>
      </c>
      <c r="D1899" t="inlineStr"/>
      <c r="E1899" t="n">
        <v>17.1</v>
      </c>
      <c r="F1899" t="n">
        <v>6.5</v>
      </c>
      <c r="G1899" t="n">
        <v>5.5</v>
      </c>
      <c r="H1899" t="n">
        <v>21.4</v>
      </c>
      <c r="I1899" t="n">
        <v>24.7</v>
      </c>
      <c r="J1899" t="n">
        <v>1.1</v>
      </c>
      <c r="K1899" t="n">
        <v>56</v>
      </c>
      <c r="L1899" t="n">
        <v>49.8</v>
      </c>
      <c r="M1899" t="n">
        <v>1.5</v>
      </c>
      <c r="N1899" t="inlineStr">
        <is>
          <t>1001–1200</t>
        </is>
      </c>
      <c r="O1899" t="inlineStr">
        <is>
          <t>28.3–32.6</t>
        </is>
      </c>
      <c r="P1899" t="n">
        <v>40</v>
      </c>
      <c r="Q1899" t="n">
        <v>15.2</v>
      </c>
      <c r="R1899" t="n">
        <v>33.7</v>
      </c>
      <c r="S1899" t="n">
        <v>30.3</v>
      </c>
      <c r="T1899" t="n">
        <v>19.3</v>
      </c>
      <c r="U1899" t="inlineStr">
        <is>
          <t>17,879</t>
        </is>
      </c>
      <c r="V1899" t="n">
        <v>14.2</v>
      </c>
      <c r="W1899" t="inlineStr">
        <is>
          <t>0%</t>
        </is>
      </c>
      <c r="X1899" t="inlineStr">
        <is>
          <t>54 : 46</t>
        </is>
      </c>
      <c r="Y1899" t="n">
        <v>751</v>
      </c>
      <c r="Z1899" t="n">
        <v>1001</v>
      </c>
      <c r="AA1899" t="n">
        <v>30.45</v>
      </c>
      <c r="AB1899" t="inlineStr">
        <is>
          <t>U1898</t>
        </is>
      </c>
      <c r="AC1899" t="inlineStr">
        <is>
          <t>IN</t>
        </is>
      </c>
      <c r="AD1899" t="n">
        <v>30.45</v>
      </c>
      <c r="AE1899" t="n">
        <v>21.4</v>
      </c>
      <c r="AF1899" t="n">
        <v>14.2</v>
      </c>
      <c r="AG1899" t="inlineStr">
        <is>
          <t>1:14.2</t>
        </is>
      </c>
      <c r="AH1899" t="inlineStr">
        <is>
          <t>0%</t>
        </is>
      </c>
      <c r="AI1899" t="n">
        <v>17.1</v>
      </c>
      <c r="AJ1899" t="n">
        <v>12.51</v>
      </c>
    </row>
    <row r="1900">
      <c r="A1900" t="inlineStr">
        <is>
          <t>University of Caldas</t>
        </is>
      </c>
      <c r="B1900" t="inlineStr">
        <is>
          <t>Colombia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>
        <is>
          <t>1501+</t>
        </is>
      </c>
      <c r="O1900" t="inlineStr">
        <is>
          <t>9.7–22.7</t>
        </is>
      </c>
      <c r="P1900" t="n">
        <v>10.1</v>
      </c>
      <c r="Q1900" t="n">
        <v>11</v>
      </c>
      <c r="R1900" t="n">
        <v>9</v>
      </c>
      <c r="S1900" t="n">
        <v>53.2</v>
      </c>
      <c r="T1900" t="n">
        <v>32.2</v>
      </c>
      <c r="U1900" t="inlineStr">
        <is>
          <t>27,456</t>
        </is>
      </c>
      <c r="V1900" t="n">
        <v>58.2</v>
      </c>
      <c r="W1900" t="inlineStr">
        <is>
          <t>0%</t>
        </is>
      </c>
      <c r="X1900" t="inlineStr">
        <is>
          <t>49 : 51</t>
        </is>
      </c>
      <c r="Y1900" t="inlineStr"/>
      <c r="Z1900" t="n">
        <v>1501</v>
      </c>
      <c r="AA1900" t="n">
        <v>16.2</v>
      </c>
      <c r="AB1900" t="inlineStr">
        <is>
          <t>U1899</t>
        </is>
      </c>
      <c r="AC1900" t="inlineStr">
        <is>
          <t>CO</t>
        </is>
      </c>
      <c r="AD1900" t="n">
        <v>16.2</v>
      </c>
      <c r="AE1900" t="n">
        <v>9</v>
      </c>
      <c r="AF1900" t="n">
        <v>58.2</v>
      </c>
      <c r="AG1900" t="inlineStr">
        <is>
          <t>1:58.2</t>
        </is>
      </c>
      <c r="AH1900" t="inlineStr">
        <is>
          <t>0%</t>
        </is>
      </c>
      <c r="AI1900" t="inlineStr"/>
      <c r="AJ1900" t="n">
        <v>9.67</v>
      </c>
    </row>
    <row r="1901">
      <c r="A1901" t="inlineStr">
        <is>
          <t>University of Calgary</t>
        </is>
      </c>
      <c r="B1901" t="inlineStr">
        <is>
          <t>Canada</t>
        </is>
      </c>
      <c r="C1901" t="inlineStr">
        <is>
          <t>198</t>
        </is>
      </c>
      <c r="D1901" t="n">
        <v>46.3</v>
      </c>
      <c r="E1901" t="n">
        <v>37.9</v>
      </c>
      <c r="F1901" t="n">
        <v>44.5</v>
      </c>
      <c r="G1901" t="n">
        <v>18.1</v>
      </c>
      <c r="H1901" t="n">
        <v>40.3</v>
      </c>
      <c r="I1901" t="n">
        <v>77.7</v>
      </c>
      <c r="J1901" t="n">
        <v>66.2</v>
      </c>
      <c r="K1901" t="n">
        <v>85.2</v>
      </c>
      <c r="L1901" t="n">
        <v>53.3</v>
      </c>
      <c r="M1901" t="n">
        <v>93.3</v>
      </c>
      <c r="N1901" t="inlineStr">
        <is>
          <t>201–250</t>
        </is>
      </c>
      <c r="O1901" t="inlineStr">
        <is>
          <t>55.9–58.6</t>
        </is>
      </c>
      <c r="P1901" t="n">
        <v>36.5</v>
      </c>
      <c r="Q1901" t="n">
        <v>41.4</v>
      </c>
      <c r="R1901" t="n">
        <v>81.7</v>
      </c>
      <c r="S1901" t="n">
        <v>88.8</v>
      </c>
      <c r="T1901" t="n">
        <v>85.2</v>
      </c>
      <c r="U1901" t="inlineStr">
        <is>
          <t>34,012</t>
        </is>
      </c>
      <c r="V1901" t="n">
        <v>18.8</v>
      </c>
      <c r="W1901" t="inlineStr">
        <is>
          <t>24%</t>
        </is>
      </c>
      <c r="X1901" t="inlineStr">
        <is>
          <t>54 : 46</t>
        </is>
      </c>
      <c r="Y1901" t="n">
        <v>198</v>
      </c>
      <c r="Z1901" t="n">
        <v>201</v>
      </c>
      <c r="AA1901" t="n">
        <v>57.25</v>
      </c>
      <c r="AB1901" t="inlineStr">
        <is>
          <t>U1900</t>
        </is>
      </c>
      <c r="AC1901" t="inlineStr">
        <is>
          <t>CA</t>
        </is>
      </c>
      <c r="AD1901" t="n">
        <v>46.3</v>
      </c>
      <c r="AE1901" t="n">
        <v>40.3</v>
      </c>
      <c r="AF1901" t="n">
        <v>18.8</v>
      </c>
      <c r="AG1901" t="inlineStr">
        <is>
          <t>1:18.8</t>
        </is>
      </c>
      <c r="AH1901" t="inlineStr">
        <is>
          <t>24%</t>
        </is>
      </c>
      <c r="AI1901" t="n">
        <v>37.9</v>
      </c>
      <c r="AJ1901" t="n">
        <v>47.91</v>
      </c>
    </row>
    <row r="1902">
      <c r="A1902" t="inlineStr">
        <is>
          <t>University of California, Berkeley (UCB)</t>
        </is>
      </c>
      <c r="B1902" t="inlineStr">
        <is>
          <t>United States</t>
        </is>
      </c>
      <c r="C1902" t="inlineStr">
        <is>
          <t>12</t>
        </is>
      </c>
      <c r="D1902" t="n">
        <v>90.09999999999999</v>
      </c>
      <c r="E1902" t="n">
        <v>100</v>
      </c>
      <c r="F1902" t="n">
        <v>100</v>
      </c>
      <c r="G1902" t="n">
        <v>23.5</v>
      </c>
      <c r="H1902" t="n">
        <v>98.2</v>
      </c>
      <c r="I1902" t="n">
        <v>91.5</v>
      </c>
      <c r="J1902" t="n">
        <v>61</v>
      </c>
      <c r="K1902" t="n">
        <v>97.2</v>
      </c>
      <c r="L1902" t="n">
        <v>98.40000000000001</v>
      </c>
      <c r="M1902" t="n">
        <v>100</v>
      </c>
      <c r="N1902" t="inlineStr">
        <is>
          <t>9</t>
        </is>
      </c>
      <c r="O1902" t="inlineStr">
        <is>
          <t>94.6</t>
        </is>
      </c>
      <c r="P1902" t="n">
        <v>87.2</v>
      </c>
      <c r="Q1902" t="n">
        <v>98.8</v>
      </c>
      <c r="R1902" t="n">
        <v>99</v>
      </c>
      <c r="S1902" t="n">
        <v>99.40000000000001</v>
      </c>
      <c r="T1902" t="n">
        <v>86.8</v>
      </c>
      <c r="U1902" t="inlineStr">
        <is>
          <t>39,991</t>
        </is>
      </c>
      <c r="V1902" t="n">
        <v>17.9</v>
      </c>
      <c r="W1902" t="inlineStr">
        <is>
          <t>22%</t>
        </is>
      </c>
      <c r="X1902" t="inlineStr">
        <is>
          <t>52 : 48</t>
        </is>
      </c>
      <c r="Y1902" t="n">
        <v>12</v>
      </c>
      <c r="Z1902" t="n">
        <v>9</v>
      </c>
      <c r="AA1902" t="n">
        <v>94.59999999999999</v>
      </c>
      <c r="AB1902" t="inlineStr">
        <is>
          <t>U1901</t>
        </is>
      </c>
      <c r="AC1902" t="inlineStr">
        <is>
          <t>UN</t>
        </is>
      </c>
      <c r="AD1902" t="n">
        <v>90.09999999999999</v>
      </c>
      <c r="AE1902" t="n">
        <v>98.2</v>
      </c>
      <c r="AF1902" t="n">
        <v>17.9</v>
      </c>
      <c r="AG1902" t="inlineStr">
        <is>
          <t>1:17.9</t>
        </is>
      </c>
      <c r="AH1902" t="inlineStr">
        <is>
          <t>22%</t>
        </is>
      </c>
      <c r="AI1902" t="n">
        <v>100</v>
      </c>
      <c r="AJ1902" t="n">
        <v>95.92</v>
      </c>
    </row>
    <row r="1903">
      <c r="A1903" t="inlineStr">
        <is>
          <t>University of California, Davis</t>
        </is>
      </c>
      <c r="B1903" t="inlineStr">
        <is>
          <t>United States</t>
        </is>
      </c>
      <c r="C1903" t="inlineStr">
        <is>
          <t>130</t>
        </is>
      </c>
      <c r="D1903" t="n">
        <v>54.4</v>
      </c>
      <c r="E1903" t="n">
        <v>63</v>
      </c>
      <c r="F1903" t="n">
        <v>48</v>
      </c>
      <c r="G1903" t="n">
        <v>23.5</v>
      </c>
      <c r="H1903" t="n">
        <v>52.5</v>
      </c>
      <c r="I1903" t="n">
        <v>72.7</v>
      </c>
      <c r="J1903" t="n">
        <v>51.3</v>
      </c>
      <c r="K1903" t="n">
        <v>90.59999999999999</v>
      </c>
      <c r="L1903" t="n">
        <v>22.8</v>
      </c>
      <c r="M1903" t="n">
        <v>76.09999999999999</v>
      </c>
      <c r="N1903" t="inlineStr">
        <is>
          <t>59</t>
        </is>
      </c>
      <c r="O1903" t="inlineStr">
        <is>
          <t>74.1</t>
        </is>
      </c>
      <c r="P1903" t="n">
        <v>63.7</v>
      </c>
      <c r="Q1903" t="n">
        <v>67.8</v>
      </c>
      <c r="R1903" t="n">
        <v>87.2</v>
      </c>
      <c r="S1903" t="n">
        <v>91.5</v>
      </c>
      <c r="T1903" t="n">
        <v>78.7</v>
      </c>
      <c r="U1903" t="inlineStr">
        <is>
          <t>37,926</t>
        </is>
      </c>
      <c r="V1903" t="n">
        <v>13.3</v>
      </c>
      <c r="W1903" t="inlineStr">
        <is>
          <t>18%</t>
        </is>
      </c>
      <c r="X1903" t="inlineStr">
        <is>
          <t>60 : 40</t>
        </is>
      </c>
      <c r="Y1903" t="n">
        <v>130</v>
      </c>
      <c r="Z1903" t="n">
        <v>59</v>
      </c>
      <c r="AA1903" t="n">
        <v>74.09999999999999</v>
      </c>
      <c r="AB1903" t="inlineStr">
        <is>
          <t>U1902</t>
        </is>
      </c>
      <c r="AC1903" t="inlineStr">
        <is>
          <t>UN</t>
        </is>
      </c>
      <c r="AD1903" t="n">
        <v>54.4</v>
      </c>
      <c r="AE1903" t="n">
        <v>52.5</v>
      </c>
      <c r="AF1903" t="n">
        <v>13.3</v>
      </c>
      <c r="AG1903" t="inlineStr">
        <is>
          <t>1:13.3</t>
        </is>
      </c>
      <c r="AH1903" t="inlineStr">
        <is>
          <t>18%</t>
        </is>
      </c>
      <c r="AI1903" t="n">
        <v>63</v>
      </c>
      <c r="AJ1903" t="n">
        <v>63.87</v>
      </c>
    </row>
    <row r="1904">
      <c r="A1904" t="inlineStr">
        <is>
          <t>University of California, Irvine</t>
        </is>
      </c>
      <c r="B1904" t="inlineStr">
        <is>
          <t>United States</t>
        </is>
      </c>
      <c r="C1904" t="inlineStr">
        <is>
          <t>307</t>
        </is>
      </c>
      <c r="D1904" t="n">
        <v>35.5</v>
      </c>
      <c r="E1904" t="n">
        <v>37.5</v>
      </c>
      <c r="F1904" t="n">
        <v>22.3</v>
      </c>
      <c r="G1904" t="n">
        <v>17.3</v>
      </c>
      <c r="H1904" t="n">
        <v>40.7</v>
      </c>
      <c r="I1904" t="n">
        <v>43.9</v>
      </c>
      <c r="J1904" t="n">
        <v>58.7</v>
      </c>
      <c r="K1904" t="n">
        <v>84.09999999999999</v>
      </c>
      <c r="L1904" t="n">
        <v>11.2</v>
      </c>
      <c r="M1904" t="n">
        <v>36</v>
      </c>
      <c r="N1904">
        <f>92</f>
        <v/>
      </c>
      <c r="O1904" t="inlineStr">
        <is>
          <t>67.4</t>
        </is>
      </c>
      <c r="P1904" t="n">
        <v>47.1</v>
      </c>
      <c r="Q1904" t="n">
        <v>53.8</v>
      </c>
      <c r="R1904" t="n">
        <v>93.2</v>
      </c>
      <c r="S1904" t="n">
        <v>96.09999999999999</v>
      </c>
      <c r="T1904" t="n">
        <v>80.90000000000001</v>
      </c>
      <c r="U1904" t="inlineStr">
        <is>
          <t>35,675</t>
        </is>
      </c>
      <c r="V1904" t="n">
        <v>16.2</v>
      </c>
      <c r="W1904" t="inlineStr">
        <is>
          <t>26%</t>
        </is>
      </c>
      <c r="X1904" t="inlineStr">
        <is>
          <t>53 : 47</t>
        </is>
      </c>
      <c r="Y1904" t="n">
        <v>307</v>
      </c>
      <c r="Z1904" t="n">
        <v>92</v>
      </c>
      <c r="AA1904" t="n">
        <v>67.40000000000001</v>
      </c>
      <c r="AB1904" t="inlineStr">
        <is>
          <t>U1903</t>
        </is>
      </c>
      <c r="AC1904" t="inlineStr">
        <is>
          <t>UN</t>
        </is>
      </c>
      <c r="AD1904" t="n">
        <v>35.5</v>
      </c>
      <c r="AE1904" t="n">
        <v>40.7</v>
      </c>
      <c r="AF1904" t="n">
        <v>16.2</v>
      </c>
      <c r="AG1904" t="inlineStr">
        <is>
          <t>1:16.2</t>
        </is>
      </c>
      <c r="AH1904" t="inlineStr">
        <is>
          <t>26%</t>
        </is>
      </c>
      <c r="AI1904" t="n">
        <v>37.5</v>
      </c>
      <c r="AJ1904" t="n">
        <v>53.49</v>
      </c>
    </row>
    <row r="1905">
      <c r="A1905" t="inlineStr">
        <is>
          <t>University of California, Los Angeles (UCLA)</t>
        </is>
      </c>
      <c r="B1905" t="inlineStr">
        <is>
          <t>United States</t>
        </is>
      </c>
      <c r="C1905" t="inlineStr">
        <is>
          <t>42</t>
        </is>
      </c>
      <c r="D1905" t="n">
        <v>79.8</v>
      </c>
      <c r="E1905" t="n">
        <v>100</v>
      </c>
      <c r="F1905" t="n">
        <v>99.8</v>
      </c>
      <c r="G1905" t="n">
        <v>35.4</v>
      </c>
      <c r="H1905" t="n">
        <v>74</v>
      </c>
      <c r="I1905" t="n">
        <v>42.2</v>
      </c>
      <c r="J1905" t="n">
        <v>22.3</v>
      </c>
      <c r="K1905" t="n">
        <v>95.5</v>
      </c>
      <c r="L1905" t="n">
        <v>94.7</v>
      </c>
      <c r="M1905" t="n">
        <v>67.09999999999999</v>
      </c>
      <c r="N1905" t="inlineStr">
        <is>
          <t>18</t>
        </is>
      </c>
      <c r="O1905" t="inlineStr">
        <is>
          <t>90.1</t>
        </is>
      </c>
      <c r="P1905" t="n">
        <v>85.7</v>
      </c>
      <c r="Q1905" t="n">
        <v>91.90000000000001</v>
      </c>
      <c r="R1905" t="n">
        <v>96.40000000000001</v>
      </c>
      <c r="S1905" t="n">
        <v>92.3</v>
      </c>
      <c r="T1905" t="n">
        <v>74.3</v>
      </c>
      <c r="U1905" t="inlineStr">
        <is>
          <t>42,634</t>
        </is>
      </c>
      <c r="V1905" t="n">
        <v>9.6</v>
      </c>
      <c r="W1905" t="inlineStr">
        <is>
          <t>15%</t>
        </is>
      </c>
      <c r="X1905" t="inlineStr">
        <is>
          <t>56 : 44</t>
        </is>
      </c>
      <c r="Y1905" t="n">
        <v>42</v>
      </c>
      <c r="Z1905" t="n">
        <v>18</v>
      </c>
      <c r="AA1905" t="n">
        <v>90.09999999999999</v>
      </c>
      <c r="AB1905" t="inlineStr">
        <is>
          <t>U1904</t>
        </is>
      </c>
      <c r="AC1905" t="inlineStr">
        <is>
          <t>UN</t>
        </is>
      </c>
      <c r="AD1905" t="n">
        <v>79.8</v>
      </c>
      <c r="AE1905" t="n">
        <v>74</v>
      </c>
      <c r="AF1905" t="n">
        <v>9.6</v>
      </c>
      <c r="AG1905" t="inlineStr">
        <is>
          <t>1:9.6</t>
        </is>
      </c>
      <c r="AH1905" t="inlineStr">
        <is>
          <t>15%</t>
        </is>
      </c>
      <c r="AI1905" t="n">
        <v>100</v>
      </c>
      <c r="AJ1905" t="n">
        <v>81.95</v>
      </c>
    </row>
    <row r="1906">
      <c r="A1906" t="inlineStr">
        <is>
          <t>University of California, Merced</t>
        </is>
      </c>
      <c r="B1906" t="inlineStr">
        <is>
          <t>United States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>
        <is>
          <t>401–500</t>
        </is>
      </c>
      <c r="O1906" t="inlineStr">
        <is>
          <t>45.4–49.0</t>
        </is>
      </c>
      <c r="P1906" t="n">
        <v>26.2</v>
      </c>
      <c r="Q1906" t="n">
        <v>23.9</v>
      </c>
      <c r="R1906" t="n">
        <v>86.8</v>
      </c>
      <c r="S1906" t="n">
        <v>48.1</v>
      </c>
      <c r="T1906" t="n">
        <v>55</v>
      </c>
      <c r="U1906" t="inlineStr">
        <is>
          <t>9,170</t>
        </is>
      </c>
      <c r="V1906" t="n">
        <v>19.6</v>
      </c>
      <c r="W1906" t="inlineStr">
        <is>
          <t>9%</t>
        </is>
      </c>
      <c r="X1906" t="inlineStr">
        <is>
          <t>51 : 49</t>
        </is>
      </c>
      <c r="Y1906" t="inlineStr"/>
      <c r="Z1906" t="n">
        <v>401</v>
      </c>
      <c r="AA1906" t="n">
        <v>47.2</v>
      </c>
      <c r="AB1906" t="inlineStr">
        <is>
          <t>U1905</t>
        </is>
      </c>
      <c r="AC1906" t="inlineStr">
        <is>
          <t>UN</t>
        </is>
      </c>
      <c r="AD1906" t="n">
        <v>47.2</v>
      </c>
      <c r="AE1906" t="n">
        <v>86.8</v>
      </c>
      <c r="AF1906" t="n">
        <v>19.6</v>
      </c>
      <c r="AG1906" t="inlineStr">
        <is>
          <t>1:19.6</t>
        </is>
      </c>
      <c r="AH1906" t="inlineStr">
        <is>
          <t>9%</t>
        </is>
      </c>
      <c r="AI1906" t="inlineStr"/>
      <c r="AJ1906" t="n">
        <v>45.52</v>
      </c>
    </row>
    <row r="1907">
      <c r="A1907" t="inlineStr">
        <is>
          <t>University of California, Riverside</t>
        </is>
      </c>
      <c r="B1907" t="inlineStr">
        <is>
          <t>United States</t>
        </is>
      </c>
      <c r="C1907" t="inlineStr">
        <is>
          <t>497</t>
        </is>
      </c>
      <c r="D1907" t="n">
        <v>24.2</v>
      </c>
      <c r="E1907" t="n">
        <v>16.3</v>
      </c>
      <c r="F1907" t="n">
        <v>9.4</v>
      </c>
      <c r="G1907" t="n">
        <v>6.6</v>
      </c>
      <c r="H1907" t="n">
        <v>50.9</v>
      </c>
      <c r="I1907" t="n">
        <v>47.9</v>
      </c>
      <c r="J1907" t="n">
        <v>10.4</v>
      </c>
      <c r="K1907" t="n">
        <v>77.3</v>
      </c>
      <c r="L1907" t="n">
        <v>3.7</v>
      </c>
      <c r="M1907" t="n">
        <v>21.3</v>
      </c>
      <c r="N1907" t="inlineStr">
        <is>
          <t>251–300</t>
        </is>
      </c>
      <c r="O1907" t="inlineStr">
        <is>
          <t>53.1–55.8</t>
        </is>
      </c>
      <c r="P1907" t="n">
        <v>35.9</v>
      </c>
      <c r="Q1907" t="n">
        <v>35.4</v>
      </c>
      <c r="R1907" t="n">
        <v>85.7</v>
      </c>
      <c r="S1907" t="n">
        <v>70.59999999999999</v>
      </c>
      <c r="T1907" t="n">
        <v>77</v>
      </c>
      <c r="U1907" t="inlineStr">
        <is>
          <t>25,670</t>
        </is>
      </c>
      <c r="V1907" t="n">
        <v>19.6</v>
      </c>
      <c r="W1907" t="inlineStr">
        <is>
          <t>14%</t>
        </is>
      </c>
      <c r="X1907" t="inlineStr">
        <is>
          <t>53 : 47</t>
        </is>
      </c>
      <c r="Y1907" t="n">
        <v>497</v>
      </c>
      <c r="Z1907" t="n">
        <v>251</v>
      </c>
      <c r="AA1907" t="n">
        <v>54.45</v>
      </c>
      <c r="AB1907" t="inlineStr">
        <is>
          <t>U1906</t>
        </is>
      </c>
      <c r="AC1907" t="inlineStr">
        <is>
          <t>UN</t>
        </is>
      </c>
      <c r="AD1907" t="n">
        <v>24.2</v>
      </c>
      <c r="AE1907" t="n">
        <v>50.9</v>
      </c>
      <c r="AF1907" t="n">
        <v>19.6</v>
      </c>
      <c r="AG1907" t="inlineStr">
        <is>
          <t>1:19.6</t>
        </is>
      </c>
      <c r="AH1907" t="inlineStr">
        <is>
          <t>14%</t>
        </is>
      </c>
      <c r="AI1907" t="n">
        <v>16.3</v>
      </c>
      <c r="AJ1907" t="n">
        <v>45.99</v>
      </c>
    </row>
    <row r="1908">
      <c r="A1908" t="inlineStr">
        <is>
          <t>University of California, San Diego (UCSD)</t>
        </is>
      </c>
      <c r="B1908" t="inlineStr">
        <is>
          <t>United States</t>
        </is>
      </c>
      <c r="C1908" t="inlineStr">
        <is>
          <t>72</t>
        </is>
      </c>
      <c r="D1908" t="n">
        <v>67.09999999999999</v>
      </c>
      <c r="E1908" t="n">
        <v>89.3</v>
      </c>
      <c r="F1908" t="n">
        <v>57.8</v>
      </c>
      <c r="G1908" t="n">
        <v>50.8</v>
      </c>
      <c r="H1908" t="n">
        <v>67</v>
      </c>
      <c r="I1908" t="n">
        <v>54.6</v>
      </c>
      <c r="J1908" t="n">
        <v>44.3</v>
      </c>
      <c r="K1908" t="n">
        <v>95.5</v>
      </c>
      <c r="L1908" t="n">
        <v>21.7</v>
      </c>
      <c r="M1908" t="n">
        <v>44.3</v>
      </c>
      <c r="N1908" t="inlineStr">
        <is>
          <t>34</t>
        </is>
      </c>
      <c r="O1908" t="inlineStr">
        <is>
          <t>81.0</t>
        </is>
      </c>
      <c r="P1908" t="n">
        <v>66</v>
      </c>
      <c r="Q1908" t="n">
        <v>78.40000000000001</v>
      </c>
      <c r="R1908" t="n">
        <v>97.59999999999999</v>
      </c>
      <c r="S1908" t="n">
        <v>100</v>
      </c>
      <c r="T1908" t="n">
        <v>74.3</v>
      </c>
      <c r="U1908" t="inlineStr">
        <is>
          <t>40,596</t>
        </is>
      </c>
      <c r="V1908" t="n">
        <v>12</v>
      </c>
      <c r="W1908" t="inlineStr">
        <is>
          <t>19%</t>
        </is>
      </c>
      <c r="X1908" t="inlineStr">
        <is>
          <t>45 : 55</t>
        </is>
      </c>
      <c r="Y1908" t="n">
        <v>72</v>
      </c>
      <c r="Z1908" t="n">
        <v>34</v>
      </c>
      <c r="AA1908" t="n">
        <v>81</v>
      </c>
      <c r="AB1908" t="inlineStr">
        <is>
          <t>U1907</t>
        </is>
      </c>
      <c r="AC1908" t="inlineStr">
        <is>
          <t>UN</t>
        </is>
      </c>
      <c r="AD1908" t="n">
        <v>67.09999999999999</v>
      </c>
      <c r="AE1908" t="n">
        <v>67</v>
      </c>
      <c r="AF1908" t="n">
        <v>12</v>
      </c>
      <c r="AG1908" t="inlineStr">
        <is>
          <t>1:12.0</t>
        </is>
      </c>
      <c r="AH1908" t="inlineStr">
        <is>
          <t>19%</t>
        </is>
      </c>
      <c r="AI1908" t="n">
        <v>89.3</v>
      </c>
      <c r="AJ1908" t="n">
        <v>72.75</v>
      </c>
    </row>
    <row r="1909">
      <c r="A1909" t="inlineStr">
        <is>
          <t>University of California, Santa Barbara (UCSB)</t>
        </is>
      </c>
      <c r="B1909" t="inlineStr">
        <is>
          <t>United States</t>
        </is>
      </c>
      <c r="C1909" t="inlineStr">
        <is>
          <t>178</t>
        </is>
      </c>
      <c r="D1909" t="n">
        <v>48.9</v>
      </c>
      <c r="E1909" t="n">
        <v>52.6</v>
      </c>
      <c r="F1909" t="n">
        <v>21.3</v>
      </c>
      <c r="G1909" t="n">
        <v>7.7</v>
      </c>
      <c r="H1909" t="n">
        <v>97.8</v>
      </c>
      <c r="I1909" t="n">
        <v>75.40000000000001</v>
      </c>
      <c r="J1909" t="n">
        <v>17.2</v>
      </c>
      <c r="K1909" t="n">
        <v>71.2</v>
      </c>
      <c r="L1909" t="n">
        <v>7.9</v>
      </c>
      <c r="M1909" t="n">
        <v>28.4</v>
      </c>
      <c r="N1909" t="inlineStr">
        <is>
          <t>69</t>
        </is>
      </c>
      <c r="O1909" t="inlineStr">
        <is>
          <t>72.1</t>
        </is>
      </c>
      <c r="P1909" t="n">
        <v>47.4</v>
      </c>
      <c r="Q1909" t="n">
        <v>64.7</v>
      </c>
      <c r="R1909" t="n">
        <v>96.90000000000001</v>
      </c>
      <c r="S1909" t="n">
        <v>99.40000000000001</v>
      </c>
      <c r="T1909" t="n">
        <v>84</v>
      </c>
      <c r="U1909" t="inlineStr">
        <is>
          <t>25,540</t>
        </is>
      </c>
      <c r="V1909" t="n">
        <v>27.5</v>
      </c>
      <c r="W1909" t="inlineStr">
        <is>
          <t>18%</t>
        </is>
      </c>
      <c r="X1909" t="inlineStr">
        <is>
          <t>54 : 46</t>
        </is>
      </c>
      <c r="Y1909" t="n">
        <v>178</v>
      </c>
      <c r="Z1909" t="n">
        <v>69</v>
      </c>
      <c r="AA1909" t="n">
        <v>72.09999999999999</v>
      </c>
      <c r="AB1909" t="inlineStr">
        <is>
          <t>U1908</t>
        </is>
      </c>
      <c r="AC1909" t="inlineStr">
        <is>
          <t>UN</t>
        </is>
      </c>
      <c r="AD1909" t="n">
        <v>48.9</v>
      </c>
      <c r="AE1909" t="n">
        <v>97.8</v>
      </c>
      <c r="AF1909" t="n">
        <v>27.5</v>
      </c>
      <c r="AG1909" t="inlineStr">
        <is>
          <t>1:27.5</t>
        </is>
      </c>
      <c r="AH1909" t="inlineStr">
        <is>
          <t>18%</t>
        </is>
      </c>
      <c r="AI1909" t="n">
        <v>52.6</v>
      </c>
      <c r="AJ1909" t="n">
        <v>77.25</v>
      </c>
    </row>
    <row r="1910">
      <c r="A1910" t="inlineStr">
        <is>
          <t>University of California, Santa Cruz</t>
        </is>
      </c>
      <c r="B1910" t="inlineStr">
        <is>
          <t>United States</t>
        </is>
      </c>
      <c r="C1910" t="inlineStr">
        <is>
          <t>393</t>
        </is>
      </c>
      <c r="D1910" t="n">
        <v>29.9</v>
      </c>
      <c r="E1910" t="n">
        <v>17.7</v>
      </c>
      <c r="F1910" t="n">
        <v>5.9</v>
      </c>
      <c r="G1910" t="n">
        <v>7.4</v>
      </c>
      <c r="H1910" t="n">
        <v>65.3</v>
      </c>
      <c r="I1910" t="n">
        <v>53.4</v>
      </c>
      <c r="J1910" t="n">
        <v>7</v>
      </c>
      <c r="K1910" t="n">
        <v>64.5</v>
      </c>
      <c r="L1910" t="n">
        <v>6.1</v>
      </c>
      <c r="M1910" t="n">
        <v>83.59999999999999</v>
      </c>
      <c r="N1910" t="inlineStr">
        <is>
          <t>201–250</t>
        </is>
      </c>
      <c r="O1910" t="inlineStr">
        <is>
          <t>55.9–58.6</t>
        </is>
      </c>
      <c r="P1910" t="n">
        <v>34.9</v>
      </c>
      <c r="Q1910" t="n">
        <v>39.8</v>
      </c>
      <c r="R1910" t="n">
        <v>93.3</v>
      </c>
      <c r="S1910" t="n">
        <v>73.2</v>
      </c>
      <c r="T1910" t="n">
        <v>77.90000000000001</v>
      </c>
      <c r="U1910" t="inlineStr">
        <is>
          <t>19,154</t>
        </is>
      </c>
      <c r="V1910" t="n">
        <v>24.2</v>
      </c>
      <c r="W1910" t="inlineStr">
        <is>
          <t>12%</t>
        </is>
      </c>
      <c r="X1910" t="inlineStr">
        <is>
          <t>47 : 53</t>
        </is>
      </c>
      <c r="Y1910" t="n">
        <v>393</v>
      </c>
      <c r="Z1910" t="n">
        <v>201</v>
      </c>
      <c r="AA1910" t="n">
        <v>57.25</v>
      </c>
      <c r="AB1910" t="inlineStr">
        <is>
          <t>U1909</t>
        </is>
      </c>
      <c r="AC1910" t="inlineStr">
        <is>
          <t>UN</t>
        </is>
      </c>
      <c r="AD1910" t="n">
        <v>29.9</v>
      </c>
      <c r="AE1910" t="n">
        <v>65.3</v>
      </c>
      <c r="AF1910" t="n">
        <v>24.2</v>
      </c>
      <c r="AG1910" t="inlineStr">
        <is>
          <t>1:24.2</t>
        </is>
      </c>
      <c r="AH1910" t="inlineStr">
        <is>
          <t>12%</t>
        </is>
      </c>
      <c r="AI1910" t="n">
        <v>17.7</v>
      </c>
      <c r="AJ1910" t="n">
        <v>52.88</v>
      </c>
    </row>
    <row r="1911">
      <c r="A1911" t="inlineStr">
        <is>
          <t>University of Cambridge</t>
        </is>
      </c>
      <c r="B1911" t="inlineStr">
        <is>
          <t>United Kingdom</t>
        </is>
      </c>
      <c r="C1911" t="inlineStr">
        <is>
          <t>5</t>
        </is>
      </c>
      <c r="D1911" t="n">
        <v>96.7</v>
      </c>
      <c r="E1911" t="n">
        <v>100</v>
      </c>
      <c r="F1911" t="n">
        <v>100</v>
      </c>
      <c r="G1911" t="n">
        <v>100</v>
      </c>
      <c r="H1911" t="n">
        <v>84.59999999999999</v>
      </c>
      <c r="I1911" t="n">
        <v>100</v>
      </c>
      <c r="J1911" t="n">
        <v>94.8</v>
      </c>
      <c r="K1911" t="n">
        <v>99.3</v>
      </c>
      <c r="L1911" t="n">
        <v>100</v>
      </c>
      <c r="M1911" t="n">
        <v>84.8</v>
      </c>
      <c r="N1911" t="inlineStr">
        <is>
          <t>5</t>
        </is>
      </c>
      <c r="O1911" t="inlineStr">
        <is>
          <t>97.5</t>
        </is>
      </c>
      <c r="P1911" t="n">
        <v>95.8</v>
      </c>
      <c r="Q1911" t="n">
        <v>100</v>
      </c>
      <c r="R1911" t="n">
        <v>98</v>
      </c>
      <c r="S1911" t="n">
        <v>87.90000000000001</v>
      </c>
      <c r="T1911" t="n">
        <v>97.40000000000001</v>
      </c>
      <c r="U1911" t="inlineStr">
        <is>
          <t>20,565</t>
        </is>
      </c>
      <c r="V1911" t="n">
        <v>11.5</v>
      </c>
      <c r="W1911" t="inlineStr">
        <is>
          <t>38%</t>
        </is>
      </c>
      <c r="X1911" t="inlineStr">
        <is>
          <t>48 : 52</t>
        </is>
      </c>
      <c r="Y1911" t="n">
        <v>5</v>
      </c>
      <c r="Z1911" t="n">
        <v>5</v>
      </c>
      <c r="AA1911" t="n">
        <v>97.5</v>
      </c>
      <c r="AB1911" t="inlineStr">
        <is>
          <t>U1910</t>
        </is>
      </c>
      <c r="AC1911" t="inlineStr">
        <is>
          <t>UN</t>
        </is>
      </c>
      <c r="AD1911" t="n">
        <v>96.7</v>
      </c>
      <c r="AE1911" t="n">
        <v>84.59999999999999</v>
      </c>
      <c r="AF1911" t="n">
        <v>11.5</v>
      </c>
      <c r="AG1911" t="inlineStr">
        <is>
          <t>1:11.5</t>
        </is>
      </c>
      <c r="AH1911" t="inlineStr">
        <is>
          <t>38%</t>
        </is>
      </c>
      <c r="AI1911" t="n">
        <v>100</v>
      </c>
      <c r="AJ1911" t="n">
        <v>94.98999999999999</v>
      </c>
    </row>
    <row r="1912">
      <c r="A1912" t="inlineStr">
        <is>
          <t>University of Camerino (Unicam)</t>
        </is>
      </c>
      <c r="B1912" t="inlineStr">
        <is>
          <t>Italy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>
        <is>
          <t>801–1000</t>
        </is>
      </c>
      <c r="O1912" t="inlineStr">
        <is>
          <t>32.7–36.9</t>
        </is>
      </c>
      <c r="P1912" t="n">
        <v>18</v>
      </c>
      <c r="Q1912" t="n">
        <v>17.6</v>
      </c>
      <c r="R1912" t="n">
        <v>58.6</v>
      </c>
      <c r="S1912" t="n">
        <v>60</v>
      </c>
      <c r="T1912" t="n">
        <v>53</v>
      </c>
      <c r="U1912" t="inlineStr">
        <is>
          <t>8,586</t>
        </is>
      </c>
      <c r="V1912" t="n">
        <v>30.1</v>
      </c>
      <c r="W1912" t="inlineStr">
        <is>
          <t>9%</t>
        </is>
      </c>
      <c r="X1912" t="inlineStr">
        <is>
          <t>52 : 48</t>
        </is>
      </c>
      <c r="Y1912" t="inlineStr"/>
      <c r="Z1912" t="n">
        <v>801</v>
      </c>
      <c r="AA1912" t="n">
        <v>34.8</v>
      </c>
      <c r="AB1912" t="inlineStr">
        <is>
          <t>U1911</t>
        </is>
      </c>
      <c r="AC1912" t="inlineStr">
        <is>
          <t>IT</t>
        </is>
      </c>
      <c r="AD1912" t="n">
        <v>34.8</v>
      </c>
      <c r="AE1912" t="n">
        <v>58.6</v>
      </c>
      <c r="AF1912" t="n">
        <v>30.1</v>
      </c>
      <c r="AG1912" t="inlineStr">
        <is>
          <t>1:30.1</t>
        </is>
      </c>
      <c r="AH1912" t="inlineStr">
        <is>
          <t>9%</t>
        </is>
      </c>
      <c r="AI1912" t="inlineStr"/>
      <c r="AJ1912" t="n">
        <v>33.19</v>
      </c>
    </row>
    <row r="1913">
      <c r="A1913" t="inlineStr">
        <is>
          <t>University of Campania Luigi Vanvitelli</t>
        </is>
      </c>
      <c r="B1913" t="inlineStr">
        <is>
          <t>Italy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>
        <is>
          <t>601–800</t>
        </is>
      </c>
      <c r="O1913" t="inlineStr">
        <is>
          <t>37.0–41.8</t>
        </is>
      </c>
      <c r="P1913" t="n">
        <v>25.6</v>
      </c>
      <c r="Q1913" t="n">
        <v>9.6</v>
      </c>
      <c r="R1913" t="n">
        <v>79</v>
      </c>
      <c r="S1913" t="n">
        <v>47.7</v>
      </c>
      <c r="T1913" t="n">
        <v>31.6</v>
      </c>
      <c r="U1913" t="inlineStr">
        <is>
          <t>28,065</t>
        </is>
      </c>
      <c r="V1913" t="n">
        <v>28.9</v>
      </c>
      <c r="W1913" t="inlineStr">
        <is>
          <t>2%</t>
        </is>
      </c>
      <c r="X1913" t="inlineStr">
        <is>
          <t>45 : 55</t>
        </is>
      </c>
      <c r="Y1913" t="inlineStr"/>
      <c r="Z1913" t="n">
        <v>601</v>
      </c>
      <c r="AA1913" t="n">
        <v>39.4</v>
      </c>
      <c r="AB1913" t="inlineStr">
        <is>
          <t>U1912</t>
        </is>
      </c>
      <c r="AC1913" t="inlineStr">
        <is>
          <t>IT</t>
        </is>
      </c>
      <c r="AD1913" t="n">
        <v>39.4</v>
      </c>
      <c r="AE1913" t="n">
        <v>79</v>
      </c>
      <c r="AF1913" t="n">
        <v>28.9</v>
      </c>
      <c r="AG1913" t="inlineStr">
        <is>
          <t>1:28.9</t>
        </is>
      </c>
      <c r="AH1913" t="inlineStr">
        <is>
          <t>2%</t>
        </is>
      </c>
      <c r="AI1913" t="inlineStr"/>
      <c r="AJ1913" t="n">
        <v>30.01</v>
      </c>
    </row>
    <row r="1914">
      <c r="A1914" t="inlineStr">
        <is>
          <t>University of Campinas</t>
        </is>
      </c>
      <c r="B1914" t="inlineStr">
        <is>
          <t>Brazil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>
        <is>
          <t>351–400</t>
        </is>
      </c>
      <c r="O1914" t="inlineStr">
        <is>
          <t>49.1–51.0</t>
        </is>
      </c>
      <c r="P1914" t="n">
        <v>50</v>
      </c>
      <c r="Q1914" t="n">
        <v>45.5</v>
      </c>
      <c r="R1914" t="n">
        <v>54</v>
      </c>
      <c r="S1914" t="n">
        <v>65.5</v>
      </c>
      <c r="T1914" t="n">
        <v>40.4</v>
      </c>
      <c r="U1914" t="inlineStr">
        <is>
          <t>32,252</t>
        </is>
      </c>
      <c r="V1914" t="n">
        <v>18.9</v>
      </c>
      <c r="W1914" t="inlineStr">
        <is>
          <t>3%</t>
        </is>
      </c>
      <c r="X1914" t="inlineStr">
        <is>
          <t>46 : 54</t>
        </is>
      </c>
      <c r="Y1914" t="inlineStr"/>
      <c r="Z1914" t="n">
        <v>351</v>
      </c>
      <c r="AA1914" t="n">
        <v>50.05</v>
      </c>
      <c r="AB1914" t="inlineStr">
        <is>
          <t>U1913</t>
        </is>
      </c>
      <c r="AC1914" t="inlineStr">
        <is>
          <t>BR</t>
        </is>
      </c>
      <c r="AD1914" t="n">
        <v>50.05</v>
      </c>
      <c r="AE1914" t="n">
        <v>54</v>
      </c>
      <c r="AF1914" t="n">
        <v>18.9</v>
      </c>
      <c r="AG1914" t="inlineStr">
        <is>
          <t>1:18.9</t>
        </is>
      </c>
      <c r="AH1914" t="inlineStr">
        <is>
          <t>3%</t>
        </is>
      </c>
      <c r="AI1914" t="inlineStr"/>
      <c r="AJ1914" t="n">
        <v>43.37</v>
      </c>
    </row>
    <row r="1915">
      <c r="A1915" t="inlineStr">
        <is>
          <t xml:space="preserve">University of Canberra </t>
        </is>
      </c>
      <c r="B1915" t="inlineStr">
        <is>
          <t>Australia</t>
        </is>
      </c>
      <c r="C1915" t="inlineStr">
        <is>
          <t>403</t>
        </is>
      </c>
      <c r="D1915" t="n">
        <v>29.5</v>
      </c>
      <c r="E1915" t="n">
        <v>14.3</v>
      </c>
      <c r="F1915" t="n">
        <v>7.7</v>
      </c>
      <c r="G1915" t="n">
        <v>2.4</v>
      </c>
      <c r="H1915" t="n">
        <v>51.2</v>
      </c>
      <c r="I1915" t="n">
        <v>79.59999999999999</v>
      </c>
      <c r="J1915" t="n">
        <v>69.40000000000001</v>
      </c>
      <c r="K1915" t="n">
        <v>63.1</v>
      </c>
      <c r="L1915" t="n">
        <v>5.6</v>
      </c>
      <c r="M1915" t="n">
        <v>70.90000000000001</v>
      </c>
      <c r="N1915" t="inlineStr">
        <is>
          <t>351–400</t>
        </is>
      </c>
      <c r="O1915" t="inlineStr">
        <is>
          <t>49.1–51.0</t>
        </is>
      </c>
      <c r="P1915" t="n">
        <v>24.1</v>
      </c>
      <c r="Q1915" t="n">
        <v>31.6</v>
      </c>
      <c r="R1915" t="n">
        <v>82.40000000000001</v>
      </c>
      <c r="S1915" t="n">
        <v>40.8</v>
      </c>
      <c r="T1915" t="n">
        <v>88.3</v>
      </c>
      <c r="U1915" t="inlineStr">
        <is>
          <t>11,299</t>
        </is>
      </c>
      <c r="V1915" t="n">
        <v>34.4</v>
      </c>
      <c r="W1915" t="inlineStr">
        <is>
          <t>23%</t>
        </is>
      </c>
      <c r="X1915" t="inlineStr">
        <is>
          <t>56 : 44</t>
        </is>
      </c>
      <c r="Y1915" t="n">
        <v>403</v>
      </c>
      <c r="Z1915" t="n">
        <v>351</v>
      </c>
      <c r="AA1915" t="n">
        <v>50.05</v>
      </c>
      <c r="AB1915" t="inlineStr">
        <is>
          <t>U1914</t>
        </is>
      </c>
      <c r="AC1915" t="inlineStr">
        <is>
          <t>AU</t>
        </is>
      </c>
      <c r="AD1915" t="n">
        <v>29.5</v>
      </c>
      <c r="AE1915" t="n">
        <v>51.2</v>
      </c>
      <c r="AF1915" t="n">
        <v>34.4</v>
      </c>
      <c r="AG1915" t="inlineStr">
        <is>
          <t>1:34.4</t>
        </is>
      </c>
      <c r="AH1915" t="inlineStr">
        <is>
          <t>23%</t>
        </is>
      </c>
      <c r="AI1915" t="n">
        <v>14.3</v>
      </c>
      <c r="AJ1915" t="n">
        <v>46.82</v>
      </c>
    </row>
    <row r="1916">
      <c r="A1916" t="inlineStr">
        <is>
          <t>University of Canterbury</t>
        </is>
      </c>
      <c r="B1916" t="inlineStr">
        <is>
          <t>New Zealand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>
        <is>
          <t>501–600</t>
        </is>
      </c>
      <c r="O1916" t="inlineStr">
        <is>
          <t>41.9–45.3</t>
        </is>
      </c>
      <c r="P1916" t="n">
        <v>28.6</v>
      </c>
      <c r="Q1916" t="n">
        <v>30.9</v>
      </c>
      <c r="R1916" t="n">
        <v>62.4</v>
      </c>
      <c r="S1916" t="n">
        <v>68.2</v>
      </c>
      <c r="T1916" t="n">
        <v>85.09999999999999</v>
      </c>
      <c r="U1916" t="inlineStr">
        <is>
          <t>16,102</t>
        </is>
      </c>
      <c r="V1916" t="n">
        <v>22</v>
      </c>
      <c r="W1916" t="inlineStr">
        <is>
          <t>18%</t>
        </is>
      </c>
      <c r="X1916" t="inlineStr">
        <is>
          <t>52 : 48</t>
        </is>
      </c>
      <c r="Y1916" t="inlineStr"/>
      <c r="Z1916" t="n">
        <v>501</v>
      </c>
      <c r="AA1916" t="n">
        <v>43.59999999999999</v>
      </c>
      <c r="AB1916" t="inlineStr">
        <is>
          <t>U1915</t>
        </is>
      </c>
      <c r="AC1916" t="inlineStr">
        <is>
          <t>NE</t>
        </is>
      </c>
      <c r="AD1916" t="n">
        <v>43.59999999999999</v>
      </c>
      <c r="AE1916" t="n">
        <v>62.4</v>
      </c>
      <c r="AF1916" t="n">
        <v>22</v>
      </c>
      <c r="AG1916" t="inlineStr">
        <is>
          <t>1:22.0</t>
        </is>
      </c>
      <c r="AH1916" t="inlineStr">
        <is>
          <t>18%</t>
        </is>
      </c>
      <c r="AI1916" t="inlineStr"/>
      <c r="AJ1916" t="n">
        <v>49.08</v>
      </c>
    </row>
    <row r="1917">
      <c r="A1917" t="inlineStr">
        <is>
          <t>University of Canterbury | Te Whare W?nanga o Waitaha</t>
        </is>
      </c>
      <c r="B1917" t="inlineStr">
        <is>
          <t>New Zealand</t>
        </is>
      </c>
      <c r="C1917" t="inlineStr">
        <is>
          <t>261</t>
        </is>
      </c>
      <c r="D1917" t="n">
        <v>39.4</v>
      </c>
      <c r="E1917" t="n">
        <v>34.7</v>
      </c>
      <c r="F1917" t="n">
        <v>27.3</v>
      </c>
      <c r="G1917" t="n">
        <v>10.4</v>
      </c>
      <c r="H1917" t="n">
        <v>31.4</v>
      </c>
      <c r="I1917" t="n">
        <v>100</v>
      </c>
      <c r="J1917" t="n">
        <v>27.7</v>
      </c>
      <c r="K1917" t="n">
        <v>63</v>
      </c>
      <c r="L1917" t="n">
        <v>82.3</v>
      </c>
      <c r="M1917" t="n">
        <v>91.09999999999999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n">
        <v>261</v>
      </c>
      <c r="Z1917" t="inlineStr"/>
      <c r="AA1917" t="inlineStr"/>
      <c r="AB1917" t="inlineStr">
        <is>
          <t>U1916</t>
        </is>
      </c>
      <c r="AC1917" t="inlineStr">
        <is>
          <t>NE</t>
        </is>
      </c>
      <c r="AD1917" t="n">
        <v>39.4</v>
      </c>
      <c r="AE1917" t="n">
        <v>31.4</v>
      </c>
      <c r="AF1917" t="inlineStr"/>
      <c r="AG1917" t="inlineStr"/>
      <c r="AH1917" t="inlineStr"/>
      <c r="AI1917" t="n">
        <v>34.7</v>
      </c>
      <c r="AJ1917" t="n">
        <v>22.9</v>
      </c>
    </row>
    <row r="1918">
      <c r="A1918" t="inlineStr">
        <is>
          <t>University of Cape Coast</t>
        </is>
      </c>
      <c r="B1918" t="inlineStr">
        <is>
          <t>Ghana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>
        <is>
          <t>601–800</t>
        </is>
      </c>
      <c r="O1918" t="inlineStr">
        <is>
          <t>37.0–41.8</t>
        </is>
      </c>
      <c r="P1918" t="n">
        <v>16.5</v>
      </c>
      <c r="Q1918" t="n">
        <v>23.8</v>
      </c>
      <c r="R1918" t="n">
        <v>71</v>
      </c>
      <c r="S1918" t="n">
        <v>44.6</v>
      </c>
      <c r="T1918" t="n">
        <v>46.9</v>
      </c>
      <c r="U1918" t="inlineStr">
        <is>
          <t>32,167</t>
        </is>
      </c>
      <c r="V1918" t="n">
        <v>38.6</v>
      </c>
      <c r="W1918" t="inlineStr">
        <is>
          <t>0%</t>
        </is>
      </c>
      <c r="X1918" t="inlineStr">
        <is>
          <t>33 : 67</t>
        </is>
      </c>
      <c r="Y1918" t="inlineStr"/>
      <c r="Z1918" t="n">
        <v>601</v>
      </c>
      <c r="AA1918" t="n">
        <v>39.4</v>
      </c>
      <c r="AB1918" t="inlineStr">
        <is>
          <t>U1917</t>
        </is>
      </c>
      <c r="AC1918" t="inlineStr">
        <is>
          <t>GH</t>
        </is>
      </c>
      <c r="AD1918" t="n">
        <v>39.4</v>
      </c>
      <c r="AE1918" t="n">
        <v>71</v>
      </c>
      <c r="AF1918" t="n">
        <v>38.6</v>
      </c>
      <c r="AG1918" t="inlineStr">
        <is>
          <t>1:38.6</t>
        </is>
      </c>
      <c r="AH1918" t="inlineStr">
        <is>
          <t>0%</t>
        </is>
      </c>
      <c r="AI1918" t="inlineStr"/>
      <c r="AJ1918" t="n">
        <v>38.72</v>
      </c>
    </row>
    <row r="1919">
      <c r="A1919" t="inlineStr">
        <is>
          <t>University of Cape Town</t>
        </is>
      </c>
      <c r="B1919" t="inlineStr">
        <is>
          <t>South Africa</t>
        </is>
      </c>
      <c r="C1919" t="inlineStr">
        <is>
          <t>171</t>
        </is>
      </c>
      <c r="D1919" t="n">
        <v>50</v>
      </c>
      <c r="E1919" t="n">
        <v>45.2</v>
      </c>
      <c r="F1919" t="n">
        <v>51.8</v>
      </c>
      <c r="G1919" t="n">
        <v>13.8</v>
      </c>
      <c r="H1919" t="n">
        <v>46.8</v>
      </c>
      <c r="I1919" t="n">
        <v>56.5</v>
      </c>
      <c r="J1919" t="n">
        <v>19.2</v>
      </c>
      <c r="K1919" t="n">
        <v>97.3</v>
      </c>
      <c r="L1919" t="n">
        <v>95.8</v>
      </c>
      <c r="M1919" t="n">
        <v>95.59999999999999</v>
      </c>
      <c r="N1919" t="inlineStr">
        <is>
          <t>167</t>
        </is>
      </c>
      <c r="O1919" t="inlineStr">
        <is>
          <t>60.9</t>
        </is>
      </c>
      <c r="P1919" t="n">
        <v>38.7</v>
      </c>
      <c r="Q1919" t="n">
        <v>47</v>
      </c>
      <c r="R1919" t="n">
        <v>88.3</v>
      </c>
      <c r="S1919" t="n">
        <v>78.2</v>
      </c>
      <c r="T1919" t="n">
        <v>82.90000000000001</v>
      </c>
      <c r="U1919" t="inlineStr">
        <is>
          <t>21,961</t>
        </is>
      </c>
      <c r="V1919" t="n">
        <v>13.6</v>
      </c>
      <c r="W1919" t="inlineStr">
        <is>
          <t>13%</t>
        </is>
      </c>
      <c r="X1919" t="inlineStr">
        <is>
          <t>54 : 46</t>
        </is>
      </c>
      <c r="Y1919" t="n">
        <v>171</v>
      </c>
      <c r="Z1919" t="n">
        <v>167</v>
      </c>
      <c r="AA1919" t="n">
        <v>60.9</v>
      </c>
      <c r="AB1919" t="inlineStr">
        <is>
          <t>U1918</t>
        </is>
      </c>
      <c r="AC1919" t="inlineStr">
        <is>
          <t>SO</t>
        </is>
      </c>
      <c r="AD1919" t="n">
        <v>50</v>
      </c>
      <c r="AE1919" t="n">
        <v>46.8</v>
      </c>
      <c r="AF1919" t="n">
        <v>13.6</v>
      </c>
      <c r="AG1919" t="inlineStr">
        <is>
          <t>1:13.6</t>
        </is>
      </c>
      <c r="AH1919" t="inlineStr">
        <is>
          <t>13%</t>
        </is>
      </c>
      <c r="AI1919" t="n">
        <v>45.2</v>
      </c>
      <c r="AJ1919" t="n">
        <v>52.26</v>
      </c>
    </row>
    <row r="1920">
      <c r="A1920" t="inlineStr">
        <is>
          <t>University of Carthage</t>
        </is>
      </c>
      <c r="B1920" t="inlineStr">
        <is>
          <t>Tunisia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>
        <is>
          <t>1201–1500</t>
        </is>
      </c>
      <c r="O1920" t="inlineStr">
        <is>
          <t>22.8–28.2</t>
        </is>
      </c>
      <c r="P1920" t="n">
        <v>23.8</v>
      </c>
      <c r="Q1920" t="n">
        <v>9.9</v>
      </c>
      <c r="R1920" t="n">
        <v>31.2</v>
      </c>
      <c r="S1920" t="n">
        <v>20.7</v>
      </c>
      <c r="T1920" t="n">
        <v>44.4</v>
      </c>
      <c r="U1920" t="inlineStr">
        <is>
          <t>29,691</t>
        </is>
      </c>
      <c r="V1920" t="n">
        <v>10.1</v>
      </c>
      <c r="W1920" t="inlineStr">
        <is>
          <t>1%</t>
        </is>
      </c>
      <c r="X1920" t="inlineStr">
        <is>
          <t>63 : 37</t>
        </is>
      </c>
      <c r="Y1920" t="inlineStr"/>
      <c r="Z1920" t="n">
        <v>1201</v>
      </c>
      <c r="AA1920" t="n">
        <v>25.5</v>
      </c>
      <c r="AB1920" t="inlineStr">
        <is>
          <t>U1919</t>
        </is>
      </c>
      <c r="AC1920" t="inlineStr">
        <is>
          <t>TU</t>
        </is>
      </c>
      <c r="AD1920" t="n">
        <v>25.5</v>
      </c>
      <c r="AE1920" t="n">
        <v>31.2</v>
      </c>
      <c r="AF1920" t="n">
        <v>10.1</v>
      </c>
      <c r="AG1920" t="inlineStr">
        <is>
          <t>1:10.1</t>
        </is>
      </c>
      <c r="AH1920" t="inlineStr">
        <is>
          <t>1%</t>
        </is>
      </c>
      <c r="AI1920" t="inlineStr"/>
      <c r="AJ1920" t="n">
        <v>18.77</v>
      </c>
    </row>
    <row r="1921">
      <c r="A1921" t="inlineStr">
        <is>
          <t>University of Castilla-La Mancha</t>
        </is>
      </c>
      <c r="B1921" t="inlineStr">
        <is>
          <t>Spain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>
        <is>
          <t>801–1000</t>
        </is>
      </c>
      <c r="O1921" t="inlineStr">
        <is>
          <t>32.7–36.9</t>
        </is>
      </c>
      <c r="P1921" t="n">
        <v>24.2</v>
      </c>
      <c r="Q1921" t="n">
        <v>17.2</v>
      </c>
      <c r="R1921" t="n">
        <v>53.7</v>
      </c>
      <c r="S1921" t="n">
        <v>46.3</v>
      </c>
      <c r="T1921" t="n">
        <v>42</v>
      </c>
      <c r="U1921" t="inlineStr">
        <is>
          <t>23,045</t>
        </is>
      </c>
      <c r="V1921" t="n">
        <v>12.8</v>
      </c>
      <c r="W1921" t="inlineStr">
        <is>
          <t>7%</t>
        </is>
      </c>
      <c r="X1921" t="inlineStr">
        <is>
          <t>57 : 43</t>
        </is>
      </c>
      <c r="Y1921" t="inlineStr"/>
      <c r="Z1921" t="n">
        <v>801</v>
      </c>
      <c r="AA1921" t="n">
        <v>34.8</v>
      </c>
      <c r="AB1921" t="inlineStr">
        <is>
          <t>U1920</t>
        </is>
      </c>
      <c r="AC1921" t="inlineStr">
        <is>
          <t>SP</t>
        </is>
      </c>
      <c r="AD1921" t="n">
        <v>34.8</v>
      </c>
      <c r="AE1921" t="n">
        <v>53.7</v>
      </c>
      <c r="AF1921" t="n">
        <v>12.8</v>
      </c>
      <c r="AG1921" t="inlineStr">
        <is>
          <t>1:12.8</t>
        </is>
      </c>
      <c r="AH1921" t="inlineStr">
        <is>
          <t>7%</t>
        </is>
      </c>
      <c r="AI1921" t="inlineStr"/>
      <c r="AJ1921" t="n">
        <v>28.84</v>
      </c>
    </row>
    <row r="1922">
      <c r="A1922" t="inlineStr">
        <is>
          <t>University of Catania</t>
        </is>
      </c>
      <c r="B1922" t="inlineStr">
        <is>
          <t>Italy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>
        <is>
          <t>401–500</t>
        </is>
      </c>
      <c r="O1922" t="inlineStr">
        <is>
          <t>45.4–49.0</t>
        </is>
      </c>
      <c r="P1922" t="n">
        <v>32.4</v>
      </c>
      <c r="Q1922" t="n">
        <v>22.7</v>
      </c>
      <c r="R1922" t="n">
        <v>81.2</v>
      </c>
      <c r="S1922" t="n">
        <v>59</v>
      </c>
      <c r="T1922" t="n">
        <v>34.9</v>
      </c>
      <c r="U1922" t="inlineStr">
        <is>
          <t>26,717</t>
        </is>
      </c>
      <c r="V1922" t="n">
        <v>22.2</v>
      </c>
      <c r="W1922" t="inlineStr">
        <is>
          <t>3%</t>
        </is>
      </c>
      <c r="X1922" t="inlineStr">
        <is>
          <t>57 : 43</t>
        </is>
      </c>
      <c r="Y1922" t="inlineStr"/>
      <c r="Z1922" t="n">
        <v>401</v>
      </c>
      <c r="AA1922" t="n">
        <v>47.2</v>
      </c>
      <c r="AB1922" t="inlineStr">
        <is>
          <t>U1921</t>
        </is>
      </c>
      <c r="AC1922" t="inlineStr">
        <is>
          <t>IT</t>
        </is>
      </c>
      <c r="AD1922" t="n">
        <v>47.2</v>
      </c>
      <c r="AE1922" t="n">
        <v>81.2</v>
      </c>
      <c r="AF1922" t="n">
        <v>22.2</v>
      </c>
      <c r="AG1922" t="inlineStr">
        <is>
          <t>1:22.2</t>
        </is>
      </c>
      <c r="AH1922" t="inlineStr">
        <is>
          <t>3%</t>
        </is>
      </c>
      <c r="AI1922" t="inlineStr"/>
      <c r="AJ1922" t="n">
        <v>38.34</v>
      </c>
    </row>
    <row r="1923">
      <c r="A1923" t="inlineStr">
        <is>
          <t>University of Caxias do Sul</t>
        </is>
      </c>
      <c r="B1923" t="inlineStr">
        <is>
          <t>Brazil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>
        <is>
          <t>1501+</t>
        </is>
      </c>
      <c r="O1923" t="inlineStr">
        <is>
          <t>9.7–22.7</t>
        </is>
      </c>
      <c r="P1923" t="n">
        <v>15.9</v>
      </c>
      <c r="Q1923" t="n">
        <v>9.4</v>
      </c>
      <c r="R1923" t="n">
        <v>11.8</v>
      </c>
      <c r="S1923" t="n">
        <v>22.3</v>
      </c>
      <c r="T1923" t="n">
        <v>21.6</v>
      </c>
      <c r="U1923" t="inlineStr">
        <is>
          <t>15,054</t>
        </is>
      </c>
      <c r="V1923" t="n">
        <v>30.4</v>
      </c>
      <c r="W1923" t="inlineStr">
        <is>
          <t>0%</t>
        </is>
      </c>
      <c r="X1923" t="inlineStr">
        <is>
          <t>53 : 47</t>
        </is>
      </c>
      <c r="Y1923" t="inlineStr"/>
      <c r="Z1923" t="n">
        <v>1501</v>
      </c>
      <c r="AA1923" t="n">
        <v>16.2</v>
      </c>
      <c r="AB1923" t="inlineStr">
        <is>
          <t>U1922</t>
        </is>
      </c>
      <c r="AC1923" t="inlineStr">
        <is>
          <t>BR</t>
        </is>
      </c>
      <c r="AD1923" t="n">
        <v>16.2</v>
      </c>
      <c r="AE1923" t="n">
        <v>11.8</v>
      </c>
      <c r="AF1923" t="n">
        <v>30.4</v>
      </c>
      <c r="AG1923" t="inlineStr">
        <is>
          <t>1:30.4</t>
        </is>
      </c>
      <c r="AH1923" t="inlineStr">
        <is>
          <t>0%</t>
        </is>
      </c>
      <c r="AI1923" t="inlineStr"/>
      <c r="AJ1923" t="n">
        <v>7.12</v>
      </c>
    </row>
    <row r="1924">
      <c r="A1924" t="inlineStr">
        <is>
          <t>University of Central Florida</t>
        </is>
      </c>
      <c r="B1924" t="inlineStr">
        <is>
          <t>United States</t>
        </is>
      </c>
      <c r="C1924" t="inlineStr">
        <is>
          <t>741-750</t>
        </is>
      </c>
      <c r="D1924" t="inlineStr"/>
      <c r="E1924" t="n">
        <v>13.7</v>
      </c>
      <c r="F1924" t="n">
        <v>23</v>
      </c>
      <c r="G1924" t="n">
        <v>2.9</v>
      </c>
      <c r="H1924" t="n">
        <v>23.6</v>
      </c>
      <c r="I1924" t="n">
        <v>9.5</v>
      </c>
      <c r="J1924" t="n">
        <v>4.3</v>
      </c>
      <c r="K1924" t="n">
        <v>72.2</v>
      </c>
      <c r="L1924" t="n">
        <v>9.199999999999999</v>
      </c>
      <c r="M1924" t="n">
        <v>12.1</v>
      </c>
      <c r="N1924" t="inlineStr">
        <is>
          <t>401–500</t>
        </is>
      </c>
      <c r="O1924" t="inlineStr">
        <is>
          <t>45.4–49.0</t>
        </is>
      </c>
      <c r="P1924" t="n">
        <v>28.5</v>
      </c>
      <c r="Q1924" t="n">
        <v>34.4</v>
      </c>
      <c r="R1924" t="n">
        <v>74.7</v>
      </c>
      <c r="S1924" t="n">
        <v>78.3</v>
      </c>
      <c r="T1924" t="n">
        <v>39.9</v>
      </c>
      <c r="U1924" t="inlineStr">
        <is>
          <t>65,269</t>
        </is>
      </c>
      <c r="V1924" t="n">
        <v>39.1</v>
      </c>
      <c r="W1924" t="inlineStr">
        <is>
          <t>4%</t>
        </is>
      </c>
      <c r="X1924" t="inlineStr">
        <is>
          <t>57 : 43</t>
        </is>
      </c>
      <c r="Y1924" t="n">
        <v>741</v>
      </c>
      <c r="Z1924" t="n">
        <v>401</v>
      </c>
      <c r="AA1924" t="n">
        <v>47.2</v>
      </c>
      <c r="AB1924" t="inlineStr">
        <is>
          <t>U1923</t>
        </is>
      </c>
      <c r="AC1924" t="inlineStr">
        <is>
          <t>UN</t>
        </is>
      </c>
      <c r="AD1924" t="n">
        <v>47.2</v>
      </c>
      <c r="AE1924" t="n">
        <v>23.6</v>
      </c>
      <c r="AF1924" t="n">
        <v>39.1</v>
      </c>
      <c r="AG1924" t="inlineStr">
        <is>
          <t>1:39.1</t>
        </is>
      </c>
      <c r="AH1924" t="inlineStr">
        <is>
          <t>4%</t>
        </is>
      </c>
      <c r="AI1924" t="n">
        <v>13.7</v>
      </c>
      <c r="AJ1924" t="n">
        <v>28.22</v>
      </c>
    </row>
    <row r="1925">
      <c r="A1925" t="inlineStr">
        <is>
          <t>University of Central Lancashire</t>
        </is>
      </c>
      <c r="B1925" t="inlineStr">
        <is>
          <t>United Kingdom</t>
        </is>
      </c>
      <c r="C1925" t="inlineStr">
        <is>
          <t>951-1000</t>
        </is>
      </c>
      <c r="D1925" t="inlineStr"/>
      <c r="E1925" t="n">
        <v>5.4</v>
      </c>
      <c r="F1925" t="n">
        <v>4.9</v>
      </c>
      <c r="G1925" t="n">
        <v>10.9</v>
      </c>
      <c r="H1925" t="n">
        <v>3.8</v>
      </c>
      <c r="I1925" t="n">
        <v>35.5</v>
      </c>
      <c r="J1925" t="n">
        <v>82</v>
      </c>
      <c r="K1925" t="n">
        <v>53.9</v>
      </c>
      <c r="L1925" t="n">
        <v>2.1</v>
      </c>
      <c r="M1925" t="n">
        <v>1.5</v>
      </c>
      <c r="N1925" t="inlineStr">
        <is>
          <t>1001–1200</t>
        </is>
      </c>
      <c r="O1925" t="inlineStr">
        <is>
          <t>28.3–32.6</t>
        </is>
      </c>
      <c r="P1925" t="n">
        <v>18.3</v>
      </c>
      <c r="Q1925" t="n">
        <v>13.8</v>
      </c>
      <c r="R1925" t="n">
        <v>51.9</v>
      </c>
      <c r="S1925" t="n">
        <v>34.3</v>
      </c>
      <c r="T1925" t="n">
        <v>82.3</v>
      </c>
      <c r="U1925" t="inlineStr">
        <is>
          <t>21,525</t>
        </is>
      </c>
      <c r="V1925" t="n">
        <v>16.3</v>
      </c>
      <c r="W1925" t="inlineStr">
        <is>
          <t>28%</t>
        </is>
      </c>
      <c r="X1925" t="inlineStr">
        <is>
          <t>58 : 42</t>
        </is>
      </c>
      <c r="Y1925" t="n">
        <v>951</v>
      </c>
      <c r="Z1925" t="n">
        <v>1001</v>
      </c>
      <c r="AA1925" t="n">
        <v>30.45</v>
      </c>
      <c r="AB1925" t="inlineStr">
        <is>
          <t>U1924</t>
        </is>
      </c>
      <c r="AC1925" t="inlineStr">
        <is>
          <t>UN</t>
        </is>
      </c>
      <c r="AD1925" t="n">
        <v>30.45</v>
      </c>
      <c r="AE1925" t="n">
        <v>3.8</v>
      </c>
      <c r="AF1925" t="n">
        <v>16.3</v>
      </c>
      <c r="AG1925" t="inlineStr">
        <is>
          <t>1:16.3</t>
        </is>
      </c>
      <c r="AH1925" t="inlineStr">
        <is>
          <t>28%</t>
        </is>
      </c>
      <c r="AI1925" t="n">
        <v>5.4</v>
      </c>
      <c r="AJ1925" t="n">
        <v>21.68</v>
      </c>
    </row>
    <row r="1926">
      <c r="A1926" t="inlineStr">
        <is>
          <t>University of Central Oklahoma</t>
        </is>
      </c>
      <c r="B1926" t="inlineStr">
        <is>
          <t>United States</t>
        </is>
      </c>
      <c r="C1926" t="inlineStr">
        <is>
          <t>1401+</t>
        </is>
      </c>
      <c r="D1926" t="inlineStr"/>
      <c r="E1926" t="n">
        <v>5.6</v>
      </c>
      <c r="F1926" t="n">
        <v>2.9</v>
      </c>
      <c r="G1926" t="n">
        <v>6.5</v>
      </c>
      <c r="H1926" t="n">
        <v>1.5</v>
      </c>
      <c r="I1926" t="n">
        <v>15.9</v>
      </c>
      <c r="J1926" t="n">
        <v>9.9</v>
      </c>
      <c r="K1926" t="n">
        <v>5.2</v>
      </c>
      <c r="L1926" t="n">
        <v>2.9</v>
      </c>
      <c r="M1926" t="n">
        <v>1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n">
        <v>1401</v>
      </c>
      <c r="Z1926" t="inlineStr"/>
      <c r="AA1926" t="inlineStr"/>
      <c r="AB1926" t="inlineStr">
        <is>
          <t>U1925</t>
        </is>
      </c>
      <c r="AC1926" t="inlineStr">
        <is>
          <t>UN</t>
        </is>
      </c>
      <c r="AD1926" t="inlineStr"/>
      <c r="AE1926" t="n">
        <v>1.5</v>
      </c>
      <c r="AF1926" t="inlineStr"/>
      <c r="AG1926" t="inlineStr"/>
      <c r="AH1926" t="inlineStr"/>
      <c r="AI1926" t="n">
        <v>5.6</v>
      </c>
      <c r="AJ1926" t="n">
        <v>13.84</v>
      </c>
    </row>
    <row r="1927">
      <c r="A1927" t="inlineStr">
        <is>
          <t>University of Chemistry and Technology, Prague</t>
        </is>
      </c>
      <c r="B1927" t="inlineStr">
        <is>
          <t>Czech Republic</t>
        </is>
      </c>
      <c r="C1927" t="inlineStr">
        <is>
          <t>570</t>
        </is>
      </c>
      <c r="D1927" t="n">
        <v>21.8</v>
      </c>
      <c r="E1927" t="n">
        <v>5.6</v>
      </c>
      <c r="F1927" t="n">
        <v>9.300000000000001</v>
      </c>
      <c r="G1927" t="n">
        <v>98.40000000000001</v>
      </c>
      <c r="H1927" t="n">
        <v>13.5</v>
      </c>
      <c r="I1927" t="n">
        <v>23.9</v>
      </c>
      <c r="J1927" t="n">
        <v>78.40000000000001</v>
      </c>
      <c r="K1927" t="n">
        <v>34.9</v>
      </c>
      <c r="L1927" t="n">
        <v>4.2</v>
      </c>
      <c r="M1927" t="n">
        <v>3.4</v>
      </c>
      <c r="N1927" t="inlineStr">
        <is>
          <t>1001–1200</t>
        </is>
      </c>
      <c r="O1927" t="inlineStr">
        <is>
          <t>28.3–32.6</t>
        </is>
      </c>
      <c r="P1927" t="n">
        <v>32.8</v>
      </c>
      <c r="Q1927" t="n">
        <v>14.7</v>
      </c>
      <c r="R1927" t="n">
        <v>29</v>
      </c>
      <c r="S1927" t="n">
        <v>45.7</v>
      </c>
      <c r="T1927" t="n">
        <v>51</v>
      </c>
      <c r="U1927" t="inlineStr">
        <is>
          <t>4,061</t>
        </is>
      </c>
      <c r="V1927" t="n">
        <v>8.300000000000001</v>
      </c>
      <c r="W1927" t="inlineStr">
        <is>
          <t>23%</t>
        </is>
      </c>
      <c r="X1927" t="inlineStr">
        <is>
          <t>57 : 43</t>
        </is>
      </c>
      <c r="Y1927" t="n">
        <v>570</v>
      </c>
      <c r="Z1927" t="n">
        <v>1001</v>
      </c>
      <c r="AA1927" t="n">
        <v>30.45</v>
      </c>
      <c r="AB1927" t="inlineStr">
        <is>
          <t>U1926</t>
        </is>
      </c>
      <c r="AC1927" t="inlineStr">
        <is>
          <t>CZ</t>
        </is>
      </c>
      <c r="AD1927" t="n">
        <v>21.8</v>
      </c>
      <c r="AE1927" t="n">
        <v>13.5</v>
      </c>
      <c r="AF1927" t="n">
        <v>8.300000000000001</v>
      </c>
      <c r="AG1927" t="inlineStr">
        <is>
          <t>1:8.3</t>
        </is>
      </c>
      <c r="AH1927" t="inlineStr">
        <is>
          <t>23%</t>
        </is>
      </c>
      <c r="AI1927" t="n">
        <v>5.6</v>
      </c>
      <c r="AJ1927" t="n">
        <v>17.52</v>
      </c>
    </row>
    <row r="1928">
      <c r="A1928" t="inlineStr">
        <is>
          <t>University of Chester</t>
        </is>
      </c>
      <c r="B1928" t="inlineStr">
        <is>
          <t>United Kingdom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>
        <is>
          <t>1201–1500</t>
        </is>
      </c>
      <c r="O1928" t="inlineStr">
        <is>
          <t>22.8–28.2</t>
        </is>
      </c>
      <c r="P1928" t="n">
        <v>18.5</v>
      </c>
      <c r="Q1928" t="n">
        <v>13</v>
      </c>
      <c r="R1928" t="n">
        <v>30.3</v>
      </c>
      <c r="S1928" t="n">
        <v>19.8</v>
      </c>
      <c r="T1928" t="n">
        <v>64.90000000000001</v>
      </c>
      <c r="U1928" t="inlineStr">
        <is>
          <t>10,860</t>
        </is>
      </c>
      <c r="V1928" t="n">
        <v>18.9</v>
      </c>
      <c r="W1928" t="inlineStr">
        <is>
          <t>17%</t>
        </is>
      </c>
      <c r="X1928" t="inlineStr">
        <is>
          <t>68 : 32</t>
        </is>
      </c>
      <c r="Y1928" t="inlineStr"/>
      <c r="Z1928" t="n">
        <v>1201</v>
      </c>
      <c r="AA1928" t="n">
        <v>25.5</v>
      </c>
      <c r="AB1928" t="inlineStr">
        <is>
          <t>U1927</t>
        </is>
      </c>
      <c r="AC1928" t="inlineStr">
        <is>
          <t>UN</t>
        </is>
      </c>
      <c r="AD1928" t="n">
        <v>25.5</v>
      </c>
      <c r="AE1928" t="n">
        <v>30.3</v>
      </c>
      <c r="AF1928" t="n">
        <v>18.9</v>
      </c>
      <c r="AG1928" t="inlineStr">
        <is>
          <t>1:18.9</t>
        </is>
      </c>
      <c r="AH1928" t="inlineStr">
        <is>
          <t>17%</t>
        </is>
      </c>
      <c r="AI1928" t="inlineStr"/>
      <c r="AJ1928" t="n">
        <v>25.08</v>
      </c>
    </row>
    <row r="1929">
      <c r="A1929" t="inlineStr">
        <is>
          <t>University of Chicago</t>
        </is>
      </c>
      <c r="B1929" t="inlineStr">
        <is>
          <t>United States</t>
        </is>
      </c>
      <c r="C1929" t="inlineStr">
        <is>
          <t>21</t>
        </is>
      </c>
      <c r="D1929" t="n">
        <v>86.2</v>
      </c>
      <c r="E1929" t="n">
        <v>99.09999999999999</v>
      </c>
      <c r="F1929" t="n">
        <v>96.40000000000001</v>
      </c>
      <c r="G1929" t="n">
        <v>94.2</v>
      </c>
      <c r="H1929" t="n">
        <v>60.8</v>
      </c>
      <c r="I1929" t="n">
        <v>79</v>
      </c>
      <c r="J1929" t="n">
        <v>87</v>
      </c>
      <c r="K1929" t="n">
        <v>85.09999999999999</v>
      </c>
      <c r="L1929" t="n">
        <v>99.09999999999999</v>
      </c>
      <c r="M1929" t="n">
        <v>46.9</v>
      </c>
      <c r="N1929" t="inlineStr">
        <is>
          <t>13</t>
        </is>
      </c>
      <c r="O1929" t="inlineStr">
        <is>
          <t>92.1</t>
        </is>
      </c>
      <c r="P1929" t="n">
        <v>89.59999999999999</v>
      </c>
      <c r="Q1929" t="n">
        <v>91.2</v>
      </c>
      <c r="R1929" t="n">
        <v>97.59999999999999</v>
      </c>
      <c r="S1929" t="n">
        <v>93.8</v>
      </c>
      <c r="T1929" t="n">
        <v>82.3</v>
      </c>
      <c r="U1929" t="inlineStr">
        <is>
          <t>15,792</t>
        </is>
      </c>
      <c r="V1929" t="n">
        <v>6.2</v>
      </c>
      <c r="W1929" t="inlineStr">
        <is>
          <t>36%</t>
        </is>
      </c>
      <c r="X1929" t="inlineStr">
        <is>
          <t>47 : 53</t>
        </is>
      </c>
      <c r="Y1929" t="n">
        <v>21</v>
      </c>
      <c r="Z1929" t="n">
        <v>13</v>
      </c>
      <c r="AA1929" t="n">
        <v>92.09999999999999</v>
      </c>
      <c r="AB1929" t="inlineStr">
        <is>
          <t>U1928</t>
        </is>
      </c>
      <c r="AC1929" t="inlineStr">
        <is>
          <t>UN</t>
        </is>
      </c>
      <c r="AD1929" t="n">
        <v>86.2</v>
      </c>
      <c r="AE1929" t="n">
        <v>60.8</v>
      </c>
      <c r="AF1929" t="n">
        <v>6.2</v>
      </c>
      <c r="AG1929" t="inlineStr">
        <is>
          <t>1:6.2</t>
        </is>
      </c>
      <c r="AH1929" t="inlineStr">
        <is>
          <t>36%</t>
        </is>
      </c>
      <c r="AI1929" t="n">
        <v>99.09999999999999</v>
      </c>
      <c r="AJ1929" t="n">
        <v>79.52</v>
      </c>
    </row>
    <row r="1930">
      <c r="A1930" t="inlineStr">
        <is>
          <t>University of Chile</t>
        </is>
      </c>
      <c r="B1930" t="inlineStr">
        <is>
          <t>Chile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>
        <is>
          <t>801–1000</t>
        </is>
      </c>
      <c r="O1930" t="inlineStr">
        <is>
          <t>32.7–36.9</t>
        </is>
      </c>
      <c r="P1930" t="n">
        <v>25.9</v>
      </c>
      <c r="Q1930" t="n">
        <v>19.8</v>
      </c>
      <c r="R1930" t="n">
        <v>50.5</v>
      </c>
      <c r="S1930" t="n">
        <v>57.4</v>
      </c>
      <c r="T1930" t="n">
        <v>52.9</v>
      </c>
      <c r="U1930" t="inlineStr">
        <is>
          <t>39,510</t>
        </is>
      </c>
      <c r="V1930" t="n">
        <v>16.4</v>
      </c>
      <c r="W1930" t="inlineStr">
        <is>
          <t>5%</t>
        </is>
      </c>
      <c r="X1930" t="inlineStr">
        <is>
          <t>51 : 49</t>
        </is>
      </c>
      <c r="Y1930" t="inlineStr"/>
      <c r="Z1930" t="n">
        <v>801</v>
      </c>
      <c r="AA1930" t="n">
        <v>34.8</v>
      </c>
      <c r="AB1930" t="inlineStr">
        <is>
          <t>U1929</t>
        </is>
      </c>
      <c r="AC1930" t="inlineStr">
        <is>
          <t>CH</t>
        </is>
      </c>
      <c r="AD1930" t="n">
        <v>34.8</v>
      </c>
      <c r="AE1930" t="n">
        <v>50.5</v>
      </c>
      <c r="AF1930" t="n">
        <v>16.4</v>
      </c>
      <c r="AG1930" t="inlineStr">
        <is>
          <t>1:16.4</t>
        </is>
      </c>
      <c r="AH1930" t="inlineStr">
        <is>
          <t>5%</t>
        </is>
      </c>
      <c r="AI1930" t="inlineStr"/>
      <c r="AJ1930" t="n">
        <v>31.87</v>
      </c>
    </row>
    <row r="1931">
      <c r="A1931" t="inlineStr">
        <is>
          <t>University of Cincinnati</t>
        </is>
      </c>
      <c r="B1931" t="inlineStr">
        <is>
          <t>United States</t>
        </is>
      </c>
      <c r="C1931" t="inlineStr">
        <is>
          <t>761-770</t>
        </is>
      </c>
      <c r="D1931" t="inlineStr"/>
      <c r="E1931" t="n">
        <v>11</v>
      </c>
      <c r="F1931" t="n">
        <v>6</v>
      </c>
      <c r="G1931" t="n">
        <v>19.4</v>
      </c>
      <c r="H1931" t="n">
        <v>22.9</v>
      </c>
      <c r="I1931" t="n">
        <v>4.3</v>
      </c>
      <c r="J1931" t="n">
        <v>12.4</v>
      </c>
      <c r="K1931" t="n">
        <v>69</v>
      </c>
      <c r="L1931" t="n">
        <v>25.3</v>
      </c>
      <c r="M1931" t="n">
        <v>22.5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n">
        <v>761</v>
      </c>
      <c r="Z1931" t="inlineStr"/>
      <c r="AA1931" t="inlineStr"/>
      <c r="AB1931" t="inlineStr">
        <is>
          <t>U1930</t>
        </is>
      </c>
      <c r="AC1931" t="inlineStr">
        <is>
          <t>UN</t>
        </is>
      </c>
      <c r="AD1931" t="inlineStr"/>
      <c r="AE1931" t="n">
        <v>22.9</v>
      </c>
      <c r="AF1931" t="inlineStr"/>
      <c r="AG1931" t="inlineStr"/>
      <c r="AH1931" t="inlineStr"/>
      <c r="AI1931" t="n">
        <v>11</v>
      </c>
      <c r="AJ1931" t="n">
        <v>20.33</v>
      </c>
    </row>
    <row r="1932">
      <c r="A1932" t="inlineStr">
        <is>
          <t>University of Clermont Auvergne</t>
        </is>
      </c>
      <c r="B1932" t="inlineStr">
        <is>
          <t>France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>
        <is>
          <t>801–1000</t>
        </is>
      </c>
      <c r="O1932" t="inlineStr">
        <is>
          <t>32.7–36.9</t>
        </is>
      </c>
      <c r="P1932" t="n">
        <v>21.8</v>
      </c>
      <c r="Q1932" t="n">
        <v>18.1</v>
      </c>
      <c r="R1932" t="n">
        <v>54.2</v>
      </c>
      <c r="S1932" t="n">
        <v>61.6</v>
      </c>
      <c r="T1932" t="n">
        <v>68.3</v>
      </c>
      <c r="U1932" t="inlineStr">
        <is>
          <t>37,049</t>
        </is>
      </c>
      <c r="V1932" t="n">
        <v>21.2</v>
      </c>
      <c r="W1932" t="inlineStr">
        <is>
          <t>15%</t>
        </is>
      </c>
      <c r="X1932" t="inlineStr">
        <is>
          <t>57 : 43</t>
        </is>
      </c>
      <c r="Y1932" t="inlineStr"/>
      <c r="Z1932" t="n">
        <v>801</v>
      </c>
      <c r="AA1932" t="n">
        <v>34.8</v>
      </c>
      <c r="AB1932" t="inlineStr">
        <is>
          <t>U1931</t>
        </is>
      </c>
      <c r="AC1932" t="inlineStr">
        <is>
          <t>FR</t>
        </is>
      </c>
      <c r="AD1932" t="n">
        <v>34.8</v>
      </c>
      <c r="AE1932" t="n">
        <v>54.2</v>
      </c>
      <c r="AF1932" t="n">
        <v>21.2</v>
      </c>
      <c r="AG1932" t="inlineStr">
        <is>
          <t>1:21.2</t>
        </is>
      </c>
      <c r="AH1932" t="inlineStr">
        <is>
          <t>15%</t>
        </is>
      </c>
      <c r="AI1932" t="inlineStr"/>
      <c r="AJ1932" t="n">
        <v>35.82</v>
      </c>
    </row>
    <row r="1933">
      <c r="A1933" t="inlineStr">
        <is>
          <t>University of Coimbra</t>
        </is>
      </c>
      <c r="B1933" t="inlineStr">
        <is>
          <t>Portugal</t>
        </is>
      </c>
      <c r="C1933" t="inlineStr">
        <is>
          <t>355</t>
        </is>
      </c>
      <c r="D1933" t="n">
        <v>32.1</v>
      </c>
      <c r="E1933" t="n">
        <v>29.4</v>
      </c>
      <c r="F1933" t="n">
        <v>10.8</v>
      </c>
      <c r="G1933" t="n">
        <v>10.3</v>
      </c>
      <c r="H1933" t="n">
        <v>49.8</v>
      </c>
      <c r="I1933" t="n">
        <v>8.1</v>
      </c>
      <c r="J1933" t="n">
        <v>22.9</v>
      </c>
      <c r="K1933" t="n">
        <v>91.2</v>
      </c>
      <c r="L1933" t="n">
        <v>31.1</v>
      </c>
      <c r="M1933" t="n">
        <v>75.8</v>
      </c>
      <c r="N1933" t="inlineStr">
        <is>
          <t>401–500</t>
        </is>
      </c>
      <c r="O1933" t="inlineStr">
        <is>
          <t>45.4–49.0</t>
        </is>
      </c>
      <c r="P1933" t="n">
        <v>31.4</v>
      </c>
      <c r="Q1933" t="n">
        <v>38.2</v>
      </c>
      <c r="R1933" t="n">
        <v>59.9</v>
      </c>
      <c r="S1933" t="n">
        <v>78</v>
      </c>
      <c r="T1933" t="n">
        <v>54.3</v>
      </c>
      <c r="U1933" t="inlineStr">
        <is>
          <t>21,767</t>
        </is>
      </c>
      <c r="V1933" t="n">
        <v>18.4</v>
      </c>
      <c r="W1933" t="inlineStr">
        <is>
          <t>15%</t>
        </is>
      </c>
      <c r="X1933" t="inlineStr">
        <is>
          <t>57 : 43</t>
        </is>
      </c>
      <c r="Y1933" t="n">
        <v>355</v>
      </c>
      <c r="Z1933" t="n">
        <v>401</v>
      </c>
      <c r="AA1933" t="n">
        <v>47.2</v>
      </c>
      <c r="AB1933" t="inlineStr">
        <is>
          <t>U1932</t>
        </is>
      </c>
      <c r="AC1933" t="inlineStr">
        <is>
          <t>PO</t>
        </is>
      </c>
      <c r="AD1933" t="n">
        <v>32.1</v>
      </c>
      <c r="AE1933" t="n">
        <v>49.8</v>
      </c>
      <c r="AF1933" t="n">
        <v>18.4</v>
      </c>
      <c r="AG1933" t="inlineStr">
        <is>
          <t>1:18.4</t>
        </is>
      </c>
      <c r="AH1933" t="inlineStr">
        <is>
          <t>15%</t>
        </is>
      </c>
      <c r="AI1933" t="n">
        <v>29.4</v>
      </c>
      <c r="AJ1933" t="n">
        <v>41.64</v>
      </c>
    </row>
    <row r="1934">
      <c r="A1934" t="inlineStr">
        <is>
          <t>University of Colima</t>
        </is>
      </c>
      <c r="B1934" t="inlineStr">
        <is>
          <t>Mexico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>
        <is>
          <t>1501+</t>
        </is>
      </c>
      <c r="O1934" t="inlineStr">
        <is>
          <t>9.7–22.7</t>
        </is>
      </c>
      <c r="P1934" t="n">
        <v>21.6</v>
      </c>
      <c r="Q1934" t="n">
        <v>8</v>
      </c>
      <c r="R1934" t="n">
        <v>12.4</v>
      </c>
      <c r="S1934" t="n">
        <v>20</v>
      </c>
      <c r="T1934" t="n">
        <v>31.6</v>
      </c>
      <c r="U1934" t="inlineStr">
        <is>
          <t>14,288</t>
        </is>
      </c>
      <c r="V1934" t="n">
        <v>9.300000000000001</v>
      </c>
      <c r="W1934" t="inlineStr">
        <is>
          <t>0%</t>
        </is>
      </c>
      <c r="X1934" t="inlineStr">
        <is>
          <t>55 : 45</t>
        </is>
      </c>
      <c r="Y1934" t="inlineStr"/>
      <c r="Z1934" t="n">
        <v>1501</v>
      </c>
      <c r="AA1934" t="n">
        <v>16.2</v>
      </c>
      <c r="AB1934" t="inlineStr">
        <is>
          <t>U1933</t>
        </is>
      </c>
      <c r="AC1934" t="inlineStr">
        <is>
          <t>ME</t>
        </is>
      </c>
      <c r="AD1934" t="n">
        <v>16.2</v>
      </c>
      <c r="AE1934" t="n">
        <v>12.4</v>
      </c>
      <c r="AF1934" t="n">
        <v>9.300000000000001</v>
      </c>
      <c r="AG1934" t="inlineStr">
        <is>
          <t>1:9.3</t>
        </is>
      </c>
      <c r="AH1934" t="inlineStr">
        <is>
          <t>0%</t>
        </is>
      </c>
      <c r="AI1934" t="inlineStr"/>
      <c r="AJ1934" t="n">
        <v>8.99</v>
      </c>
    </row>
    <row r="1935">
      <c r="A1935" t="inlineStr">
        <is>
          <t>University of Cologne</t>
        </is>
      </c>
      <c r="B1935" t="inlineStr">
        <is>
          <t>Germany</t>
        </is>
      </c>
      <c r="C1935" t="inlineStr">
        <is>
          <t>285</t>
        </is>
      </c>
      <c r="D1935" t="n">
        <v>37.2</v>
      </c>
      <c r="E1935" t="n">
        <v>35.2</v>
      </c>
      <c r="F1935" t="n">
        <v>30.4</v>
      </c>
      <c r="G1935" t="n">
        <v>15.7</v>
      </c>
      <c r="H1935" t="n">
        <v>29.3</v>
      </c>
      <c r="I1935" t="n">
        <v>35.9</v>
      </c>
      <c r="J1935" t="n">
        <v>30.1</v>
      </c>
      <c r="K1935" t="n">
        <v>90.8</v>
      </c>
      <c r="L1935" t="n">
        <v>56.8</v>
      </c>
      <c r="M1935" t="n">
        <v>91.90000000000001</v>
      </c>
      <c r="N1935" t="inlineStr">
        <is>
          <t>160</t>
        </is>
      </c>
      <c r="O1935" t="inlineStr">
        <is>
          <t>61.5</t>
        </is>
      </c>
      <c r="P1935" t="n">
        <v>42.9</v>
      </c>
      <c r="Q1935" t="n">
        <v>47.1</v>
      </c>
      <c r="R1935" t="n">
        <v>85.59999999999999</v>
      </c>
      <c r="S1935" t="n">
        <v>98.8</v>
      </c>
      <c r="T1935" t="n">
        <v>73.3</v>
      </c>
      <c r="U1935" t="inlineStr">
        <is>
          <t>31,299</t>
        </is>
      </c>
      <c r="V1935" t="n">
        <v>28.7</v>
      </c>
      <c r="W1935" t="inlineStr">
        <is>
          <t>17%</t>
        </is>
      </c>
      <c r="X1935" t="inlineStr"/>
      <c r="Y1935" t="n">
        <v>285</v>
      </c>
      <c r="Z1935" t="n">
        <v>160</v>
      </c>
      <c r="AA1935" t="n">
        <v>61.5</v>
      </c>
      <c r="AB1935" t="inlineStr">
        <is>
          <t>U1934</t>
        </is>
      </c>
      <c r="AC1935" t="inlineStr">
        <is>
          <t>GE</t>
        </is>
      </c>
      <c r="AD1935" t="n">
        <v>37.2</v>
      </c>
      <c r="AE1935" t="n">
        <v>29.3</v>
      </c>
      <c r="AF1935" t="n">
        <v>28.7</v>
      </c>
      <c r="AG1935" t="inlineStr">
        <is>
          <t>1:28.7</t>
        </is>
      </c>
      <c r="AH1935" t="inlineStr">
        <is>
          <t>17%</t>
        </is>
      </c>
      <c r="AI1935" t="n">
        <v>35.2</v>
      </c>
      <c r="AJ1935" t="n">
        <v>44.68</v>
      </c>
    </row>
    <row r="1936">
      <c r="A1936" t="inlineStr">
        <is>
          <t>University of Colombo</t>
        </is>
      </c>
      <c r="B1936" t="inlineStr">
        <is>
          <t>Sri Lanka</t>
        </is>
      </c>
      <c r="C1936" t="inlineStr">
        <is>
          <t>951-1000</t>
        </is>
      </c>
      <c r="D1936" t="inlineStr"/>
      <c r="E1936" t="n">
        <v>13.1</v>
      </c>
      <c r="F1936" t="n">
        <v>18</v>
      </c>
      <c r="G1936" t="n">
        <v>2.5</v>
      </c>
      <c r="H1936" t="n">
        <v>3.2</v>
      </c>
      <c r="I1936" t="n">
        <v>1.1</v>
      </c>
      <c r="J1936" t="n">
        <v>1.2</v>
      </c>
      <c r="K1936" t="n">
        <v>19.3</v>
      </c>
      <c r="L1936" t="n">
        <v>69.59999999999999</v>
      </c>
      <c r="M1936" t="n">
        <v>16.3</v>
      </c>
      <c r="N1936" t="inlineStr">
        <is>
          <t>1001–1200</t>
        </is>
      </c>
      <c r="O1936" t="inlineStr">
        <is>
          <t>28.3–32.6</t>
        </is>
      </c>
      <c r="P1936" t="n">
        <v>25.4</v>
      </c>
      <c r="Q1936" t="n">
        <v>10.6</v>
      </c>
      <c r="R1936" t="n">
        <v>60.2</v>
      </c>
      <c r="S1936" t="n">
        <v>18.7</v>
      </c>
      <c r="T1936" t="n">
        <v>39.3</v>
      </c>
      <c r="U1936" t="inlineStr">
        <is>
          <t>34,058</t>
        </is>
      </c>
      <c r="V1936" t="n">
        <v>32</v>
      </c>
      <c r="W1936" t="inlineStr">
        <is>
          <t>0%</t>
        </is>
      </c>
      <c r="X1936" t="inlineStr">
        <is>
          <t>60 : 40</t>
        </is>
      </c>
      <c r="Y1936" t="n">
        <v>951</v>
      </c>
      <c r="Z1936" t="n">
        <v>1001</v>
      </c>
      <c r="AA1936" t="n">
        <v>30.45</v>
      </c>
      <c r="AB1936" t="inlineStr">
        <is>
          <t>U1935</t>
        </is>
      </c>
      <c r="AC1936" t="inlineStr">
        <is>
          <t>SR</t>
        </is>
      </c>
      <c r="AD1936" t="n">
        <v>30.45</v>
      </c>
      <c r="AE1936" t="n">
        <v>3.2</v>
      </c>
      <c r="AF1936" t="n">
        <v>32</v>
      </c>
      <c r="AG1936" t="inlineStr">
        <is>
          <t>1:32.0</t>
        </is>
      </c>
      <c r="AH1936" t="inlineStr">
        <is>
          <t>0%</t>
        </is>
      </c>
      <c r="AI1936" t="n">
        <v>13.1</v>
      </c>
      <c r="AJ1936" t="n">
        <v>9.42</v>
      </c>
    </row>
    <row r="1937">
      <c r="A1937" t="inlineStr">
        <is>
          <t>University of Colorado Boulder</t>
        </is>
      </c>
      <c r="B1937" t="inlineStr">
        <is>
          <t>United States</t>
        </is>
      </c>
      <c r="C1937" t="inlineStr">
        <is>
          <t>320</t>
        </is>
      </c>
      <c r="D1937" t="n">
        <v>34.4</v>
      </c>
      <c r="E1937" t="n">
        <v>36.1</v>
      </c>
      <c r="F1937" t="n">
        <v>17.5</v>
      </c>
      <c r="G1937" t="n">
        <v>38.3</v>
      </c>
      <c r="H1937" t="n">
        <v>34.9</v>
      </c>
      <c r="I1937" t="n">
        <v>32.2</v>
      </c>
      <c r="J1937" t="n">
        <v>4.9</v>
      </c>
      <c r="K1937" t="n">
        <v>86.3</v>
      </c>
      <c r="L1937" t="n">
        <v>31.6</v>
      </c>
      <c r="M1937" t="n">
        <v>62.8</v>
      </c>
      <c r="N1937">
        <f>138</f>
        <v/>
      </c>
      <c r="O1937" t="inlineStr">
        <is>
          <t>62.9</t>
        </is>
      </c>
      <c r="P1937" t="n">
        <v>46.5</v>
      </c>
      <c r="Q1937" t="n">
        <v>51.9</v>
      </c>
      <c r="R1937" t="n">
        <v>88.59999999999999</v>
      </c>
      <c r="S1937" t="n">
        <v>82.8</v>
      </c>
      <c r="T1937" t="n">
        <v>56.6</v>
      </c>
      <c r="U1937" t="inlineStr">
        <is>
          <t>35,844</t>
        </is>
      </c>
      <c r="V1937" t="n">
        <v>16.5</v>
      </c>
      <c r="W1937" t="inlineStr">
        <is>
          <t>8%</t>
        </is>
      </c>
      <c r="X1937" t="inlineStr">
        <is>
          <t>45 : 55</t>
        </is>
      </c>
      <c r="Y1937" t="n">
        <v>320</v>
      </c>
      <c r="Z1937" t="n">
        <v>138</v>
      </c>
      <c r="AA1937" t="n">
        <v>62.9</v>
      </c>
      <c r="AB1937" t="inlineStr">
        <is>
          <t>U1936</t>
        </is>
      </c>
      <c r="AC1937" t="inlineStr">
        <is>
          <t>UN</t>
        </is>
      </c>
      <c r="AD1937" t="n">
        <v>34.4</v>
      </c>
      <c r="AE1937" t="n">
        <v>34.9</v>
      </c>
      <c r="AF1937" t="n">
        <v>16.5</v>
      </c>
      <c r="AG1937" t="inlineStr">
        <is>
          <t>1:16.5</t>
        </is>
      </c>
      <c r="AH1937" t="inlineStr">
        <is>
          <t>8%</t>
        </is>
      </c>
      <c r="AI1937" t="n">
        <v>36.1</v>
      </c>
      <c r="AJ1937" t="n">
        <v>44.86</v>
      </c>
    </row>
    <row r="1938">
      <c r="A1938" t="inlineStr">
        <is>
          <t xml:space="preserve">University of Colorado, Denver </t>
        </is>
      </c>
      <c r="B1938" t="inlineStr">
        <is>
          <t>United States</t>
        </is>
      </c>
      <c r="C1938" t="inlineStr">
        <is>
          <t>761-770</t>
        </is>
      </c>
      <c r="D1938" t="inlineStr"/>
      <c r="E1938" t="n">
        <v>8.199999999999999</v>
      </c>
      <c r="F1938" t="n">
        <v>6.1</v>
      </c>
      <c r="G1938" t="n">
        <v>100</v>
      </c>
      <c r="H1938" t="n">
        <v>3.6</v>
      </c>
      <c r="I1938" t="n">
        <v>3.4</v>
      </c>
      <c r="J1938" t="n">
        <v>8.1</v>
      </c>
      <c r="K1938" t="n">
        <v>45.7</v>
      </c>
      <c r="L1938" t="n">
        <v>5.6</v>
      </c>
      <c r="M1938" t="n">
        <v>3.8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n">
        <v>761</v>
      </c>
      <c r="Z1938" t="inlineStr"/>
      <c r="AA1938" t="inlineStr"/>
      <c r="AB1938" t="inlineStr">
        <is>
          <t>U1937</t>
        </is>
      </c>
      <c r="AC1938" t="inlineStr">
        <is>
          <t>UN</t>
        </is>
      </c>
      <c r="AD1938" t="inlineStr"/>
      <c r="AE1938" t="n">
        <v>3.6</v>
      </c>
      <c r="AF1938" t="inlineStr"/>
      <c r="AG1938" t="inlineStr"/>
      <c r="AH1938" t="inlineStr"/>
      <c r="AI1938" t="n">
        <v>8.199999999999999</v>
      </c>
      <c r="AJ1938" t="n">
        <v>14.48</v>
      </c>
    </row>
    <row r="1939">
      <c r="A1939" t="inlineStr">
        <is>
          <t>University of Colorado Denver/Anschutz Medical Campus</t>
        </is>
      </c>
      <c r="B1939" t="inlineStr">
        <is>
          <t>United States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>
        <is>
          <t>351–400</t>
        </is>
      </c>
      <c r="O1939" t="inlineStr">
        <is>
          <t>49.1–51.0</t>
        </is>
      </c>
      <c r="P1939" t="n">
        <v>33.4</v>
      </c>
      <c r="Q1939" t="n">
        <v>23.7</v>
      </c>
      <c r="R1939" t="n">
        <v>93.7</v>
      </c>
      <c r="S1939" t="n">
        <v>73.40000000000001</v>
      </c>
      <c r="T1939" t="n">
        <v>36.9</v>
      </c>
      <c r="U1939" t="inlineStr">
        <is>
          <t>20,208</t>
        </is>
      </c>
      <c r="V1939" t="n">
        <v>4.5</v>
      </c>
      <c r="W1939" t="inlineStr">
        <is>
          <t>7%</t>
        </is>
      </c>
      <c r="X1939" t="inlineStr">
        <is>
          <t>58 : 42</t>
        </is>
      </c>
      <c r="Y1939" t="inlineStr"/>
      <c r="Z1939" t="n">
        <v>351</v>
      </c>
      <c r="AA1939" t="n">
        <v>50.05</v>
      </c>
      <c r="AB1939" t="inlineStr">
        <is>
          <t>U1938</t>
        </is>
      </c>
      <c r="AC1939" t="inlineStr">
        <is>
          <t>UN</t>
        </is>
      </c>
      <c r="AD1939" t="n">
        <v>50.05</v>
      </c>
      <c r="AE1939" t="n">
        <v>93.7</v>
      </c>
      <c r="AF1939" t="n">
        <v>4.5</v>
      </c>
      <c r="AG1939" t="inlineStr">
        <is>
          <t>1:4.5</t>
        </is>
      </c>
      <c r="AH1939" t="inlineStr">
        <is>
          <t>7%</t>
        </is>
      </c>
      <c r="AI1939" t="inlineStr"/>
      <c r="AJ1939" t="n">
        <v>43.13</v>
      </c>
    </row>
    <row r="1940">
      <c r="A1940" t="inlineStr">
        <is>
          <t>University of Concepción</t>
        </is>
      </c>
      <c r="B1940" t="inlineStr">
        <is>
          <t>Chile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>
        <is>
          <t>1201–1500</t>
        </is>
      </c>
      <c r="O1940" t="inlineStr">
        <is>
          <t>22.8–28.2</t>
        </is>
      </c>
      <c r="P1940" t="n">
        <v>17.3</v>
      </c>
      <c r="Q1940" t="n">
        <v>16.4</v>
      </c>
      <c r="R1940" t="n">
        <v>38.2</v>
      </c>
      <c r="S1940" t="n">
        <v>44.6</v>
      </c>
      <c r="T1940" t="n">
        <v>52</v>
      </c>
      <c r="U1940" t="inlineStr">
        <is>
          <t>30,174</t>
        </is>
      </c>
      <c r="V1940" t="n">
        <v>18.2</v>
      </c>
      <c r="W1940" t="inlineStr">
        <is>
          <t>2%</t>
        </is>
      </c>
      <c r="X1940" t="inlineStr">
        <is>
          <t>53 : 47</t>
        </is>
      </c>
      <c r="Y1940" t="inlineStr"/>
      <c r="Z1940" t="n">
        <v>1201</v>
      </c>
      <c r="AA1940" t="n">
        <v>25.5</v>
      </c>
      <c r="AB1940" t="inlineStr">
        <is>
          <t>U1939</t>
        </is>
      </c>
      <c r="AC1940" t="inlineStr">
        <is>
          <t>CH</t>
        </is>
      </c>
      <c r="AD1940" t="n">
        <v>25.5</v>
      </c>
      <c r="AE1940" t="n">
        <v>38.2</v>
      </c>
      <c r="AF1940" t="n">
        <v>18.2</v>
      </c>
      <c r="AG1940" t="inlineStr">
        <is>
          <t>1:18.2</t>
        </is>
      </c>
      <c r="AH1940" t="inlineStr">
        <is>
          <t>2%</t>
        </is>
      </c>
      <c r="AI1940" t="inlineStr"/>
      <c r="AJ1940" t="n">
        <v>26.14</v>
      </c>
    </row>
    <row r="1941">
      <c r="A1941" t="inlineStr">
        <is>
          <t>University of Connecticut</t>
        </is>
      </c>
      <c r="B1941" t="inlineStr">
        <is>
          <t>United States</t>
        </is>
      </c>
      <c r="C1941" t="inlineStr">
        <is>
          <t>565</t>
        </is>
      </c>
      <c r="D1941" t="n">
        <v>22</v>
      </c>
      <c r="E1941" t="n">
        <v>14.4</v>
      </c>
      <c r="F1941" t="n">
        <v>8.1</v>
      </c>
      <c r="G1941" t="n">
        <v>18.2</v>
      </c>
      <c r="H1941" t="n">
        <v>29.8</v>
      </c>
      <c r="I1941" t="n">
        <v>27.4</v>
      </c>
      <c r="J1941" t="n">
        <v>19.4</v>
      </c>
      <c r="K1941" t="n">
        <v>88</v>
      </c>
      <c r="L1941" t="n">
        <v>23.3</v>
      </c>
      <c r="M1941" t="n">
        <v>37.6</v>
      </c>
      <c r="N1941" t="inlineStr">
        <is>
          <t>351–400</t>
        </is>
      </c>
      <c r="O1941" t="inlineStr">
        <is>
          <t>49.1–51.0</t>
        </is>
      </c>
      <c r="P1941" t="n">
        <v>41.2</v>
      </c>
      <c r="Q1941" t="n">
        <v>30.2</v>
      </c>
      <c r="R1941" t="n">
        <v>72.8</v>
      </c>
      <c r="S1941" t="n">
        <v>68.7</v>
      </c>
      <c r="T1941" t="n">
        <v>64.59999999999999</v>
      </c>
      <c r="U1941" t="inlineStr">
        <is>
          <t>28,128</t>
        </is>
      </c>
      <c r="V1941" t="n">
        <v>13.1</v>
      </c>
      <c r="W1941" t="inlineStr">
        <is>
          <t>11%</t>
        </is>
      </c>
      <c r="X1941" t="inlineStr">
        <is>
          <t>53 : 47</t>
        </is>
      </c>
      <c r="Y1941" t="n">
        <v>565</v>
      </c>
      <c r="Z1941" t="n">
        <v>351</v>
      </c>
      <c r="AA1941" t="n">
        <v>50.05</v>
      </c>
      <c r="AB1941" t="inlineStr">
        <is>
          <t>U1940</t>
        </is>
      </c>
      <c r="AC1941" t="inlineStr">
        <is>
          <t>UN</t>
        </is>
      </c>
      <c r="AD1941" t="n">
        <v>22</v>
      </c>
      <c r="AE1941" t="n">
        <v>29.8</v>
      </c>
      <c r="AF1941" t="n">
        <v>13.1</v>
      </c>
      <c r="AG1941" t="inlineStr">
        <is>
          <t>1:13.1</t>
        </is>
      </c>
      <c r="AH1941" t="inlineStr">
        <is>
          <t>11%</t>
        </is>
      </c>
      <c r="AI1941" t="n">
        <v>14.4</v>
      </c>
      <c r="AJ1941" t="n">
        <v>33.87</v>
      </c>
    </row>
    <row r="1942">
      <c r="A1942" t="inlineStr">
        <is>
          <t>University of Copenhagen</t>
        </is>
      </c>
      <c r="B1942" t="inlineStr">
        <is>
          <t>Denmark</t>
        </is>
      </c>
      <c r="C1942" t="inlineStr">
        <is>
          <t>100</t>
        </is>
      </c>
      <c r="D1942" t="n">
        <v>59.6</v>
      </c>
      <c r="E1942" t="n">
        <v>74</v>
      </c>
      <c r="F1942" t="n">
        <v>31.6</v>
      </c>
      <c r="G1942" t="n">
        <v>99.8</v>
      </c>
      <c r="H1942" t="n">
        <v>23.1</v>
      </c>
      <c r="I1942" t="n">
        <v>84.90000000000001</v>
      </c>
      <c r="J1942" t="n">
        <v>15.6</v>
      </c>
      <c r="K1942" t="n">
        <v>98.2</v>
      </c>
      <c r="L1942" t="n">
        <v>90.8</v>
      </c>
      <c r="M1942" t="n">
        <v>73.2</v>
      </c>
      <c r="N1942">
        <f>103</f>
        <v/>
      </c>
      <c r="O1942" t="inlineStr">
        <is>
          <t>66.3</t>
        </is>
      </c>
      <c r="P1942" t="n">
        <v>49.2</v>
      </c>
      <c r="Q1942" t="n">
        <v>51.1</v>
      </c>
      <c r="R1942" t="n">
        <v>91.3</v>
      </c>
      <c r="S1942" t="n">
        <v>89.5</v>
      </c>
      <c r="T1942" t="n">
        <v>80.09999999999999</v>
      </c>
      <c r="U1942" t="inlineStr">
        <is>
          <t>31,728</t>
        </is>
      </c>
      <c r="V1942" t="n">
        <v>4.3</v>
      </c>
      <c r="W1942" t="inlineStr">
        <is>
          <t>14%</t>
        </is>
      </c>
      <c r="X1942" t="inlineStr">
        <is>
          <t>62 : 38</t>
        </is>
      </c>
      <c r="Y1942" t="n">
        <v>100</v>
      </c>
      <c r="Z1942" t="n">
        <v>103</v>
      </c>
      <c r="AA1942" t="n">
        <v>66.3</v>
      </c>
      <c r="AB1942" t="inlineStr">
        <is>
          <t>U1941</t>
        </is>
      </c>
      <c r="AC1942" t="inlineStr">
        <is>
          <t>DE</t>
        </is>
      </c>
      <c r="AD1942" t="n">
        <v>59.6</v>
      </c>
      <c r="AE1942" t="n">
        <v>23.1</v>
      </c>
      <c r="AF1942" t="n">
        <v>4.3</v>
      </c>
      <c r="AG1942" t="inlineStr">
        <is>
          <t>1:4.3</t>
        </is>
      </c>
      <c r="AH1942" t="inlineStr">
        <is>
          <t>14%</t>
        </is>
      </c>
      <c r="AI1942" t="n">
        <v>74</v>
      </c>
      <c r="AJ1942" t="n">
        <v>46.55</v>
      </c>
    </row>
    <row r="1943">
      <c r="A1943" t="inlineStr">
        <is>
          <t>University of Costa Rica</t>
        </is>
      </c>
      <c r="B1943" t="inlineStr">
        <is>
          <t>Costa Rica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>
        <is>
          <t>1201–1500</t>
        </is>
      </c>
      <c r="O1943" t="inlineStr">
        <is>
          <t>22.8–28.2</t>
        </is>
      </c>
      <c r="P1943" t="n">
        <v>19.3</v>
      </c>
      <c r="Q1943" t="n">
        <v>9.1</v>
      </c>
      <c r="R1943" t="n">
        <v>43</v>
      </c>
      <c r="S1943" t="n">
        <v>19.5</v>
      </c>
      <c r="T1943" t="n">
        <v>46.7</v>
      </c>
      <c r="U1943" t="inlineStr">
        <is>
          <t>34,884</t>
        </is>
      </c>
      <c r="V1943" t="n">
        <v>14.8</v>
      </c>
      <c r="W1943" t="inlineStr">
        <is>
          <t>2%</t>
        </is>
      </c>
      <c r="X1943" t="inlineStr">
        <is>
          <t>53 : 47</t>
        </is>
      </c>
      <c r="Y1943" t="inlineStr"/>
      <c r="Z1943" t="n">
        <v>1201</v>
      </c>
      <c r="AA1943" t="n">
        <v>25.5</v>
      </c>
      <c r="AB1943" t="inlineStr">
        <is>
          <t>U1942</t>
        </is>
      </c>
      <c r="AC1943" t="inlineStr">
        <is>
          <t>CO</t>
        </is>
      </c>
      <c r="AD1943" t="n">
        <v>25.5</v>
      </c>
      <c r="AE1943" t="n">
        <v>43</v>
      </c>
      <c r="AF1943" t="n">
        <v>14.8</v>
      </c>
      <c r="AG1943" t="inlineStr">
        <is>
          <t>1:14.8</t>
        </is>
      </c>
      <c r="AH1943" t="inlineStr">
        <is>
          <t>2%</t>
        </is>
      </c>
      <c r="AI1943" t="inlineStr"/>
      <c r="AJ1943" t="n">
        <v>22.49</v>
      </c>
    </row>
    <row r="1944">
      <c r="A1944" t="inlineStr">
        <is>
          <t>University of Craiova</t>
        </is>
      </c>
      <c r="B1944" t="inlineStr">
        <is>
          <t>Romania</t>
        </is>
      </c>
      <c r="C1944" t="inlineStr">
        <is>
          <t>1401+</t>
        </is>
      </c>
      <c r="D1944" t="inlineStr"/>
      <c r="E1944" t="n">
        <v>4.5</v>
      </c>
      <c r="F1944" t="n">
        <v>2.2</v>
      </c>
      <c r="G1944" t="n">
        <v>3.2</v>
      </c>
      <c r="H1944" t="n">
        <v>2.1</v>
      </c>
      <c r="I1944" t="inlineStr"/>
      <c r="J1944" t="inlineStr"/>
      <c r="K1944" t="n">
        <v>21.8</v>
      </c>
      <c r="L1944" t="n">
        <v>13.4</v>
      </c>
      <c r="M1944" t="n">
        <v>1</v>
      </c>
      <c r="N1944" t="inlineStr">
        <is>
          <t>1501+</t>
        </is>
      </c>
      <c r="O1944" t="inlineStr">
        <is>
          <t>9.7–22.7</t>
        </is>
      </c>
      <c r="P1944" t="n">
        <v>18.3</v>
      </c>
      <c r="Q1944" t="n">
        <v>11.5</v>
      </c>
      <c r="R1944" t="n">
        <v>25.2</v>
      </c>
      <c r="S1944" t="n">
        <v>18.4</v>
      </c>
      <c r="T1944" t="n">
        <v>24</v>
      </c>
      <c r="U1944" t="inlineStr">
        <is>
          <t>16,907</t>
        </is>
      </c>
      <c r="V1944" t="n">
        <v>20.9</v>
      </c>
      <c r="W1944" t="inlineStr">
        <is>
          <t>4%</t>
        </is>
      </c>
      <c r="X1944" t="inlineStr">
        <is>
          <t>50 : 50</t>
        </is>
      </c>
      <c r="Y1944" t="n">
        <v>1401</v>
      </c>
      <c r="Z1944" t="n">
        <v>1501</v>
      </c>
      <c r="AA1944" t="n">
        <v>16.2</v>
      </c>
      <c r="AB1944" t="inlineStr">
        <is>
          <t>U1943</t>
        </is>
      </c>
      <c r="AC1944" t="inlineStr">
        <is>
          <t>RO</t>
        </is>
      </c>
      <c r="AD1944" t="n">
        <v>16.2</v>
      </c>
      <c r="AE1944" t="n">
        <v>2.1</v>
      </c>
      <c r="AF1944" t="n">
        <v>20.9</v>
      </c>
      <c r="AG1944" t="inlineStr">
        <is>
          <t>1:20.9</t>
        </is>
      </c>
      <c r="AH1944" t="inlineStr">
        <is>
          <t>4%</t>
        </is>
      </c>
      <c r="AI1944" t="n">
        <v>4.5</v>
      </c>
      <c r="AJ1944" t="n">
        <v>5.86</v>
      </c>
    </row>
    <row r="1945">
      <c r="A1945" t="inlineStr">
        <is>
          <t>University of Crete</t>
        </is>
      </c>
      <c r="B1945" t="inlineStr">
        <is>
          <t>Greece</t>
        </is>
      </c>
      <c r="C1945" t="inlineStr">
        <is>
          <t>601-610</t>
        </is>
      </c>
      <c r="D1945" t="inlineStr"/>
      <c r="E1945" t="n">
        <v>13.9</v>
      </c>
      <c r="F1945" t="n">
        <v>12.7</v>
      </c>
      <c r="G1945" t="n">
        <v>2.4</v>
      </c>
      <c r="H1945" t="n">
        <v>58.7</v>
      </c>
      <c r="I1945" t="n">
        <v>2.3</v>
      </c>
      <c r="J1945" t="n">
        <v>3.5</v>
      </c>
      <c r="K1945" t="n">
        <v>57</v>
      </c>
      <c r="L1945" t="n">
        <v>3.6</v>
      </c>
      <c r="M1945" t="n">
        <v>1.8</v>
      </c>
      <c r="N1945" t="inlineStr">
        <is>
          <t>501–600</t>
        </is>
      </c>
      <c r="O1945" t="inlineStr">
        <is>
          <t>41.9–45.3</t>
        </is>
      </c>
      <c r="P1945" t="n">
        <v>19.9</v>
      </c>
      <c r="Q1945" t="n">
        <v>25.7</v>
      </c>
      <c r="R1945" t="n">
        <v>76.5</v>
      </c>
      <c r="S1945" t="n">
        <v>64.5</v>
      </c>
      <c r="T1945" t="n">
        <v>47.4</v>
      </c>
      <c r="U1945" t="inlineStr">
        <is>
          <t>14,119</t>
        </is>
      </c>
      <c r="V1945" t="n">
        <v>26.5</v>
      </c>
      <c r="W1945" t="inlineStr">
        <is>
          <t>4%</t>
        </is>
      </c>
      <c r="X1945" t="inlineStr">
        <is>
          <t>63 : 37</t>
        </is>
      </c>
      <c r="Y1945" t="n">
        <v>601</v>
      </c>
      <c r="Z1945" t="n">
        <v>501</v>
      </c>
      <c r="AA1945" t="n">
        <v>43.59999999999999</v>
      </c>
      <c r="AB1945" t="inlineStr">
        <is>
          <t>U1944</t>
        </is>
      </c>
      <c r="AC1945" t="inlineStr">
        <is>
          <t>GR</t>
        </is>
      </c>
      <c r="AD1945" t="n">
        <v>43.59999999999999</v>
      </c>
      <c r="AE1945" t="n">
        <v>58.7</v>
      </c>
      <c r="AF1945" t="n">
        <v>26.5</v>
      </c>
      <c r="AG1945" t="inlineStr">
        <is>
          <t>1:26.5</t>
        </is>
      </c>
      <c r="AH1945" t="inlineStr">
        <is>
          <t>4%</t>
        </is>
      </c>
      <c r="AI1945" t="n">
        <v>13.9</v>
      </c>
      <c r="AJ1945" t="n">
        <v>36.11</v>
      </c>
    </row>
    <row r="1946">
      <c r="A1946" t="inlineStr">
        <is>
          <t>University of Cyprus (UCY)</t>
        </is>
      </c>
      <c r="B1946" t="inlineStr">
        <is>
          <t>Cyprus</t>
        </is>
      </c>
      <c r="C1946" t="inlineStr">
        <is>
          <t>389</t>
        </is>
      </c>
      <c r="D1946" t="n">
        <v>30.1</v>
      </c>
      <c r="E1946" t="n">
        <v>10</v>
      </c>
      <c r="F1946" t="n">
        <v>4.7</v>
      </c>
      <c r="G1946" t="n">
        <v>4.5</v>
      </c>
      <c r="H1946" t="n">
        <v>75</v>
      </c>
      <c r="I1946" t="n">
        <v>93.8</v>
      </c>
      <c r="J1946" t="n">
        <v>20</v>
      </c>
      <c r="K1946" t="n">
        <v>73.40000000000001</v>
      </c>
      <c r="L1946" t="n">
        <v>42.1</v>
      </c>
      <c r="M1946" t="n">
        <v>5.8</v>
      </c>
      <c r="N1946" t="inlineStr">
        <is>
          <t>501–600</t>
        </is>
      </c>
      <c r="O1946" t="inlineStr">
        <is>
          <t>41.9–45.3</t>
        </is>
      </c>
      <c r="P1946" t="n">
        <v>22.5</v>
      </c>
      <c r="Q1946" t="n">
        <v>25.8</v>
      </c>
      <c r="R1946" t="n">
        <v>75.3</v>
      </c>
      <c r="S1946" t="n">
        <v>64.3</v>
      </c>
      <c r="T1946" t="n">
        <v>77.7</v>
      </c>
      <c r="U1946" t="inlineStr">
        <is>
          <t>6,907</t>
        </is>
      </c>
      <c r="V1946" t="n">
        <v>20</v>
      </c>
      <c r="W1946" t="inlineStr">
        <is>
          <t>14%</t>
        </is>
      </c>
      <c r="X1946" t="inlineStr">
        <is>
          <t>61 : 39</t>
        </is>
      </c>
      <c r="Y1946" t="n">
        <v>389</v>
      </c>
      <c r="Z1946" t="n">
        <v>501</v>
      </c>
      <c r="AA1946" t="n">
        <v>43.59999999999999</v>
      </c>
      <c r="AB1946" t="inlineStr">
        <is>
          <t>U1945</t>
        </is>
      </c>
      <c r="AC1946" t="inlineStr">
        <is>
          <t>CY</t>
        </is>
      </c>
      <c r="AD1946" t="n">
        <v>30.1</v>
      </c>
      <c r="AE1946" t="n">
        <v>75</v>
      </c>
      <c r="AF1946" t="n">
        <v>20</v>
      </c>
      <c r="AG1946" t="inlineStr">
        <is>
          <t>1:20.0</t>
        </is>
      </c>
      <c r="AH1946" t="inlineStr">
        <is>
          <t>14%</t>
        </is>
      </c>
      <c r="AI1946" t="n">
        <v>10</v>
      </c>
      <c r="AJ1946" t="n">
        <v>48.43</v>
      </c>
    </row>
    <row r="1947">
      <c r="A1947" t="inlineStr">
        <is>
          <t>University of Łódź</t>
        </is>
      </c>
      <c r="B1947" t="inlineStr">
        <is>
          <t>Poland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>
        <is>
          <t>1501+</t>
        </is>
      </c>
      <c r="O1947" t="inlineStr">
        <is>
          <t>9.7–22.7</t>
        </is>
      </c>
      <c r="P1947" t="n">
        <v>20.6</v>
      </c>
      <c r="Q1947" t="n">
        <v>15.6</v>
      </c>
      <c r="R1947" t="n">
        <v>28.8</v>
      </c>
      <c r="S1947" t="n">
        <v>19.2</v>
      </c>
      <c r="T1947" t="n">
        <v>35.5</v>
      </c>
      <c r="U1947" t="inlineStr">
        <is>
          <t>21,633</t>
        </is>
      </c>
      <c r="V1947" t="n">
        <v>14</v>
      </c>
      <c r="W1947" t="inlineStr">
        <is>
          <t>9%</t>
        </is>
      </c>
      <c r="X1947" t="inlineStr">
        <is>
          <t>62 : 38</t>
        </is>
      </c>
      <c r="Y1947" t="inlineStr"/>
      <c r="Z1947" t="n">
        <v>1501</v>
      </c>
      <c r="AA1947" t="n">
        <v>16.2</v>
      </c>
      <c r="AB1947" t="inlineStr">
        <is>
          <t>U1946</t>
        </is>
      </c>
      <c r="AC1947" t="inlineStr">
        <is>
          <t>PO</t>
        </is>
      </c>
      <c r="AD1947" t="n">
        <v>16.2</v>
      </c>
      <c r="AE1947" t="n">
        <v>28.8</v>
      </c>
      <c r="AF1947" t="n">
        <v>14</v>
      </c>
      <c r="AG1947" t="inlineStr">
        <is>
          <t>1:14.0</t>
        </is>
      </c>
      <c r="AH1947" t="inlineStr">
        <is>
          <t>9%</t>
        </is>
      </c>
      <c r="AI1947" t="inlineStr"/>
      <c r="AJ1947" t="n">
        <v>18.88</v>
      </c>
    </row>
    <row r="1948">
      <c r="A1948" t="inlineStr">
        <is>
          <t>University of Dar es Salaam</t>
        </is>
      </c>
      <c r="B1948" t="inlineStr">
        <is>
          <t>Tanzania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>
        <is>
          <t>1501+</t>
        </is>
      </c>
      <c r="O1948" t="inlineStr">
        <is>
          <t>9.7–22.7</t>
        </is>
      </c>
      <c r="P1948" t="n">
        <v>14.4</v>
      </c>
      <c r="Q1948" t="n">
        <v>10.3</v>
      </c>
      <c r="R1948" t="n">
        <v>28.2</v>
      </c>
      <c r="S1948" t="n">
        <v>21.7</v>
      </c>
      <c r="T1948" t="n">
        <v>49.5</v>
      </c>
      <c r="U1948" t="inlineStr">
        <is>
          <t>36,666</t>
        </is>
      </c>
      <c r="V1948" t="n">
        <v>21.1</v>
      </c>
      <c r="W1948" t="inlineStr">
        <is>
          <t>0%</t>
        </is>
      </c>
      <c r="X1948" t="inlineStr">
        <is>
          <t>47 : 53</t>
        </is>
      </c>
      <c r="Y1948" t="inlineStr"/>
      <c r="Z1948" t="n">
        <v>1501</v>
      </c>
      <c r="AA1948" t="n">
        <v>16.2</v>
      </c>
      <c r="AB1948" t="inlineStr">
        <is>
          <t>U1947</t>
        </is>
      </c>
      <c r="AC1948" t="inlineStr">
        <is>
          <t>TA</t>
        </is>
      </c>
      <c r="AD1948" t="n">
        <v>16.2</v>
      </c>
      <c r="AE1948" t="n">
        <v>28.2</v>
      </c>
      <c r="AF1948" t="n">
        <v>21.1</v>
      </c>
      <c r="AG1948" t="inlineStr">
        <is>
          <t>1:21.1</t>
        </is>
      </c>
      <c r="AH1948" t="inlineStr">
        <is>
          <t>0%</t>
        </is>
      </c>
      <c r="AI1948" t="inlineStr"/>
      <c r="AJ1948" t="n">
        <v>19.31</v>
      </c>
    </row>
    <row r="1949">
      <c r="A1949" t="inlineStr">
        <is>
          <t>University of Debrecen</t>
        </is>
      </c>
      <c r="B1949" t="inlineStr">
        <is>
          <t>Hungary</t>
        </is>
      </c>
      <c r="C1949" t="inlineStr">
        <is>
          <t>574</t>
        </is>
      </c>
      <c r="D1949" t="n">
        <v>21.5</v>
      </c>
      <c r="E1949" t="n">
        <v>17.9</v>
      </c>
      <c r="F1949" t="n">
        <v>13.9</v>
      </c>
      <c r="G1949" t="n">
        <v>34</v>
      </c>
      <c r="H1949" t="n">
        <v>3.9</v>
      </c>
      <c r="I1949" t="n">
        <v>10.6</v>
      </c>
      <c r="J1949" t="n">
        <v>70</v>
      </c>
      <c r="K1949" t="n">
        <v>76.7</v>
      </c>
      <c r="L1949" t="n">
        <v>21.4</v>
      </c>
      <c r="M1949" t="n">
        <v>39.5</v>
      </c>
      <c r="N1949" t="inlineStr">
        <is>
          <t>601–800</t>
        </is>
      </c>
      <c r="O1949" t="inlineStr">
        <is>
          <t>37.0–41.8</t>
        </is>
      </c>
      <c r="P1949" t="n">
        <v>41.2</v>
      </c>
      <c r="Q1949" t="n">
        <v>22.5</v>
      </c>
      <c r="R1949" t="n">
        <v>40.7</v>
      </c>
      <c r="S1949" t="n">
        <v>51.1</v>
      </c>
      <c r="T1949" t="n">
        <v>59.7</v>
      </c>
      <c r="U1949" t="inlineStr">
        <is>
          <t>19,964</t>
        </is>
      </c>
      <c r="V1949" t="n">
        <v>12</v>
      </c>
      <c r="W1949" t="inlineStr">
        <is>
          <t>24%</t>
        </is>
      </c>
      <c r="X1949" t="inlineStr">
        <is>
          <t>56 : 44</t>
        </is>
      </c>
      <c r="Y1949" t="n">
        <v>574</v>
      </c>
      <c r="Z1949" t="n">
        <v>601</v>
      </c>
      <c r="AA1949" t="n">
        <v>39.4</v>
      </c>
      <c r="AB1949" t="inlineStr">
        <is>
          <t>U1948</t>
        </is>
      </c>
      <c r="AC1949" t="inlineStr">
        <is>
          <t>HU</t>
        </is>
      </c>
      <c r="AD1949" t="n">
        <v>21.5</v>
      </c>
      <c r="AE1949" t="n">
        <v>3.9</v>
      </c>
      <c r="AF1949" t="n">
        <v>12</v>
      </c>
      <c r="AG1949" t="inlineStr">
        <is>
          <t>1:12.0</t>
        </is>
      </c>
      <c r="AH1949" t="inlineStr">
        <is>
          <t>24%</t>
        </is>
      </c>
      <c r="AI1949" t="n">
        <v>17.9</v>
      </c>
      <c r="AJ1949" t="n">
        <v>20.8</v>
      </c>
    </row>
    <row r="1950">
      <c r="A1950" t="inlineStr">
        <is>
          <t>University of Delaware</t>
        </is>
      </c>
      <c r="B1950" t="inlineStr">
        <is>
          <t>United States</t>
        </is>
      </c>
      <c r="C1950" t="inlineStr">
        <is>
          <t>506</t>
        </is>
      </c>
      <c r="D1950" t="n">
        <v>24</v>
      </c>
      <c r="E1950" t="n">
        <v>9.4</v>
      </c>
      <c r="F1950" t="n">
        <v>7.9</v>
      </c>
      <c r="G1950" t="n">
        <v>6.6</v>
      </c>
      <c r="H1950" t="n">
        <v>53.9</v>
      </c>
      <c r="I1950" t="n">
        <v>30</v>
      </c>
      <c r="J1950" t="n">
        <v>12.6</v>
      </c>
      <c r="K1950" t="n">
        <v>66.5</v>
      </c>
      <c r="L1950" t="n">
        <v>16.9</v>
      </c>
      <c r="M1950" t="n">
        <v>65.3</v>
      </c>
      <c r="N1950" t="inlineStr">
        <is>
          <t>401–500</t>
        </is>
      </c>
      <c r="O1950" t="inlineStr">
        <is>
          <t>45.4–49.0</t>
        </is>
      </c>
      <c r="P1950" t="n">
        <v>32.7</v>
      </c>
      <c r="Q1950" t="n">
        <v>31.8</v>
      </c>
      <c r="R1950" t="n">
        <v>72.5</v>
      </c>
      <c r="S1950" t="n">
        <v>80.90000000000001</v>
      </c>
      <c r="T1950" t="n">
        <v>62.3</v>
      </c>
      <c r="U1950" t="inlineStr">
        <is>
          <t>21,545</t>
        </is>
      </c>
      <c r="V1950" t="n">
        <v>16.1</v>
      </c>
      <c r="W1950" t="inlineStr">
        <is>
          <t>11%</t>
        </is>
      </c>
      <c r="X1950" t="inlineStr">
        <is>
          <t>57 : 43</t>
        </is>
      </c>
      <c r="Y1950" t="n">
        <v>506</v>
      </c>
      <c r="Z1950" t="n">
        <v>401</v>
      </c>
      <c r="AA1950" t="n">
        <v>47.2</v>
      </c>
      <c r="AB1950" t="inlineStr">
        <is>
          <t>U1949</t>
        </is>
      </c>
      <c r="AC1950" t="inlineStr">
        <is>
          <t>UN</t>
        </is>
      </c>
      <c r="AD1950" t="n">
        <v>24</v>
      </c>
      <c r="AE1950" t="n">
        <v>53.9</v>
      </c>
      <c r="AF1950" t="n">
        <v>16.1</v>
      </c>
      <c r="AG1950" t="inlineStr">
        <is>
          <t>1:16.1</t>
        </is>
      </c>
      <c r="AH1950" t="inlineStr">
        <is>
          <t>11%</t>
        </is>
      </c>
      <c r="AI1950" t="n">
        <v>9.4</v>
      </c>
      <c r="AJ1950" t="n">
        <v>41.46</v>
      </c>
    </row>
    <row r="1951">
      <c r="A1951" t="inlineStr">
        <is>
          <t>University of Delhi</t>
        </is>
      </c>
      <c r="B1951" t="inlineStr">
        <is>
          <t>India</t>
        </is>
      </c>
      <c r="C1951" t="inlineStr">
        <is>
          <t>328</t>
        </is>
      </c>
      <c r="D1951" t="n">
        <v>33.8</v>
      </c>
      <c r="E1951" t="n">
        <v>38.1</v>
      </c>
      <c r="F1951" t="n">
        <v>35.3</v>
      </c>
      <c r="G1951" t="n">
        <v>4.3</v>
      </c>
      <c r="H1951" t="n">
        <v>25.9</v>
      </c>
      <c r="I1951" t="n">
        <v>1.3</v>
      </c>
      <c r="J1951" t="n">
        <v>1.5</v>
      </c>
      <c r="K1951" t="n">
        <v>75.09999999999999</v>
      </c>
      <c r="L1951" t="n">
        <v>96</v>
      </c>
      <c r="M1951" t="n">
        <v>70.59999999999999</v>
      </c>
      <c r="N1951" t="inlineStr">
        <is>
          <t>801–1000</t>
        </is>
      </c>
      <c r="O1951" t="inlineStr">
        <is>
          <t>32.7–36.9</t>
        </is>
      </c>
      <c r="P1951" t="n">
        <v>40.4</v>
      </c>
      <c r="Q1951" t="n">
        <v>24.2</v>
      </c>
      <c r="R1951" t="n">
        <v>39</v>
      </c>
      <c r="S1951" t="n">
        <v>40.5</v>
      </c>
      <c r="T1951" t="n">
        <v>23.3</v>
      </c>
      <c r="U1951" t="inlineStr">
        <is>
          <t>29,532</t>
        </is>
      </c>
      <c r="V1951" t="n">
        <v>23.8</v>
      </c>
      <c r="W1951" t="inlineStr">
        <is>
          <t>1%</t>
        </is>
      </c>
      <c r="X1951" t="inlineStr">
        <is>
          <t>48 : 52</t>
        </is>
      </c>
      <c r="Y1951" t="n">
        <v>328</v>
      </c>
      <c r="Z1951" t="n">
        <v>801</v>
      </c>
      <c r="AA1951" t="n">
        <v>34.8</v>
      </c>
      <c r="AB1951" t="inlineStr">
        <is>
          <t>U1950</t>
        </is>
      </c>
      <c r="AC1951" t="inlineStr">
        <is>
          <t>IN</t>
        </is>
      </c>
      <c r="AD1951" t="n">
        <v>33.8</v>
      </c>
      <c r="AE1951" t="n">
        <v>25.9</v>
      </c>
      <c r="AF1951" t="n">
        <v>23.8</v>
      </c>
      <c r="AG1951" t="inlineStr">
        <is>
          <t>1:23.8</t>
        </is>
      </c>
      <c r="AH1951" t="inlineStr">
        <is>
          <t>1%</t>
        </is>
      </c>
      <c r="AI1951" t="n">
        <v>38.1</v>
      </c>
      <c r="AJ1951" t="n">
        <v>19.56</v>
      </c>
    </row>
    <row r="1952">
      <c r="A1952" t="inlineStr">
        <is>
          <t>University of Denver</t>
        </is>
      </c>
      <c r="B1952" t="inlineStr">
        <is>
          <t>United States</t>
        </is>
      </c>
      <c r="C1952" t="inlineStr">
        <is>
          <t>951-1000</t>
        </is>
      </c>
      <c r="D1952" t="inlineStr"/>
      <c r="E1952" t="n">
        <v>5.4</v>
      </c>
      <c r="F1952" t="n">
        <v>7.4</v>
      </c>
      <c r="G1952" t="n">
        <v>42.2</v>
      </c>
      <c r="H1952" t="n">
        <v>7.8</v>
      </c>
      <c r="I1952" t="n">
        <v>7.7</v>
      </c>
      <c r="J1952" t="n">
        <v>5.8</v>
      </c>
      <c r="K1952" t="n">
        <v>32.7</v>
      </c>
      <c r="L1952" t="n">
        <v>25.6</v>
      </c>
      <c r="M1952" t="n">
        <v>9.9</v>
      </c>
      <c r="N1952" t="inlineStr">
        <is>
          <t>501–600</t>
        </is>
      </c>
      <c r="O1952" t="inlineStr">
        <is>
          <t>41.9–45.3</t>
        </is>
      </c>
      <c r="P1952" t="n">
        <v>39.9</v>
      </c>
      <c r="Q1952" t="n">
        <v>24.3</v>
      </c>
      <c r="R1952" t="n">
        <v>64.2</v>
      </c>
      <c r="S1952" t="n">
        <v>55.8</v>
      </c>
      <c r="T1952" t="n">
        <v>31.2</v>
      </c>
      <c r="U1952" t="inlineStr">
        <is>
          <t>10,367</t>
        </is>
      </c>
      <c r="V1952" t="n">
        <v>13.6</v>
      </c>
      <c r="W1952" t="inlineStr">
        <is>
          <t>5%</t>
        </is>
      </c>
      <c r="X1952" t="inlineStr">
        <is>
          <t>60 : 40</t>
        </is>
      </c>
      <c r="Y1952" t="n">
        <v>951</v>
      </c>
      <c r="Z1952" t="n">
        <v>501</v>
      </c>
      <c r="AA1952" t="n">
        <v>43.59999999999999</v>
      </c>
      <c r="AB1952" t="inlineStr">
        <is>
          <t>U1951</t>
        </is>
      </c>
      <c r="AC1952" t="inlineStr">
        <is>
          <t>UN</t>
        </is>
      </c>
      <c r="AD1952" t="n">
        <v>43.59999999999999</v>
      </c>
      <c r="AE1952" t="n">
        <v>7.8</v>
      </c>
      <c r="AF1952" t="n">
        <v>13.6</v>
      </c>
      <c r="AG1952" t="inlineStr">
        <is>
          <t>1:13.6</t>
        </is>
      </c>
      <c r="AH1952" t="inlineStr">
        <is>
          <t>5%</t>
        </is>
      </c>
      <c r="AI1952" t="n">
        <v>5.4</v>
      </c>
      <c r="AJ1952" t="n">
        <v>16.04</v>
      </c>
    </row>
    <row r="1953">
      <c r="A1953" t="inlineStr">
        <is>
          <t>University of Derby</t>
        </is>
      </c>
      <c r="B1953" t="inlineStr">
        <is>
          <t>United Kingdom</t>
        </is>
      </c>
      <c r="C1953" t="inlineStr">
        <is>
          <t>1001-1200</t>
        </is>
      </c>
      <c r="D1953" t="inlineStr"/>
      <c r="E1953" t="n">
        <v>4.8</v>
      </c>
      <c r="F1953" t="n">
        <v>4.8</v>
      </c>
      <c r="G1953" t="n">
        <v>10.7</v>
      </c>
      <c r="H1953" t="n">
        <v>5.1</v>
      </c>
      <c r="I1953" t="n">
        <v>29.1</v>
      </c>
      <c r="J1953" t="n">
        <v>45.5</v>
      </c>
      <c r="K1953" t="n">
        <v>45.7</v>
      </c>
      <c r="L1953" t="n">
        <v>2.1</v>
      </c>
      <c r="M1953" t="n">
        <v>2.4</v>
      </c>
      <c r="N1953" t="inlineStr">
        <is>
          <t>601–800</t>
        </is>
      </c>
      <c r="O1953" t="inlineStr">
        <is>
          <t>37.0–41.8</t>
        </is>
      </c>
      <c r="P1953" t="n">
        <v>18.5</v>
      </c>
      <c r="Q1953" t="n">
        <v>12.8</v>
      </c>
      <c r="R1953" t="n">
        <v>71.8</v>
      </c>
      <c r="S1953" t="n">
        <v>26.5</v>
      </c>
      <c r="T1953" t="n">
        <v>75</v>
      </c>
      <c r="U1953" t="inlineStr">
        <is>
          <t>16,170</t>
        </is>
      </c>
      <c r="V1953" t="n">
        <v>15.8</v>
      </c>
      <c r="W1953" t="inlineStr">
        <is>
          <t>18%</t>
        </is>
      </c>
      <c r="X1953" t="inlineStr">
        <is>
          <t>60 : 40</t>
        </is>
      </c>
      <c r="Y1953" t="n">
        <v>1001</v>
      </c>
      <c r="Z1953" t="n">
        <v>601</v>
      </c>
      <c r="AA1953" t="n">
        <v>39.4</v>
      </c>
      <c r="AB1953" t="inlineStr">
        <is>
          <t>U1952</t>
        </is>
      </c>
      <c r="AC1953" t="inlineStr">
        <is>
          <t>UN</t>
        </is>
      </c>
      <c r="AD1953" t="n">
        <v>39.4</v>
      </c>
      <c r="AE1953" t="n">
        <v>5.1</v>
      </c>
      <c r="AF1953" t="n">
        <v>15.8</v>
      </c>
      <c r="AG1953" t="inlineStr">
        <is>
          <t>1:15.8</t>
        </is>
      </c>
      <c r="AH1953" t="inlineStr">
        <is>
          <t>18%</t>
        </is>
      </c>
      <c r="AI1953" t="n">
        <v>4.8</v>
      </c>
      <c r="AJ1953" t="n">
        <v>19.78</v>
      </c>
    </row>
    <row r="1954">
      <c r="A1954" t="inlineStr">
        <is>
          <t>University of Desarrollo</t>
        </is>
      </c>
      <c r="B1954" t="inlineStr">
        <is>
          <t>Chile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>
        <is>
          <t>1001–1200</t>
        </is>
      </c>
      <c r="O1954" t="inlineStr">
        <is>
          <t>28.3–32.6</t>
        </is>
      </c>
      <c r="P1954" t="n">
        <v>17.8</v>
      </c>
      <c r="Q1954" t="n">
        <v>10.8</v>
      </c>
      <c r="R1954" t="n">
        <v>53</v>
      </c>
      <c r="S1954" t="n">
        <v>21.2</v>
      </c>
      <c r="T1954" t="n">
        <v>52.2</v>
      </c>
      <c r="U1954" t="inlineStr">
        <is>
          <t>16,638</t>
        </is>
      </c>
      <c r="V1954" t="n">
        <v>14.4</v>
      </c>
      <c r="W1954" t="inlineStr">
        <is>
          <t>4%</t>
        </is>
      </c>
      <c r="X1954" t="inlineStr">
        <is>
          <t>57 : 43</t>
        </is>
      </c>
      <c r="Y1954" t="inlineStr"/>
      <c r="Z1954" t="n">
        <v>1001</v>
      </c>
      <c r="AA1954" t="n">
        <v>30.45</v>
      </c>
      <c r="AB1954" t="inlineStr">
        <is>
          <t>U1953</t>
        </is>
      </c>
      <c r="AC1954" t="inlineStr">
        <is>
          <t>CH</t>
        </is>
      </c>
      <c r="AD1954" t="n">
        <v>30.45</v>
      </c>
      <c r="AE1954" t="n">
        <v>53</v>
      </c>
      <c r="AF1954" t="n">
        <v>14.4</v>
      </c>
      <c r="AG1954" t="inlineStr">
        <is>
          <t>1:14.4</t>
        </is>
      </c>
      <c r="AH1954" t="inlineStr">
        <is>
          <t>4%</t>
        </is>
      </c>
      <c r="AI1954" t="inlineStr"/>
      <c r="AJ1954" t="n">
        <v>27.74</v>
      </c>
    </row>
    <row r="1955">
      <c r="A1955" t="inlineStr">
        <is>
          <t>University of Deusto</t>
        </is>
      </c>
      <c r="B1955" t="inlineStr">
        <is>
          <t>Spain</t>
        </is>
      </c>
      <c r="C1955" t="inlineStr">
        <is>
          <t>1001-1200</t>
        </is>
      </c>
      <c r="D1955" t="inlineStr"/>
      <c r="E1955" t="n">
        <v>6.3</v>
      </c>
      <c r="F1955" t="n">
        <v>24.9</v>
      </c>
      <c r="G1955" t="n">
        <v>4.6</v>
      </c>
      <c r="H1955" t="n">
        <v>7.8</v>
      </c>
      <c r="I1955" t="n">
        <v>4.7</v>
      </c>
      <c r="J1955" t="n">
        <v>14.5</v>
      </c>
      <c r="K1955" t="n">
        <v>24.2</v>
      </c>
      <c r="L1955" t="n">
        <v>45</v>
      </c>
      <c r="M1955" t="n">
        <v>1.1</v>
      </c>
      <c r="N1955" t="inlineStr">
        <is>
          <t>801–1000</t>
        </is>
      </c>
      <c r="O1955" t="inlineStr">
        <is>
          <t>32.7–36.9</t>
        </is>
      </c>
      <c r="P1955" t="n">
        <v>22.5</v>
      </c>
      <c r="Q1955" t="n">
        <v>23.2</v>
      </c>
      <c r="R1955" t="n">
        <v>54.3</v>
      </c>
      <c r="S1955" t="n">
        <v>36.6</v>
      </c>
      <c r="T1955" t="n">
        <v>42.3</v>
      </c>
      <c r="U1955" t="inlineStr">
        <is>
          <t>9,570</t>
        </is>
      </c>
      <c r="V1955" t="n">
        <v>18.8</v>
      </c>
      <c r="W1955" t="inlineStr">
        <is>
          <t>6%</t>
        </is>
      </c>
      <c r="X1955" t="inlineStr">
        <is>
          <t>57 : 43</t>
        </is>
      </c>
      <c r="Y1955" t="n">
        <v>1001</v>
      </c>
      <c r="Z1955" t="n">
        <v>801</v>
      </c>
      <c r="AA1955" t="n">
        <v>34.8</v>
      </c>
      <c r="AB1955" t="inlineStr">
        <is>
          <t>U1954</t>
        </is>
      </c>
      <c r="AC1955" t="inlineStr">
        <is>
          <t>SP</t>
        </is>
      </c>
      <c r="AD1955" t="n">
        <v>34.8</v>
      </c>
      <c r="AE1955" t="n">
        <v>7.8</v>
      </c>
      <c r="AF1955" t="n">
        <v>18.8</v>
      </c>
      <c r="AG1955" t="inlineStr">
        <is>
          <t>1:18.8</t>
        </is>
      </c>
      <c r="AH1955" t="inlineStr">
        <is>
          <t>6%</t>
        </is>
      </c>
      <c r="AI1955" t="n">
        <v>6.3</v>
      </c>
      <c r="AJ1955" t="n">
        <v>18.15</v>
      </c>
    </row>
    <row r="1956">
      <c r="A1956" t="inlineStr">
        <is>
          <t>University of Dhaka</t>
        </is>
      </c>
      <c r="B1956" t="inlineStr">
        <is>
          <t>Bangladesh</t>
        </is>
      </c>
      <c r="C1956" t="inlineStr">
        <is>
          <t>554</t>
        </is>
      </c>
      <c r="D1956" t="n">
        <v>22.4</v>
      </c>
      <c r="E1956" t="n">
        <v>23</v>
      </c>
      <c r="F1956" t="n">
        <v>45.6</v>
      </c>
      <c r="G1956" t="n">
        <v>11.2</v>
      </c>
      <c r="H1956" t="n">
        <v>2.9</v>
      </c>
      <c r="I1956" t="n">
        <v>1.6</v>
      </c>
      <c r="J1956" t="n">
        <v>1</v>
      </c>
      <c r="K1956" t="n">
        <v>52</v>
      </c>
      <c r="L1956" t="n">
        <v>93.7</v>
      </c>
      <c r="M1956" t="n">
        <v>11.8</v>
      </c>
      <c r="N1956" t="inlineStr">
        <is>
          <t>801–1000</t>
        </is>
      </c>
      <c r="O1956" t="inlineStr">
        <is>
          <t>32.7–36.9</t>
        </is>
      </c>
      <c r="P1956" t="n">
        <v>17.5</v>
      </c>
      <c r="Q1956" t="n">
        <v>10</v>
      </c>
      <c r="R1956" t="n">
        <v>68.8</v>
      </c>
      <c r="S1956" t="n">
        <v>18.1</v>
      </c>
      <c r="T1956" t="n">
        <v>48.5</v>
      </c>
      <c r="U1956" t="inlineStr">
        <is>
          <t>216,258</t>
        </is>
      </c>
      <c r="V1956" t="n">
        <v>15.3</v>
      </c>
      <c r="W1956" t="inlineStr">
        <is>
          <t>3%</t>
        </is>
      </c>
      <c r="X1956" t="inlineStr">
        <is>
          <t>50 : 50</t>
        </is>
      </c>
      <c r="Y1956" t="n">
        <v>554</v>
      </c>
      <c r="Z1956" t="n">
        <v>801</v>
      </c>
      <c r="AA1956" t="n">
        <v>34.8</v>
      </c>
      <c r="AB1956" t="inlineStr">
        <is>
          <t>U1955</t>
        </is>
      </c>
      <c r="AC1956" t="inlineStr">
        <is>
          <t>BA</t>
        </is>
      </c>
      <c r="AD1956" t="n">
        <v>22.4</v>
      </c>
      <c r="AE1956" t="n">
        <v>2.9</v>
      </c>
      <c r="AF1956" t="n">
        <v>15.3</v>
      </c>
      <c r="AG1956" t="inlineStr">
        <is>
          <t>1:15.3</t>
        </is>
      </c>
      <c r="AH1956" t="inlineStr">
        <is>
          <t>3%</t>
        </is>
      </c>
      <c r="AI1956" t="n">
        <v>23</v>
      </c>
      <c r="AJ1956" t="n">
        <v>11.24</v>
      </c>
    </row>
    <row r="1957">
      <c r="A1957" t="inlineStr">
        <is>
          <t>University of Diyala</t>
        </is>
      </c>
      <c r="B1957" t="inlineStr">
        <is>
          <t>Iraq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>
        <is>
          <t>1201–1500</t>
        </is>
      </c>
      <c r="O1957" t="inlineStr">
        <is>
          <t>22.8–28.2</t>
        </is>
      </c>
      <c r="P1957" t="n">
        <v>26.6</v>
      </c>
      <c r="Q1957" t="n">
        <v>8.199999999999999</v>
      </c>
      <c r="R1957" t="n">
        <v>44.3</v>
      </c>
      <c r="S1957" t="n">
        <v>20.5</v>
      </c>
      <c r="T1957" t="n">
        <v>28.3</v>
      </c>
      <c r="U1957" t="inlineStr">
        <is>
          <t>29,461</t>
        </is>
      </c>
      <c r="V1957" t="n">
        <v>17.9</v>
      </c>
      <c r="W1957" t="inlineStr">
        <is>
          <t>0%</t>
        </is>
      </c>
      <c r="X1957" t="inlineStr">
        <is>
          <t>54 : 46</t>
        </is>
      </c>
      <c r="Y1957" t="inlineStr"/>
      <c r="Z1957" t="n">
        <v>1201</v>
      </c>
      <c r="AA1957" t="n">
        <v>25.5</v>
      </c>
      <c r="AB1957" t="inlineStr">
        <is>
          <t>U1956</t>
        </is>
      </c>
      <c r="AC1957" t="inlineStr">
        <is>
          <t>IR</t>
        </is>
      </c>
      <c r="AD1957" t="n">
        <v>25.5</v>
      </c>
      <c r="AE1957" t="n">
        <v>44.3</v>
      </c>
      <c r="AF1957" t="n">
        <v>17.9</v>
      </c>
      <c r="AG1957" t="inlineStr">
        <is>
          <t>1:17.9</t>
        </is>
      </c>
      <c r="AH1957" t="inlineStr">
        <is>
          <t>0%</t>
        </is>
      </c>
      <c r="AI1957" t="inlineStr"/>
      <c r="AJ1957" t="n">
        <v>17.96</v>
      </c>
    </row>
    <row r="1958">
      <c r="A1958" t="inlineStr">
        <is>
          <t>University of Dubai</t>
        </is>
      </c>
      <c r="B1958" t="inlineStr">
        <is>
          <t>United Arab Emirates</t>
        </is>
      </c>
      <c r="C1958" t="inlineStr">
        <is>
          <t>851-900</t>
        </is>
      </c>
      <c r="D1958" t="inlineStr"/>
      <c r="E1958" t="n">
        <v>5.2</v>
      </c>
      <c r="F1958" t="n">
        <v>4.2</v>
      </c>
      <c r="G1958" t="n">
        <v>10.6</v>
      </c>
      <c r="H1958" t="n">
        <v>11</v>
      </c>
      <c r="I1958" t="n">
        <v>100</v>
      </c>
      <c r="J1958" t="n">
        <v>72</v>
      </c>
      <c r="K1958" t="n">
        <v>8.199999999999999</v>
      </c>
      <c r="L1958" t="n">
        <v>10.2</v>
      </c>
      <c r="M1958" t="n">
        <v>1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n">
        <v>851</v>
      </c>
      <c r="Z1958" t="inlineStr"/>
      <c r="AA1958" t="inlineStr"/>
      <c r="AB1958" t="inlineStr">
        <is>
          <t>U1957</t>
        </is>
      </c>
      <c r="AC1958" t="inlineStr">
        <is>
          <t>UN</t>
        </is>
      </c>
      <c r="AD1958" t="inlineStr"/>
      <c r="AE1958" t="n">
        <v>11</v>
      </c>
      <c r="AF1958" t="inlineStr"/>
      <c r="AG1958" t="inlineStr"/>
      <c r="AH1958" t="inlineStr"/>
      <c r="AI1958" t="n">
        <v>5.2</v>
      </c>
      <c r="AJ1958" t="n">
        <v>16.72</v>
      </c>
    </row>
    <row r="1959">
      <c r="A1959" t="inlineStr">
        <is>
          <t xml:space="preserve"> University of Dundee</t>
        </is>
      </c>
      <c r="B1959" t="inlineStr">
        <is>
          <t>United Kingdom</t>
        </is>
      </c>
      <c r="C1959" t="inlineStr">
        <is>
          <t>418</t>
        </is>
      </c>
      <c r="D1959" t="n">
        <v>28.5</v>
      </c>
      <c r="E1959" t="n">
        <v>18.4</v>
      </c>
      <c r="F1959" t="n">
        <v>13.7</v>
      </c>
      <c r="G1959" t="n">
        <v>30.8</v>
      </c>
      <c r="H1959" t="n">
        <v>14</v>
      </c>
      <c r="I1959" t="n">
        <v>91.09999999999999</v>
      </c>
      <c r="J1959" t="n">
        <v>89.40000000000001</v>
      </c>
      <c r="K1959" t="n">
        <v>75.2</v>
      </c>
      <c r="L1959" t="n">
        <v>7.4</v>
      </c>
      <c r="M1959" t="n">
        <v>55.4</v>
      </c>
      <c r="N1959" t="inlineStr">
        <is>
          <t>301–350</t>
        </is>
      </c>
      <c r="O1959" t="inlineStr">
        <is>
          <t>51.1–53.0</t>
        </is>
      </c>
      <c r="P1959" t="n">
        <v>26.7</v>
      </c>
      <c r="Q1959" t="n">
        <v>32.1</v>
      </c>
      <c r="R1959" t="n">
        <v>84.90000000000001</v>
      </c>
      <c r="S1959" t="n">
        <v>83</v>
      </c>
      <c r="T1959" t="n">
        <v>91.09999999999999</v>
      </c>
      <c r="U1959" t="inlineStr">
        <is>
          <t>14,145</t>
        </is>
      </c>
      <c r="V1959" t="n">
        <v>18.1</v>
      </c>
      <c r="W1959" t="inlineStr">
        <is>
          <t>25%</t>
        </is>
      </c>
      <c r="X1959" t="inlineStr">
        <is>
          <t>65 : 35</t>
        </is>
      </c>
      <c r="Y1959" t="n">
        <v>418</v>
      </c>
      <c r="Z1959" t="n">
        <v>301</v>
      </c>
      <c r="AA1959" t="n">
        <v>52.05</v>
      </c>
      <c r="AB1959" t="inlineStr">
        <is>
          <t>U1958</t>
        </is>
      </c>
      <c r="AC1959" t="inlineStr">
        <is>
          <t>UN</t>
        </is>
      </c>
      <c r="AD1959" t="n">
        <v>28.5</v>
      </c>
      <c r="AE1959" t="n">
        <v>14</v>
      </c>
      <c r="AF1959" t="n">
        <v>18.1</v>
      </c>
      <c r="AG1959" t="inlineStr">
        <is>
          <t>1:18.1</t>
        </is>
      </c>
      <c r="AH1959" t="inlineStr">
        <is>
          <t>25%</t>
        </is>
      </c>
      <c r="AI1959" t="n">
        <v>18.4</v>
      </c>
      <c r="AJ1959" t="n">
        <v>36.49</v>
      </c>
    </row>
    <row r="1960">
      <c r="A1960" t="inlineStr">
        <is>
          <t>University of East Anglia (UEA)</t>
        </is>
      </c>
      <c r="B1960" t="inlineStr">
        <is>
          <t>United Kingdom</t>
        </is>
      </c>
      <c r="C1960" t="inlineStr">
        <is>
          <t>332</t>
        </is>
      </c>
      <c r="D1960" t="n">
        <v>33.6</v>
      </c>
      <c r="E1960" t="n">
        <v>17.2</v>
      </c>
      <c r="F1960" t="n">
        <v>7.2</v>
      </c>
      <c r="G1960" t="n">
        <v>15.2</v>
      </c>
      <c r="H1960" t="n">
        <v>58.7</v>
      </c>
      <c r="I1960" t="n">
        <v>66.8</v>
      </c>
      <c r="J1960" t="n">
        <v>32.2</v>
      </c>
      <c r="K1960" t="n">
        <v>87.90000000000001</v>
      </c>
      <c r="L1960" t="n">
        <v>19.2</v>
      </c>
      <c r="M1960" t="n">
        <v>91.40000000000001</v>
      </c>
      <c r="N1960" t="inlineStr">
        <is>
          <t>251–300</t>
        </is>
      </c>
      <c r="O1960" t="inlineStr">
        <is>
          <t>53.1–55.8</t>
        </is>
      </c>
      <c r="P1960" t="n">
        <v>31.1</v>
      </c>
      <c r="Q1960" t="n">
        <v>32</v>
      </c>
      <c r="R1960" t="n">
        <v>90.90000000000001</v>
      </c>
      <c r="S1960" t="n">
        <v>51.6</v>
      </c>
      <c r="T1960" t="n">
        <v>88.7</v>
      </c>
      <c r="U1960" t="inlineStr">
        <is>
          <t>16,475</t>
        </is>
      </c>
      <c r="V1960" t="n">
        <v>14.3</v>
      </c>
      <c r="W1960" t="inlineStr">
        <is>
          <t>21%</t>
        </is>
      </c>
      <c r="X1960" t="inlineStr">
        <is>
          <t>57 : 43</t>
        </is>
      </c>
      <c r="Y1960" t="n">
        <v>332</v>
      </c>
      <c r="Z1960" t="n">
        <v>251</v>
      </c>
      <c r="AA1960" t="n">
        <v>54.45</v>
      </c>
      <c r="AB1960" t="inlineStr">
        <is>
          <t>U1959</t>
        </is>
      </c>
      <c r="AC1960" t="inlineStr">
        <is>
          <t>UN</t>
        </is>
      </c>
      <c r="AD1960" t="n">
        <v>33.6</v>
      </c>
      <c r="AE1960" t="n">
        <v>58.7</v>
      </c>
      <c r="AF1960" t="n">
        <v>14.3</v>
      </c>
      <c r="AG1960" t="inlineStr">
        <is>
          <t>1:14.3</t>
        </is>
      </c>
      <c r="AH1960" t="inlineStr">
        <is>
          <t>21%</t>
        </is>
      </c>
      <c r="AI1960" t="n">
        <v>17.2</v>
      </c>
      <c r="AJ1960" t="n">
        <v>49.4</v>
      </c>
    </row>
    <row r="1961">
      <c r="A1961" t="inlineStr">
        <is>
          <t>University of East London</t>
        </is>
      </c>
      <c r="B1961" t="inlineStr">
        <is>
          <t>United Kingdom</t>
        </is>
      </c>
      <c r="C1961" t="inlineStr">
        <is>
          <t>901-950</t>
        </is>
      </c>
      <c r="D1961" t="inlineStr"/>
      <c r="E1961" t="n">
        <v>3.6</v>
      </c>
      <c r="F1961" t="n">
        <v>3.6</v>
      </c>
      <c r="G1961" t="n">
        <v>3.1</v>
      </c>
      <c r="H1961" t="n">
        <v>6.2</v>
      </c>
      <c r="I1961" t="n">
        <v>73.09999999999999</v>
      </c>
      <c r="J1961" t="n">
        <v>100</v>
      </c>
      <c r="K1961" t="n">
        <v>33.3</v>
      </c>
      <c r="L1961" t="n">
        <v>7.6</v>
      </c>
      <c r="M1961" t="n">
        <v>1.1</v>
      </c>
      <c r="N1961" t="inlineStr">
        <is>
          <t>1001–1200</t>
        </is>
      </c>
      <c r="O1961" t="inlineStr">
        <is>
          <t>28.3–32.6</t>
        </is>
      </c>
      <c r="P1961" t="n">
        <v>21.8</v>
      </c>
      <c r="Q1961" t="n">
        <v>15.1</v>
      </c>
      <c r="R1961" t="n">
        <v>41</v>
      </c>
      <c r="S1961" t="n">
        <v>28.2</v>
      </c>
      <c r="T1961" t="n">
        <v>84.90000000000001</v>
      </c>
      <c r="U1961" t="inlineStr">
        <is>
          <t>14,480</t>
        </is>
      </c>
      <c r="V1961" t="n">
        <v>26.1</v>
      </c>
      <c r="W1961" t="inlineStr">
        <is>
          <t>52%</t>
        </is>
      </c>
      <c r="X1961" t="inlineStr">
        <is>
          <t>56 : 44</t>
        </is>
      </c>
      <c r="Y1961" t="n">
        <v>901</v>
      </c>
      <c r="Z1961" t="n">
        <v>1001</v>
      </c>
      <c r="AA1961" t="n">
        <v>30.45</v>
      </c>
      <c r="AB1961" t="inlineStr">
        <is>
          <t>U1960</t>
        </is>
      </c>
      <c r="AC1961" t="inlineStr">
        <is>
          <t>UN</t>
        </is>
      </c>
      <c r="AD1961" t="n">
        <v>30.45</v>
      </c>
      <c r="AE1961" t="n">
        <v>6.2</v>
      </c>
      <c r="AF1961" t="n">
        <v>26.1</v>
      </c>
      <c r="AG1961" t="inlineStr">
        <is>
          <t>1:26.1</t>
        </is>
      </c>
      <c r="AH1961" t="inlineStr">
        <is>
          <t>52%</t>
        </is>
      </c>
      <c r="AI1961" t="n">
        <v>3.6</v>
      </c>
      <c r="AJ1961" t="n">
        <v>23.72</v>
      </c>
    </row>
    <row r="1962">
      <c r="A1962" t="inlineStr">
        <is>
          <t>University of Eastern Finland</t>
        </is>
      </c>
      <c r="B1962" t="inlineStr">
        <is>
          <t>Finland</t>
        </is>
      </c>
      <c r="C1962" t="inlineStr">
        <is>
          <t>535</t>
        </is>
      </c>
      <c r="D1962" t="n">
        <v>22.9</v>
      </c>
      <c r="E1962" t="n">
        <v>13.8</v>
      </c>
      <c r="F1962" t="n">
        <v>7.6</v>
      </c>
      <c r="G1962" t="n">
        <v>43.7</v>
      </c>
      <c r="H1962" t="n">
        <v>18.4</v>
      </c>
      <c r="I1962" t="n">
        <v>37.4</v>
      </c>
      <c r="J1962" t="n">
        <v>5.2</v>
      </c>
      <c r="K1962" t="n">
        <v>86.40000000000001</v>
      </c>
      <c r="L1962" t="n">
        <v>4.2</v>
      </c>
      <c r="M1962" t="n">
        <v>78.59999999999999</v>
      </c>
      <c r="N1962" t="inlineStr">
        <is>
          <t>501–600</t>
        </is>
      </c>
      <c r="O1962" t="inlineStr">
        <is>
          <t>41.9–45.3</t>
        </is>
      </c>
      <c r="P1962" t="n">
        <v>28.9</v>
      </c>
      <c r="Q1962" t="n">
        <v>31.2</v>
      </c>
      <c r="R1962" t="n">
        <v>69.7</v>
      </c>
      <c r="S1962" t="n">
        <v>67.40000000000001</v>
      </c>
      <c r="T1962" t="n">
        <v>48.5</v>
      </c>
      <c r="U1962" t="inlineStr">
        <is>
          <t>12,237</t>
        </is>
      </c>
      <c r="V1962" t="n">
        <v>18.5</v>
      </c>
      <c r="W1962" t="inlineStr">
        <is>
          <t>5%</t>
        </is>
      </c>
      <c r="X1962" t="inlineStr">
        <is>
          <t>67 : 33</t>
        </is>
      </c>
      <c r="Y1962" t="n">
        <v>535</v>
      </c>
      <c r="Z1962" t="n">
        <v>501</v>
      </c>
      <c r="AA1962" t="n">
        <v>43.59999999999999</v>
      </c>
      <c r="AB1962" t="inlineStr">
        <is>
          <t>U1961</t>
        </is>
      </c>
      <c r="AC1962" t="inlineStr">
        <is>
          <t>FI</t>
        </is>
      </c>
      <c r="AD1962" t="n">
        <v>22.9</v>
      </c>
      <c r="AE1962" t="n">
        <v>18.4</v>
      </c>
      <c r="AF1962" t="n">
        <v>18.5</v>
      </c>
      <c r="AG1962" t="inlineStr">
        <is>
          <t>1:18.5</t>
        </is>
      </c>
      <c r="AH1962" t="inlineStr">
        <is>
          <t>5%</t>
        </is>
      </c>
      <c r="AI1962" t="n">
        <v>13.8</v>
      </c>
      <c r="AJ1962" t="n">
        <v>27.05</v>
      </c>
    </row>
    <row r="1963">
      <c r="A1963" t="inlineStr">
        <is>
          <t>The University of Edinburgh</t>
        </is>
      </c>
      <c r="B1963" t="inlineStr">
        <is>
          <t>United Kingdom</t>
        </is>
      </c>
      <c r="C1963" t="inlineStr">
        <is>
          <t>27</t>
        </is>
      </c>
      <c r="D1963" t="n">
        <v>83.3</v>
      </c>
      <c r="E1963" t="n">
        <v>98.3</v>
      </c>
      <c r="F1963" t="n">
        <v>97.2</v>
      </c>
      <c r="G1963" t="n">
        <v>65.5</v>
      </c>
      <c r="H1963" t="n">
        <v>47.7</v>
      </c>
      <c r="I1963" t="n">
        <v>98.7</v>
      </c>
      <c r="J1963" t="n">
        <v>99.8</v>
      </c>
      <c r="K1963" t="n">
        <v>99.5</v>
      </c>
      <c r="L1963" t="n">
        <v>55.9</v>
      </c>
      <c r="M1963" t="n">
        <v>99</v>
      </c>
      <c r="N1963">
        <f>30</f>
        <v/>
      </c>
      <c r="O1963" t="inlineStr">
        <is>
          <t>82.5</t>
        </is>
      </c>
      <c r="P1963" t="n">
        <v>70.7</v>
      </c>
      <c r="Q1963" t="n">
        <v>77.5</v>
      </c>
      <c r="R1963" t="n">
        <v>96.90000000000001</v>
      </c>
      <c r="S1963" t="n">
        <v>71.09999999999999</v>
      </c>
      <c r="T1963" t="n">
        <v>97</v>
      </c>
      <c r="U1963" t="inlineStr">
        <is>
          <t>33,940</t>
        </is>
      </c>
      <c r="V1963" t="n">
        <v>11.5</v>
      </c>
      <c r="W1963" t="inlineStr">
        <is>
          <t>46%</t>
        </is>
      </c>
      <c r="X1963" t="inlineStr">
        <is>
          <t>61 : 39</t>
        </is>
      </c>
      <c r="Y1963" t="n">
        <v>27</v>
      </c>
      <c r="Z1963" t="n">
        <v>30</v>
      </c>
      <c r="AA1963" t="n">
        <v>82.5</v>
      </c>
      <c r="AB1963" t="inlineStr">
        <is>
          <t>U1962</t>
        </is>
      </c>
      <c r="AC1963" t="inlineStr">
        <is>
          <t>UN</t>
        </is>
      </c>
      <c r="AD1963" t="n">
        <v>83.3</v>
      </c>
      <c r="AE1963" t="n">
        <v>47.7</v>
      </c>
      <c r="AF1963" t="n">
        <v>11.5</v>
      </c>
      <c r="AG1963" t="inlineStr">
        <is>
          <t>1:11.5</t>
        </is>
      </c>
      <c r="AH1963" t="inlineStr">
        <is>
          <t>46%</t>
        </is>
      </c>
      <c r="AI1963" t="n">
        <v>98.3</v>
      </c>
      <c r="AJ1963" t="n">
        <v>71.92</v>
      </c>
    </row>
    <row r="1964">
      <c r="A1964" t="inlineStr">
        <is>
          <t>University of Education, Lahore</t>
        </is>
      </c>
      <c r="B1964" t="inlineStr">
        <is>
          <t>Pakistan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>
        <is>
          <t>1201–1500</t>
        </is>
      </c>
      <c r="O1964" t="inlineStr">
        <is>
          <t>22.8–28.2</t>
        </is>
      </c>
      <c r="P1964" t="n">
        <v>11.4</v>
      </c>
      <c r="Q1964" t="n">
        <v>9.1</v>
      </c>
      <c r="R1964" t="n">
        <v>56.9</v>
      </c>
      <c r="S1964" t="n">
        <v>15.9</v>
      </c>
      <c r="T1964" t="n">
        <v>50.5</v>
      </c>
      <c r="U1964" t="inlineStr">
        <is>
          <t>26,664</t>
        </is>
      </c>
      <c r="V1964" t="n">
        <v>30.6</v>
      </c>
      <c r="W1964" t="inlineStr">
        <is>
          <t>0%</t>
        </is>
      </c>
      <c r="X1964" t="inlineStr">
        <is>
          <t>53 : 47</t>
        </is>
      </c>
      <c r="Y1964" t="inlineStr"/>
      <c r="Z1964" t="n">
        <v>1201</v>
      </c>
      <c r="AA1964" t="n">
        <v>25.5</v>
      </c>
      <c r="AB1964" t="inlineStr">
        <is>
          <t>U1963</t>
        </is>
      </c>
      <c r="AC1964" t="inlineStr">
        <is>
          <t>PA</t>
        </is>
      </c>
      <c r="AD1964" t="n">
        <v>25.5</v>
      </c>
      <c r="AE1964" t="n">
        <v>56.9</v>
      </c>
      <c r="AF1964" t="n">
        <v>30.6</v>
      </c>
      <c r="AG1964" t="inlineStr">
        <is>
          <t>1:30.6</t>
        </is>
      </c>
      <c r="AH1964" t="inlineStr">
        <is>
          <t>0%</t>
        </is>
      </c>
      <c r="AI1964" t="inlineStr"/>
      <c r="AJ1964" t="n">
        <v>27.62</v>
      </c>
    </row>
    <row r="1965">
      <c r="A1965" t="inlineStr">
        <is>
          <t>The University of Electro-Communications</t>
        </is>
      </c>
      <c r="B1965" t="inlineStr">
        <is>
          <t>Japan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>
        <is>
          <t>1201–1500</t>
        </is>
      </c>
      <c r="O1965" t="inlineStr">
        <is>
          <t>22.8–28.2</t>
        </is>
      </c>
      <c r="P1965" t="n">
        <v>22.3</v>
      </c>
      <c r="Q1965" t="n">
        <v>22.7</v>
      </c>
      <c r="R1965" t="n">
        <v>28.4</v>
      </c>
      <c r="S1965" t="n">
        <v>65.90000000000001</v>
      </c>
      <c r="T1965" t="n">
        <v>37.5</v>
      </c>
      <c r="U1965" t="inlineStr">
        <is>
          <t>4,659</t>
        </is>
      </c>
      <c r="V1965" t="n">
        <v>15.5</v>
      </c>
      <c r="W1965" t="inlineStr">
        <is>
          <t>5%</t>
        </is>
      </c>
      <c r="X1965" t="inlineStr">
        <is>
          <t>12 : 88</t>
        </is>
      </c>
      <c r="Y1965" t="inlineStr"/>
      <c r="Z1965" t="n">
        <v>1201</v>
      </c>
      <c r="AA1965" t="n">
        <v>25.5</v>
      </c>
      <c r="AB1965" t="inlineStr">
        <is>
          <t>U1964</t>
        </is>
      </c>
      <c r="AC1965" t="inlineStr">
        <is>
          <t>JA</t>
        </is>
      </c>
      <c r="AD1965" t="n">
        <v>25.5</v>
      </c>
      <c r="AE1965" t="n">
        <v>28.4</v>
      </c>
      <c r="AF1965" t="n">
        <v>15.5</v>
      </c>
      <c r="AG1965" t="inlineStr">
        <is>
          <t>1:15.5</t>
        </is>
      </c>
      <c r="AH1965" t="inlineStr">
        <is>
          <t>5%</t>
        </is>
      </c>
      <c r="AI1965" t="inlineStr"/>
      <c r="AJ1965" t="n">
        <v>22.96</v>
      </c>
    </row>
    <row r="1966">
      <c r="A1966" t="inlineStr">
        <is>
          <t>University of Electronic Science and Technology of China</t>
        </is>
      </c>
      <c r="B1966" t="inlineStr">
        <is>
          <t>China</t>
        </is>
      </c>
      <c r="C1966" t="inlineStr">
        <is>
          <t>451</t>
        </is>
      </c>
      <c r="D1966" t="n">
        <v>26.5</v>
      </c>
      <c r="E1966" t="n">
        <v>5.3</v>
      </c>
      <c r="F1966" t="n">
        <v>5</v>
      </c>
      <c r="G1966" t="n">
        <v>8.199999999999999</v>
      </c>
      <c r="H1966" t="n">
        <v>99.09999999999999</v>
      </c>
      <c r="I1966" t="n">
        <v>3.2</v>
      </c>
      <c r="J1966" t="n">
        <v>2.5</v>
      </c>
      <c r="K1966" t="n">
        <v>73.3</v>
      </c>
      <c r="L1966" t="n">
        <v>7.2</v>
      </c>
      <c r="M1966" t="n">
        <v>2.3</v>
      </c>
      <c r="N1966" t="inlineStr">
        <is>
          <t>351–400</t>
        </is>
      </c>
      <c r="O1966" t="inlineStr">
        <is>
          <t>49.1–51.0</t>
        </is>
      </c>
      <c r="P1966" t="n">
        <v>34.8</v>
      </c>
      <c r="Q1966" t="n">
        <v>35.2</v>
      </c>
      <c r="R1966" t="n">
        <v>80.90000000000001</v>
      </c>
      <c r="S1966" t="n">
        <v>85.5</v>
      </c>
      <c r="T1966" t="n">
        <v>33.9</v>
      </c>
      <c r="U1966" t="inlineStr">
        <is>
          <t>37,498</t>
        </is>
      </c>
      <c r="V1966" t="n">
        <v>15.7</v>
      </c>
      <c r="W1966" t="inlineStr">
        <is>
          <t>3%</t>
        </is>
      </c>
      <c r="X1966" t="inlineStr">
        <is>
          <t>30 : 70</t>
        </is>
      </c>
      <c r="Y1966" t="n">
        <v>451</v>
      </c>
      <c r="Z1966" t="n">
        <v>351</v>
      </c>
      <c r="AA1966" t="n">
        <v>50.05</v>
      </c>
      <c r="AB1966" t="inlineStr">
        <is>
          <t>U1965</t>
        </is>
      </c>
      <c r="AC1966" t="inlineStr">
        <is>
          <t>CH</t>
        </is>
      </c>
      <c r="AD1966" t="n">
        <v>26.5</v>
      </c>
      <c r="AE1966" t="n">
        <v>99.09999999999999</v>
      </c>
      <c r="AF1966" t="n">
        <v>15.7</v>
      </c>
      <c r="AG1966" t="inlineStr">
        <is>
          <t>1:15.7</t>
        </is>
      </c>
      <c r="AH1966" t="inlineStr">
        <is>
          <t>3%</t>
        </is>
      </c>
      <c r="AI1966" t="n">
        <v>5.3</v>
      </c>
      <c r="AJ1966" t="n">
        <v>50.07</v>
      </c>
    </row>
    <row r="1967">
      <c r="A1967" t="inlineStr">
        <is>
          <t>University of Engineering &amp; Technology (UET) Lahore</t>
        </is>
      </c>
      <c r="B1967" t="inlineStr">
        <is>
          <t>Pakistan</t>
        </is>
      </c>
      <c r="C1967" t="inlineStr">
        <is>
          <t>751-760</t>
        </is>
      </c>
      <c r="D1967" t="inlineStr"/>
      <c r="E1967" t="n">
        <v>10</v>
      </c>
      <c r="F1967" t="n">
        <v>43.2</v>
      </c>
      <c r="G1967" t="n">
        <v>18</v>
      </c>
      <c r="H1967" t="n">
        <v>6.7</v>
      </c>
      <c r="I1967" t="n">
        <v>1.1</v>
      </c>
      <c r="J1967" t="n">
        <v>1.8</v>
      </c>
      <c r="K1967" t="n">
        <v>41.6</v>
      </c>
      <c r="L1967" t="n">
        <v>47.7</v>
      </c>
      <c r="M1967" t="n">
        <v>7.5</v>
      </c>
      <c r="N1967" t="inlineStr">
        <is>
          <t>1001–1200</t>
        </is>
      </c>
      <c r="O1967" t="inlineStr">
        <is>
          <t>28.3–32.6</t>
        </is>
      </c>
      <c r="P1967" t="n">
        <v>18.8</v>
      </c>
      <c r="Q1967" t="n">
        <v>9.9</v>
      </c>
      <c r="R1967" t="n">
        <v>53.5</v>
      </c>
      <c r="S1967" t="n">
        <v>24.1</v>
      </c>
      <c r="T1967" t="n">
        <v>50.6</v>
      </c>
      <c r="U1967" t="inlineStr">
        <is>
          <t>12,720</t>
        </is>
      </c>
      <c r="V1967" t="n">
        <v>13.4</v>
      </c>
      <c r="W1967" t="inlineStr">
        <is>
          <t>2%</t>
        </is>
      </c>
      <c r="X1967" t="inlineStr">
        <is>
          <t>29 : 71</t>
        </is>
      </c>
      <c r="Y1967" t="n">
        <v>751</v>
      </c>
      <c r="Z1967" t="n">
        <v>1001</v>
      </c>
      <c r="AA1967" t="n">
        <v>30.45</v>
      </c>
      <c r="AB1967" t="inlineStr">
        <is>
          <t>U1966</t>
        </is>
      </c>
      <c r="AC1967" t="inlineStr">
        <is>
          <t>PA</t>
        </is>
      </c>
      <c r="AD1967" t="n">
        <v>30.45</v>
      </c>
      <c r="AE1967" t="n">
        <v>6.7</v>
      </c>
      <c r="AF1967" t="n">
        <v>13.4</v>
      </c>
      <c r="AG1967" t="inlineStr">
        <is>
          <t>1:13.4</t>
        </is>
      </c>
      <c r="AH1967" t="inlineStr">
        <is>
          <t>2%</t>
        </is>
      </c>
      <c r="AI1967" t="n">
        <v>10</v>
      </c>
      <c r="AJ1967" t="n">
        <v>12.85</v>
      </c>
    </row>
    <row r="1968">
      <c r="A1968" t="inlineStr">
        <is>
          <t>University of Engineering and Technology, Peshawar</t>
        </is>
      </c>
      <c r="B1968" t="inlineStr">
        <is>
          <t>Pakistan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>
        <is>
          <t>1001–1200</t>
        </is>
      </c>
      <c r="O1968" t="inlineStr">
        <is>
          <t>28.3–32.6</t>
        </is>
      </c>
      <c r="P1968" t="n">
        <v>13.7</v>
      </c>
      <c r="Q1968" t="n">
        <v>11.5</v>
      </c>
      <c r="R1968" t="n">
        <v>60.9</v>
      </c>
      <c r="S1968" t="n">
        <v>25</v>
      </c>
      <c r="T1968" t="n">
        <v>49.8</v>
      </c>
      <c r="U1968" t="inlineStr">
        <is>
          <t>9,307</t>
        </is>
      </c>
      <c r="V1968" t="n">
        <v>21.7</v>
      </c>
      <c r="W1968" t="inlineStr">
        <is>
          <t>2%</t>
        </is>
      </c>
      <c r="X1968" t="inlineStr">
        <is>
          <t>6 : 94</t>
        </is>
      </c>
      <c r="Y1968" t="inlineStr"/>
      <c r="Z1968" t="n">
        <v>1001</v>
      </c>
      <c r="AA1968" t="n">
        <v>30.45</v>
      </c>
      <c r="AB1968" t="inlineStr">
        <is>
          <t>U1967</t>
        </is>
      </c>
      <c r="AC1968" t="inlineStr">
        <is>
          <t>PA</t>
        </is>
      </c>
      <c r="AD1968" t="n">
        <v>30.45</v>
      </c>
      <c r="AE1968" t="n">
        <v>60.9</v>
      </c>
      <c r="AF1968" t="n">
        <v>21.7</v>
      </c>
      <c r="AG1968" t="inlineStr">
        <is>
          <t>1:21.7</t>
        </is>
      </c>
      <c r="AH1968" t="inlineStr">
        <is>
          <t>2%</t>
        </is>
      </c>
      <c r="AI1968" t="inlineStr"/>
      <c r="AJ1968" t="n">
        <v>29.92</v>
      </c>
    </row>
    <row r="1969">
      <c r="A1969" t="inlineStr">
        <is>
          <t>University of Engineering and Technology, Taxila</t>
        </is>
      </c>
      <c r="B1969" t="inlineStr">
        <is>
          <t>Pakistan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>
        <is>
          <t>601–800</t>
        </is>
      </c>
      <c r="O1969" t="inlineStr">
        <is>
          <t>37.0–41.8</t>
        </is>
      </c>
      <c r="P1969" t="n">
        <v>16.4</v>
      </c>
      <c r="Q1969" t="n">
        <v>12.8</v>
      </c>
      <c r="R1969" t="n">
        <v>82.59999999999999</v>
      </c>
      <c r="S1969" t="n">
        <v>17.1</v>
      </c>
      <c r="T1969" t="n">
        <v>48.5</v>
      </c>
      <c r="U1969" t="inlineStr">
        <is>
          <t>5,561</t>
        </is>
      </c>
      <c r="V1969" t="n">
        <v>19.4</v>
      </c>
      <c r="W1969" t="inlineStr">
        <is>
          <t>2%</t>
        </is>
      </c>
      <c r="X1969" t="inlineStr">
        <is>
          <t>17 : 83</t>
        </is>
      </c>
      <c r="Y1969" t="inlineStr"/>
      <c r="Z1969" t="n">
        <v>601</v>
      </c>
      <c r="AA1969" t="n">
        <v>39.4</v>
      </c>
      <c r="AB1969" t="inlineStr">
        <is>
          <t>U1968</t>
        </is>
      </c>
      <c r="AC1969" t="inlineStr">
        <is>
          <t>PA</t>
        </is>
      </c>
      <c r="AD1969" t="n">
        <v>39.4</v>
      </c>
      <c r="AE1969" t="n">
        <v>82.59999999999999</v>
      </c>
      <c r="AF1969" t="n">
        <v>19.4</v>
      </c>
      <c r="AG1969" t="inlineStr">
        <is>
          <t>1:19.4</t>
        </is>
      </c>
      <c r="AH1969" t="inlineStr">
        <is>
          <t>2%</t>
        </is>
      </c>
      <c r="AI1969" t="inlineStr"/>
      <c r="AJ1969" t="n">
        <v>36.86</v>
      </c>
    </row>
    <row r="1970">
      <c r="A1970" t="inlineStr">
        <is>
          <t>University of Erlangen-Nuremberg</t>
        </is>
      </c>
      <c r="B1970" t="inlineStr">
        <is>
          <t>Germany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>
        <f>193</f>
        <v/>
      </c>
      <c r="O1970" t="inlineStr">
        <is>
          <t>59.0</t>
        </is>
      </c>
      <c r="P1970" t="n">
        <v>42.6</v>
      </c>
      <c r="Q1970" t="n">
        <v>48.1</v>
      </c>
      <c r="R1970" t="n">
        <v>79.7</v>
      </c>
      <c r="S1970" t="n">
        <v>100</v>
      </c>
      <c r="T1970" t="n">
        <v>61</v>
      </c>
      <c r="U1970" t="inlineStr">
        <is>
          <t>29,467</t>
        </is>
      </c>
      <c r="V1970" t="n">
        <v>41.9</v>
      </c>
      <c r="W1970" t="inlineStr">
        <is>
          <t>13%</t>
        </is>
      </c>
      <c r="X1970" t="inlineStr">
        <is>
          <t>51 : 49</t>
        </is>
      </c>
      <c r="Y1970" t="inlineStr"/>
      <c r="Z1970" t="n">
        <v>193</v>
      </c>
      <c r="AA1970" t="n">
        <v>59</v>
      </c>
      <c r="AB1970" t="inlineStr">
        <is>
          <t>U1969</t>
        </is>
      </c>
      <c r="AC1970" t="inlineStr">
        <is>
          <t>GE</t>
        </is>
      </c>
      <c r="AD1970" t="n">
        <v>59</v>
      </c>
      <c r="AE1970" t="n">
        <v>79.7</v>
      </c>
      <c r="AF1970" t="n">
        <v>41.9</v>
      </c>
      <c r="AG1970" t="inlineStr">
        <is>
          <t>1:41.9</t>
        </is>
      </c>
      <c r="AH1970" t="inlineStr">
        <is>
          <t>13%</t>
        </is>
      </c>
      <c r="AI1970" t="inlineStr"/>
      <c r="AJ1970" t="n">
        <v>57.51</v>
      </c>
    </row>
    <row r="1971">
      <c r="A1971" t="inlineStr">
        <is>
          <t>University of Essex</t>
        </is>
      </c>
      <c r="B1971" t="inlineStr">
        <is>
          <t>United Kingdom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>
        <is>
          <t>301–350</t>
        </is>
      </c>
      <c r="O1971" t="inlineStr">
        <is>
          <t>51.1–53.0</t>
        </is>
      </c>
      <c r="P1971" t="n">
        <v>30</v>
      </c>
      <c r="Q1971" t="n">
        <v>31.8</v>
      </c>
      <c r="R1971" t="n">
        <v>81</v>
      </c>
      <c r="S1971" t="n">
        <v>57.7</v>
      </c>
      <c r="T1971" t="n">
        <v>97.40000000000001</v>
      </c>
      <c r="U1971" t="inlineStr">
        <is>
          <t>15,540</t>
        </is>
      </c>
      <c r="V1971" t="n">
        <v>16</v>
      </c>
      <c r="W1971" t="inlineStr">
        <is>
          <t>41%</t>
        </is>
      </c>
      <c r="X1971" t="inlineStr">
        <is>
          <t>54 : 46</t>
        </is>
      </c>
      <c r="Y1971" t="inlineStr"/>
      <c r="Z1971" t="n">
        <v>301</v>
      </c>
      <c r="AA1971" t="n">
        <v>52.05</v>
      </c>
      <c r="AB1971" t="inlineStr">
        <is>
          <t>U1970</t>
        </is>
      </c>
      <c r="AC1971" t="inlineStr">
        <is>
          <t>UN</t>
        </is>
      </c>
      <c r="AD1971" t="n">
        <v>52.05</v>
      </c>
      <c r="AE1971" t="n">
        <v>81</v>
      </c>
      <c r="AF1971" t="n">
        <v>16</v>
      </c>
      <c r="AG1971" t="inlineStr">
        <is>
          <t>1:16.0</t>
        </is>
      </c>
      <c r="AH1971" t="inlineStr">
        <is>
          <t>41%</t>
        </is>
      </c>
      <c r="AI1971" t="inlineStr"/>
      <c r="AJ1971" t="n">
        <v>58.16</v>
      </c>
    </row>
    <row r="1972">
      <c r="A1972" t="inlineStr">
        <is>
          <t>The University of Exeter</t>
        </is>
      </c>
      <c r="B1972" t="inlineStr">
        <is>
          <t>United Kingdom</t>
        </is>
      </c>
      <c r="C1972" t="inlineStr">
        <is>
          <t>169</t>
        </is>
      </c>
      <c r="D1972" t="n">
        <v>50.1</v>
      </c>
      <c r="E1972" t="n">
        <v>42.9</v>
      </c>
      <c r="F1972" t="n">
        <v>45</v>
      </c>
      <c r="G1972" t="n">
        <v>30.2</v>
      </c>
      <c r="H1972" t="n">
        <v>42.5</v>
      </c>
      <c r="I1972" t="n">
        <v>91</v>
      </c>
      <c r="J1972" t="n">
        <v>72.2</v>
      </c>
      <c r="K1972" t="n">
        <v>95.09999999999999</v>
      </c>
      <c r="L1972" t="n">
        <v>30.1</v>
      </c>
      <c r="M1972" t="n">
        <v>97.09999999999999</v>
      </c>
      <c r="N1972">
        <f>177</f>
        <v/>
      </c>
      <c r="O1972" t="inlineStr">
        <is>
          <t>60.2</t>
        </is>
      </c>
      <c r="P1972" t="n">
        <v>33.5</v>
      </c>
      <c r="Q1972" t="n">
        <v>42.5</v>
      </c>
      <c r="R1972" t="n">
        <v>95.7</v>
      </c>
      <c r="S1972" t="n">
        <v>52.2</v>
      </c>
      <c r="T1972" t="n">
        <v>95.5</v>
      </c>
      <c r="U1972" t="inlineStr">
        <is>
          <t>27,190</t>
        </is>
      </c>
      <c r="V1972" t="n">
        <v>16.6</v>
      </c>
      <c r="W1972" t="inlineStr">
        <is>
          <t>28%</t>
        </is>
      </c>
      <c r="X1972" t="inlineStr">
        <is>
          <t>53 : 47</t>
        </is>
      </c>
      <c r="Y1972" t="n">
        <v>169</v>
      </c>
      <c r="Z1972" t="n">
        <v>177</v>
      </c>
      <c r="AA1972" t="n">
        <v>60.2</v>
      </c>
      <c r="AB1972" t="inlineStr">
        <is>
          <t>U1971</t>
        </is>
      </c>
      <c r="AC1972" t="inlineStr">
        <is>
          <t>UN</t>
        </is>
      </c>
      <c r="AD1972" t="n">
        <v>50.1</v>
      </c>
      <c r="AE1972" t="n">
        <v>42.5</v>
      </c>
      <c r="AF1972" t="n">
        <v>16.6</v>
      </c>
      <c r="AG1972" t="inlineStr">
        <is>
          <t>1:16.6</t>
        </is>
      </c>
      <c r="AH1972" t="inlineStr">
        <is>
          <t>28%</t>
        </is>
      </c>
      <c r="AI1972" t="n">
        <v>42.9</v>
      </c>
      <c r="AJ1972" t="n">
        <v>51.64</v>
      </c>
    </row>
    <row r="1973">
      <c r="A1973" t="inlineStr">
        <is>
          <t>University of Extremadura</t>
        </is>
      </c>
      <c r="B1973" t="inlineStr">
        <is>
          <t>Spain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>
        <is>
          <t>1001–1200</t>
        </is>
      </c>
      <c r="O1973" t="inlineStr">
        <is>
          <t>28.3–32.6</t>
        </is>
      </c>
      <c r="P1973" t="n">
        <v>24.7</v>
      </c>
      <c r="Q1973" t="n">
        <v>12.4</v>
      </c>
      <c r="R1973" t="n">
        <v>51.9</v>
      </c>
      <c r="S1973" t="n">
        <v>22.4</v>
      </c>
      <c r="T1973" t="n">
        <v>35.7</v>
      </c>
      <c r="U1973" t="inlineStr">
        <is>
          <t>20,146</t>
        </is>
      </c>
      <c r="V1973" t="n">
        <v>10.7</v>
      </c>
      <c r="W1973" t="inlineStr">
        <is>
          <t>3%</t>
        </is>
      </c>
      <c r="X1973" t="inlineStr">
        <is>
          <t>55 : 45</t>
        </is>
      </c>
      <c r="Y1973" t="inlineStr"/>
      <c r="Z1973" t="n">
        <v>1001</v>
      </c>
      <c r="AA1973" t="n">
        <v>30.45</v>
      </c>
      <c r="AB1973" t="inlineStr">
        <is>
          <t>U1972</t>
        </is>
      </c>
      <c r="AC1973" t="inlineStr">
        <is>
          <t>SP</t>
        </is>
      </c>
      <c r="AD1973" t="n">
        <v>30.45</v>
      </c>
      <c r="AE1973" t="n">
        <v>51.9</v>
      </c>
      <c r="AF1973" t="n">
        <v>10.7</v>
      </c>
      <c r="AG1973" t="inlineStr">
        <is>
          <t>1:10.7</t>
        </is>
      </c>
      <c r="AH1973" t="inlineStr">
        <is>
          <t>3%</t>
        </is>
      </c>
      <c r="AI1973" t="inlineStr"/>
      <c r="AJ1973" t="n">
        <v>24.25</v>
      </c>
    </row>
    <row r="1974">
      <c r="A1974" t="inlineStr">
        <is>
          <t>University of Ferrara</t>
        </is>
      </c>
      <c r="B1974" t="inlineStr">
        <is>
          <t>Italy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>
        <is>
          <t>501–600</t>
        </is>
      </c>
      <c r="O1974" t="inlineStr">
        <is>
          <t>41.9–45.3</t>
        </is>
      </c>
      <c r="P1974" t="n">
        <v>29.6</v>
      </c>
      <c r="Q1974" t="n">
        <v>24.9</v>
      </c>
      <c r="R1974" t="n">
        <v>74.3</v>
      </c>
      <c r="S1974" t="n">
        <v>66.90000000000001</v>
      </c>
      <c r="T1974" t="n">
        <v>44.7</v>
      </c>
      <c r="U1974" t="inlineStr">
        <is>
          <t>23,010</t>
        </is>
      </c>
      <c r="V1974" t="n">
        <v>34.8</v>
      </c>
      <c r="W1974" t="inlineStr">
        <is>
          <t>5%</t>
        </is>
      </c>
      <c r="X1974" t="inlineStr">
        <is>
          <t>62 : 38</t>
        </is>
      </c>
      <c r="Y1974" t="inlineStr"/>
      <c r="Z1974" t="n">
        <v>501</v>
      </c>
      <c r="AA1974" t="n">
        <v>43.59999999999999</v>
      </c>
      <c r="AB1974" t="inlineStr">
        <is>
          <t>U1973</t>
        </is>
      </c>
      <c r="AC1974" t="inlineStr">
        <is>
          <t>IT</t>
        </is>
      </c>
      <c r="AD1974" t="n">
        <v>43.59999999999999</v>
      </c>
      <c r="AE1974" t="n">
        <v>74.3</v>
      </c>
      <c r="AF1974" t="n">
        <v>34.8</v>
      </c>
      <c r="AG1974" t="inlineStr">
        <is>
          <t>1:34.8</t>
        </is>
      </c>
      <c r="AH1974" t="inlineStr">
        <is>
          <t>5%</t>
        </is>
      </c>
      <c r="AI1974" t="inlineStr"/>
      <c r="AJ1974" t="n">
        <v>39.77</v>
      </c>
    </row>
    <row r="1975">
      <c r="A1975" t="inlineStr">
        <is>
          <t>University of Florence</t>
        </is>
      </c>
      <c r="B1975" t="inlineStr">
        <is>
          <t>Italy</t>
        </is>
      </c>
      <c r="C1975" t="inlineStr">
        <is>
          <t>375</t>
        </is>
      </c>
      <c r="D1975" t="n">
        <v>31.2</v>
      </c>
      <c r="E1975" t="n">
        <v>34.6</v>
      </c>
      <c r="F1975" t="n">
        <v>8.4</v>
      </c>
      <c r="G1975" t="n">
        <v>4.4</v>
      </c>
      <c r="H1975" t="n">
        <v>46.6</v>
      </c>
      <c r="I1975" t="n">
        <v>7.3</v>
      </c>
      <c r="J1975" t="n">
        <v>12.3</v>
      </c>
      <c r="K1975" t="n">
        <v>88.5</v>
      </c>
      <c r="L1975" t="n">
        <v>30.3</v>
      </c>
      <c r="M1975" t="n">
        <v>74.5</v>
      </c>
      <c r="N1975" t="inlineStr">
        <is>
          <t>351–400</t>
        </is>
      </c>
      <c r="O1975" t="inlineStr">
        <is>
          <t>49.1–51.0</t>
        </is>
      </c>
      <c r="P1975" t="n">
        <v>35.5</v>
      </c>
      <c r="Q1975" t="n">
        <v>34.4</v>
      </c>
      <c r="R1975" t="n">
        <v>78.59999999999999</v>
      </c>
      <c r="S1975" t="n">
        <v>72.90000000000001</v>
      </c>
      <c r="T1975" t="n">
        <v>51.9</v>
      </c>
      <c r="U1975" t="inlineStr">
        <is>
          <t>40,535</t>
        </is>
      </c>
      <c r="V1975" t="n">
        <v>24</v>
      </c>
      <c r="W1975" t="inlineStr">
        <is>
          <t>10%</t>
        </is>
      </c>
      <c r="X1975" t="inlineStr">
        <is>
          <t>56 : 44</t>
        </is>
      </c>
      <c r="Y1975" t="n">
        <v>375</v>
      </c>
      <c r="Z1975" t="n">
        <v>351</v>
      </c>
      <c r="AA1975" t="n">
        <v>50.05</v>
      </c>
      <c r="AB1975" t="inlineStr">
        <is>
          <t>U1974</t>
        </is>
      </c>
      <c r="AC1975" t="inlineStr">
        <is>
          <t>IT</t>
        </is>
      </c>
      <c r="AD1975" t="n">
        <v>31.2</v>
      </c>
      <c r="AE1975" t="n">
        <v>46.6</v>
      </c>
      <c r="AF1975" t="n">
        <v>24</v>
      </c>
      <c r="AG1975" t="inlineStr">
        <is>
          <t>1:24.0</t>
        </is>
      </c>
      <c r="AH1975" t="inlineStr">
        <is>
          <t>10%</t>
        </is>
      </c>
      <c r="AI1975" t="n">
        <v>34.6</v>
      </c>
      <c r="AJ1975" t="n">
        <v>38.09</v>
      </c>
    </row>
    <row r="1976">
      <c r="A1976" t="inlineStr">
        <is>
          <t>University of Florida</t>
        </is>
      </c>
      <c r="B1976" t="inlineStr">
        <is>
          <t>United States</t>
        </is>
      </c>
      <c r="C1976" t="inlineStr">
        <is>
          <t>215</t>
        </is>
      </c>
      <c r="D1976" t="n">
        <v>44.2</v>
      </c>
      <c r="E1976" t="n">
        <v>46.7</v>
      </c>
      <c r="F1976" t="n">
        <v>42.3</v>
      </c>
      <c r="G1976" t="n">
        <v>62.9</v>
      </c>
      <c r="H1976" t="n">
        <v>32.1</v>
      </c>
      <c r="I1976" t="n">
        <v>17.8</v>
      </c>
      <c r="J1976" t="n">
        <v>10.3</v>
      </c>
      <c r="K1976" t="n">
        <v>98.3</v>
      </c>
      <c r="L1976" t="n">
        <v>44.5</v>
      </c>
      <c r="M1976" t="n">
        <v>60.6</v>
      </c>
      <c r="N1976" t="inlineStr">
        <is>
          <t>132</t>
        </is>
      </c>
      <c r="O1976" t="inlineStr">
        <is>
          <t>63.7</t>
        </is>
      </c>
      <c r="P1976" t="n">
        <v>55.5</v>
      </c>
      <c r="Q1976" t="n">
        <v>56.7</v>
      </c>
      <c r="R1976" t="n">
        <v>78.3</v>
      </c>
      <c r="S1976" t="n">
        <v>88.90000000000001</v>
      </c>
      <c r="T1976" t="n">
        <v>50.9</v>
      </c>
      <c r="U1976" t="inlineStr">
        <is>
          <t>48,114</t>
        </is>
      </c>
      <c r="V1976" t="n">
        <v>16.7</v>
      </c>
      <c r="W1976" t="inlineStr">
        <is>
          <t>9%</t>
        </is>
      </c>
      <c r="X1976" t="inlineStr">
        <is>
          <t>56 : 44</t>
        </is>
      </c>
      <c r="Y1976" t="n">
        <v>215</v>
      </c>
      <c r="Z1976" t="n">
        <v>132</v>
      </c>
      <c r="AA1976" t="n">
        <v>63.7</v>
      </c>
      <c r="AB1976" t="inlineStr">
        <is>
          <t>U1975</t>
        </is>
      </c>
      <c r="AC1976" t="inlineStr">
        <is>
          <t>UN</t>
        </is>
      </c>
      <c r="AD1976" t="n">
        <v>44.2</v>
      </c>
      <c r="AE1976" t="n">
        <v>32.1</v>
      </c>
      <c r="AF1976" t="n">
        <v>16.7</v>
      </c>
      <c r="AG1976" t="inlineStr">
        <is>
          <t>1:16.7</t>
        </is>
      </c>
      <c r="AH1976" t="inlineStr">
        <is>
          <t>9%</t>
        </is>
      </c>
      <c r="AI1976" t="n">
        <v>46.7</v>
      </c>
      <c r="AJ1976" t="n">
        <v>45.15</v>
      </c>
    </row>
    <row r="1977">
      <c r="A1977" t="inlineStr">
        <is>
          <t>University of Foggia</t>
        </is>
      </c>
      <c r="B1977" t="inlineStr">
        <is>
          <t>Italy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>
        <is>
          <t>601–800</t>
        </is>
      </c>
      <c r="O1977" t="inlineStr">
        <is>
          <t>37.0–41.8</t>
        </is>
      </c>
      <c r="P1977" t="n">
        <v>24.3</v>
      </c>
      <c r="Q1977" t="n">
        <v>24.7</v>
      </c>
      <c r="R1977" t="n">
        <v>65.5</v>
      </c>
      <c r="S1977" t="n">
        <v>30.6</v>
      </c>
      <c r="T1977" t="n">
        <v>30.3</v>
      </c>
      <c r="U1977" t="inlineStr">
        <is>
          <t>7,845</t>
        </is>
      </c>
      <c r="V1977" t="n">
        <v>33.2</v>
      </c>
      <c r="W1977" t="inlineStr">
        <is>
          <t>1%</t>
        </is>
      </c>
      <c r="X1977" t="inlineStr">
        <is>
          <t>63 : 37</t>
        </is>
      </c>
      <c r="Y1977" t="inlineStr"/>
      <c r="Z1977" t="n">
        <v>601</v>
      </c>
      <c r="AA1977" t="n">
        <v>39.4</v>
      </c>
      <c r="AB1977" t="inlineStr">
        <is>
          <t>U1976</t>
        </is>
      </c>
      <c r="AC1977" t="inlineStr">
        <is>
          <t>IT</t>
        </is>
      </c>
      <c r="AD1977" t="n">
        <v>39.4</v>
      </c>
      <c r="AE1977" t="n">
        <v>65.5</v>
      </c>
      <c r="AF1977" t="n">
        <v>33.2</v>
      </c>
      <c r="AG1977" t="inlineStr">
        <is>
          <t>1:33.2</t>
        </is>
      </c>
      <c r="AH1977" t="inlineStr">
        <is>
          <t>1%</t>
        </is>
      </c>
      <c r="AI1977" t="inlineStr"/>
      <c r="AJ1977" t="n">
        <v>33.51</v>
      </c>
    </row>
    <row r="1978">
      <c r="A1978" t="inlineStr">
        <is>
          <t>University of Fortaleza (UNIFOR)</t>
        </is>
      </c>
      <c r="B1978" t="inlineStr">
        <is>
          <t>Brazil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>
        <is>
          <t>1501+</t>
        </is>
      </c>
      <c r="O1978" t="inlineStr">
        <is>
          <t>9.7–22.7</t>
        </is>
      </c>
      <c r="P1978" t="n">
        <v>14.3</v>
      </c>
      <c r="Q1978" t="n">
        <v>9.4</v>
      </c>
      <c r="R1978" t="n">
        <v>33.6</v>
      </c>
      <c r="S1978" t="n">
        <v>16.9</v>
      </c>
      <c r="T1978" t="n">
        <v>37.8</v>
      </c>
      <c r="U1978" t="inlineStr">
        <is>
          <t>21,048</t>
        </is>
      </c>
      <c r="V1978" t="n">
        <v>20.3</v>
      </c>
      <c r="W1978" t="inlineStr">
        <is>
          <t>0%</t>
        </is>
      </c>
      <c r="X1978" t="inlineStr">
        <is>
          <t>51 : 49</t>
        </is>
      </c>
      <c r="Y1978" t="inlineStr"/>
      <c r="Z1978" t="n">
        <v>1501</v>
      </c>
      <c r="AA1978" t="n">
        <v>16.2</v>
      </c>
      <c r="AB1978" t="inlineStr">
        <is>
          <t>U1977</t>
        </is>
      </c>
      <c r="AC1978" t="inlineStr">
        <is>
          <t>BR</t>
        </is>
      </c>
      <c r="AD1978" t="n">
        <v>16.2</v>
      </c>
      <c r="AE1978" t="n">
        <v>33.6</v>
      </c>
      <c r="AF1978" t="n">
        <v>20.3</v>
      </c>
      <c r="AG1978" t="inlineStr">
        <is>
          <t>1:20.3</t>
        </is>
      </c>
      <c r="AH1978" t="inlineStr">
        <is>
          <t>0%</t>
        </is>
      </c>
      <c r="AI1978" t="inlineStr"/>
      <c r="AJ1978" t="n">
        <v>17.64</v>
      </c>
    </row>
    <row r="1979">
      <c r="A1979" t="inlineStr">
        <is>
          <t>University of Franche-Comté</t>
        </is>
      </c>
      <c r="B1979" t="inlineStr">
        <is>
          <t>France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>
        <is>
          <t>1001–1200</t>
        </is>
      </c>
      <c r="O1979" t="inlineStr">
        <is>
          <t>28.3–32.6</t>
        </is>
      </c>
      <c r="P1979" t="n">
        <v>21.3</v>
      </c>
      <c r="Q1979" t="n">
        <v>15.7</v>
      </c>
      <c r="R1979" t="n">
        <v>40.6</v>
      </c>
      <c r="S1979" t="n">
        <v>44.9</v>
      </c>
      <c r="T1979" t="n">
        <v>70.59999999999999</v>
      </c>
      <c r="U1979" t="inlineStr">
        <is>
          <t>24,908</t>
        </is>
      </c>
      <c r="V1979" t="n">
        <v>33.5</v>
      </c>
      <c r="W1979" t="inlineStr">
        <is>
          <t>11%</t>
        </is>
      </c>
      <c r="X1979" t="inlineStr">
        <is>
          <t>58 : 42</t>
        </is>
      </c>
      <c r="Y1979" t="inlineStr"/>
      <c r="Z1979" t="n">
        <v>1001</v>
      </c>
      <c r="AA1979" t="n">
        <v>30.45</v>
      </c>
      <c r="AB1979" t="inlineStr">
        <is>
          <t>U1978</t>
        </is>
      </c>
      <c r="AC1979" t="inlineStr">
        <is>
          <t>FR</t>
        </is>
      </c>
      <c r="AD1979" t="n">
        <v>30.45</v>
      </c>
      <c r="AE1979" t="n">
        <v>40.6</v>
      </c>
      <c r="AF1979" t="n">
        <v>33.5</v>
      </c>
      <c r="AG1979" t="inlineStr">
        <is>
          <t>1:33.5</t>
        </is>
      </c>
      <c r="AH1979" t="inlineStr">
        <is>
          <t>11%</t>
        </is>
      </c>
      <c r="AI1979" t="inlineStr"/>
      <c r="AJ1979" t="n">
        <v>31</v>
      </c>
    </row>
    <row r="1980">
      <c r="A1980" t="inlineStr">
        <is>
          <t>University of Freiburg</t>
        </is>
      </c>
      <c r="B1980" t="inlineStr">
        <is>
          <t>Germany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>
        <is>
          <t>128</t>
        </is>
      </c>
      <c r="O1980" t="inlineStr">
        <is>
          <t>64.1</t>
        </is>
      </c>
      <c r="P1980" t="n">
        <v>46.7</v>
      </c>
      <c r="Q1980" t="n">
        <v>51.3</v>
      </c>
      <c r="R1980" t="n">
        <v>86.2</v>
      </c>
      <c r="S1980" t="n">
        <v>100</v>
      </c>
      <c r="T1980" t="n">
        <v>74.2</v>
      </c>
      <c r="U1980" t="inlineStr">
        <is>
          <t>19,417</t>
        </is>
      </c>
      <c r="V1980" t="n">
        <v>34.4</v>
      </c>
      <c r="W1980" t="inlineStr">
        <is>
          <t>17%</t>
        </is>
      </c>
      <c r="X1980" t="inlineStr">
        <is>
          <t>53 : 47</t>
        </is>
      </c>
      <c r="Y1980" t="inlineStr"/>
      <c r="Z1980" t="n">
        <v>128</v>
      </c>
      <c r="AA1980" t="n">
        <v>64.09999999999999</v>
      </c>
      <c r="AB1980" t="inlineStr">
        <is>
          <t>U1979</t>
        </is>
      </c>
      <c r="AC1980" t="inlineStr">
        <is>
          <t>GE</t>
        </is>
      </c>
      <c r="AD1980" t="n">
        <v>64.09999999999999</v>
      </c>
      <c r="AE1980" t="n">
        <v>86.2</v>
      </c>
      <c r="AF1980" t="n">
        <v>34.4</v>
      </c>
      <c r="AG1980" t="inlineStr">
        <is>
          <t>1:34.4</t>
        </is>
      </c>
      <c r="AH1980" t="inlineStr">
        <is>
          <t>17%</t>
        </is>
      </c>
      <c r="AI1980" t="inlineStr"/>
      <c r="AJ1980" t="n">
        <v>64.34</v>
      </c>
    </row>
    <row r="1981">
      <c r="A1981" t="inlineStr">
        <is>
          <t>University of Fribourg</t>
        </is>
      </c>
      <c r="B1981" t="inlineStr">
        <is>
          <t>Switzerland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>
        <is>
          <t>401–500</t>
        </is>
      </c>
      <c r="O1981" t="inlineStr">
        <is>
          <t>45.4–49.0</t>
        </is>
      </c>
      <c r="P1981" t="n">
        <v>36.8</v>
      </c>
      <c r="Q1981" t="n">
        <v>33.2</v>
      </c>
      <c r="R1981" t="n">
        <v>63.2</v>
      </c>
      <c r="S1981" t="n">
        <v>54.7</v>
      </c>
      <c r="T1981" t="n">
        <v>83.09999999999999</v>
      </c>
      <c r="U1981" t="inlineStr">
        <is>
          <t>6,961</t>
        </is>
      </c>
      <c r="V1981" t="n">
        <v>16</v>
      </c>
      <c r="W1981" t="inlineStr">
        <is>
          <t>15%</t>
        </is>
      </c>
      <c r="X1981" t="inlineStr">
        <is>
          <t>64 : 36</t>
        </is>
      </c>
      <c r="Y1981" t="inlineStr"/>
      <c r="Z1981" t="n">
        <v>401</v>
      </c>
      <c r="AA1981" t="n">
        <v>47.2</v>
      </c>
      <c r="AB1981" t="inlineStr">
        <is>
          <t>U1980</t>
        </is>
      </c>
      <c r="AC1981" t="inlineStr">
        <is>
          <t>SW</t>
        </is>
      </c>
      <c r="AD1981" t="n">
        <v>47.2</v>
      </c>
      <c r="AE1981" t="n">
        <v>63.2</v>
      </c>
      <c r="AF1981" t="n">
        <v>16</v>
      </c>
      <c r="AG1981" t="inlineStr">
        <is>
          <t>1:16.0</t>
        </is>
      </c>
      <c r="AH1981" t="inlineStr">
        <is>
          <t>15%</t>
        </is>
      </c>
      <c r="AI1981" t="inlineStr"/>
      <c r="AJ1981" t="n">
        <v>50.04</v>
      </c>
    </row>
    <row r="1982">
      <c r="A1982" t="inlineStr">
        <is>
          <t>University of Fukui</t>
        </is>
      </c>
      <c r="B1982" t="inlineStr">
        <is>
          <t>Japan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>
        <is>
          <t>1501+</t>
        </is>
      </c>
      <c r="O1982" t="inlineStr">
        <is>
          <t>9.7–22.7</t>
        </is>
      </c>
      <c r="P1982" t="n">
        <v>26</v>
      </c>
      <c r="Q1982" t="n">
        <v>12.4</v>
      </c>
      <c r="R1982" t="n">
        <v>16.4</v>
      </c>
      <c r="S1982" t="n">
        <v>37.9</v>
      </c>
      <c r="T1982" t="n">
        <v>26.5</v>
      </c>
      <c r="U1982" t="inlineStr">
        <is>
          <t>4,803</t>
        </is>
      </c>
      <c r="V1982" t="n">
        <v>7.6</v>
      </c>
      <c r="W1982" t="inlineStr">
        <is>
          <t>2%</t>
        </is>
      </c>
      <c r="X1982" t="inlineStr">
        <is>
          <t>27 : 73</t>
        </is>
      </c>
      <c r="Y1982" t="inlineStr"/>
      <c r="Z1982" t="n">
        <v>1501</v>
      </c>
      <c r="AA1982" t="n">
        <v>16.2</v>
      </c>
      <c r="AB1982" t="inlineStr">
        <is>
          <t>U1981</t>
        </is>
      </c>
      <c r="AC1982" t="inlineStr">
        <is>
          <t>JA</t>
        </is>
      </c>
      <c r="AD1982" t="n">
        <v>16.2</v>
      </c>
      <c r="AE1982" t="n">
        <v>16.4</v>
      </c>
      <c r="AF1982" t="n">
        <v>7.6</v>
      </c>
      <c r="AG1982" t="inlineStr">
        <is>
          <t>1:7.6</t>
        </is>
      </c>
      <c r="AH1982" t="inlineStr">
        <is>
          <t>2%</t>
        </is>
      </c>
      <c r="AI1982" t="inlineStr"/>
      <c r="AJ1982" t="n">
        <v>11.27</v>
      </c>
    </row>
    <row r="1983">
      <c r="A1983" t="inlineStr">
        <is>
          <t>University of Göttingen</t>
        </is>
      </c>
      <c r="B1983" t="inlineStr">
        <is>
          <t>Germany</t>
        </is>
      </c>
      <c r="C1983" t="inlineStr">
        <is>
          <t>252</t>
        </is>
      </c>
      <c r="D1983" t="n">
        <v>40.3</v>
      </c>
      <c r="E1983" t="n">
        <v>46.4</v>
      </c>
      <c r="F1983" t="n">
        <v>27.1</v>
      </c>
      <c r="G1983" t="n">
        <v>76.40000000000001</v>
      </c>
      <c r="H1983" t="n">
        <v>16.2</v>
      </c>
      <c r="I1983" t="n">
        <v>49.7</v>
      </c>
      <c r="J1983" t="n">
        <v>22.4</v>
      </c>
      <c r="K1983" t="n">
        <v>95.09999999999999</v>
      </c>
      <c r="L1983" t="n">
        <v>40.3</v>
      </c>
      <c r="M1983" t="n">
        <v>32.1</v>
      </c>
      <c r="N1983">
        <f>111</f>
        <v/>
      </c>
      <c r="O1983" t="inlineStr">
        <is>
          <t>65.8</t>
        </is>
      </c>
      <c r="P1983" t="n">
        <v>50</v>
      </c>
      <c r="Q1983" t="n">
        <v>54.8</v>
      </c>
      <c r="R1983" t="n">
        <v>90.09999999999999</v>
      </c>
      <c r="S1983" t="n">
        <v>70.8</v>
      </c>
      <c r="T1983" t="n">
        <v>70.7</v>
      </c>
      <c r="U1983" t="inlineStr">
        <is>
          <t>23,349</t>
        </is>
      </c>
      <c r="V1983" t="n">
        <v>27.4</v>
      </c>
      <c r="W1983" t="inlineStr">
        <is>
          <t>14%</t>
        </is>
      </c>
      <c r="X1983" t="inlineStr">
        <is>
          <t>53 : 47</t>
        </is>
      </c>
      <c r="Y1983" t="n">
        <v>252</v>
      </c>
      <c r="Z1983" t="n">
        <v>111</v>
      </c>
      <c r="AA1983" t="n">
        <v>65.8</v>
      </c>
      <c r="AB1983" t="inlineStr">
        <is>
          <t>U1982</t>
        </is>
      </c>
      <c r="AC1983" t="inlineStr">
        <is>
          <t>GE</t>
        </is>
      </c>
      <c r="AD1983" t="n">
        <v>40.3</v>
      </c>
      <c r="AE1983" t="n">
        <v>16.2</v>
      </c>
      <c r="AF1983" t="n">
        <v>27.4</v>
      </c>
      <c r="AG1983" t="inlineStr">
        <is>
          <t>1:27.4</t>
        </is>
      </c>
      <c r="AH1983" t="inlineStr">
        <is>
          <t>14%</t>
        </is>
      </c>
      <c r="AI1983" t="n">
        <v>46.4</v>
      </c>
      <c r="AJ1983" t="n">
        <v>44.12</v>
      </c>
    </row>
    <row r="1984">
      <c r="A1984" t="inlineStr">
        <is>
          <t>University of Galway</t>
        </is>
      </c>
      <c r="B1984" t="inlineStr">
        <is>
          <t>Ireland</t>
        </is>
      </c>
      <c r="C1984" t="inlineStr">
        <is>
          <t>273</t>
        </is>
      </c>
      <c r="D1984" t="n">
        <v>38.3</v>
      </c>
      <c r="E1984" t="n">
        <v>26.2</v>
      </c>
      <c r="F1984" t="n">
        <v>30.3</v>
      </c>
      <c r="G1984" t="n">
        <v>63.2</v>
      </c>
      <c r="H1984" t="n">
        <v>13.2</v>
      </c>
      <c r="I1984" t="n">
        <v>95.2</v>
      </c>
      <c r="J1984" t="n">
        <v>43.2</v>
      </c>
      <c r="K1984" t="n">
        <v>81.3</v>
      </c>
      <c r="L1984" t="n">
        <v>46.6</v>
      </c>
      <c r="M1984" t="n">
        <v>85.90000000000001</v>
      </c>
      <c r="N1984" t="inlineStr">
        <is>
          <t>301–350</t>
        </is>
      </c>
      <c r="O1984" t="inlineStr">
        <is>
          <t>51.1–53.0</t>
        </is>
      </c>
      <c r="P1984" t="n">
        <v>32.9</v>
      </c>
      <c r="Q1984" t="n">
        <v>33.8</v>
      </c>
      <c r="R1984" t="n">
        <v>76.7</v>
      </c>
      <c r="S1984" t="n">
        <v>83</v>
      </c>
      <c r="T1984" t="n">
        <v>77.59999999999999</v>
      </c>
      <c r="U1984" t="inlineStr">
        <is>
          <t>15,734</t>
        </is>
      </c>
      <c r="V1984" t="n">
        <v>26.1</v>
      </c>
      <c r="W1984" t="inlineStr">
        <is>
          <t>16%</t>
        </is>
      </c>
      <c r="X1984" t="inlineStr">
        <is>
          <t>59 : 41</t>
        </is>
      </c>
      <c r="Y1984" t="n">
        <v>273</v>
      </c>
      <c r="Z1984" t="n">
        <v>301</v>
      </c>
      <c r="AA1984" t="n">
        <v>52.05</v>
      </c>
      <c r="AB1984" t="inlineStr">
        <is>
          <t>U1983</t>
        </is>
      </c>
      <c r="AC1984" t="inlineStr">
        <is>
          <t>IR</t>
        </is>
      </c>
      <c r="AD1984" t="n">
        <v>38.3</v>
      </c>
      <c r="AE1984" t="n">
        <v>13.2</v>
      </c>
      <c r="AF1984" t="n">
        <v>26.1</v>
      </c>
      <c r="AG1984" t="inlineStr">
        <is>
          <t>1:26.1</t>
        </is>
      </c>
      <c r="AH1984" t="inlineStr">
        <is>
          <t>16%</t>
        </is>
      </c>
      <c r="AI1984" t="n">
        <v>26.2</v>
      </c>
      <c r="AJ1984" t="n">
        <v>33.87</v>
      </c>
    </row>
    <row r="1985">
      <c r="A1985" t="inlineStr">
        <is>
          <t>University of Gdańsk</t>
        </is>
      </c>
      <c r="B1985" t="inlineStr">
        <is>
          <t>Poland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>
        <is>
          <t>1201–1500</t>
        </is>
      </c>
      <c r="O1985" t="inlineStr">
        <is>
          <t>22.8–28.2</t>
        </is>
      </c>
      <c r="P1985" t="n">
        <v>23.6</v>
      </c>
      <c r="Q1985" t="n">
        <v>14.8</v>
      </c>
      <c r="R1985" t="n">
        <v>30.8</v>
      </c>
      <c r="S1985" t="n">
        <v>21.7</v>
      </c>
      <c r="T1985" t="n">
        <v>35.1</v>
      </c>
      <c r="U1985" t="inlineStr">
        <is>
          <t>18,961</t>
        </is>
      </c>
      <c r="V1985" t="n">
        <v>12</v>
      </c>
      <c r="W1985" t="inlineStr">
        <is>
          <t>2%</t>
        </is>
      </c>
      <c r="X1985" t="inlineStr">
        <is>
          <t>65 : 35</t>
        </is>
      </c>
      <c r="Y1985" t="inlineStr"/>
      <c r="Z1985" t="n">
        <v>1201</v>
      </c>
      <c r="AA1985" t="n">
        <v>25.5</v>
      </c>
      <c r="AB1985" t="inlineStr">
        <is>
          <t>U1984</t>
        </is>
      </c>
      <c r="AC1985" t="inlineStr">
        <is>
          <t>PO</t>
        </is>
      </c>
      <c r="AD1985" t="n">
        <v>25.5</v>
      </c>
      <c r="AE1985" t="n">
        <v>30.8</v>
      </c>
      <c r="AF1985" t="n">
        <v>12</v>
      </c>
      <c r="AG1985" t="inlineStr">
        <is>
          <t>1:12.0</t>
        </is>
      </c>
      <c r="AH1985" t="inlineStr">
        <is>
          <t>2%</t>
        </is>
      </c>
      <c r="AI1985" t="inlineStr"/>
      <c r="AJ1985" t="n">
        <v>18.97</v>
      </c>
    </row>
    <row r="1986">
      <c r="A1986" t="inlineStr">
        <is>
          <t>UNIVERSITY OF GDANSK</t>
        </is>
      </c>
      <c r="B1986" t="inlineStr">
        <is>
          <t>Poland</t>
        </is>
      </c>
      <c r="C1986" t="inlineStr">
        <is>
          <t>851-900</t>
        </is>
      </c>
      <c r="D1986" t="inlineStr"/>
      <c r="E1986" t="n">
        <v>12</v>
      </c>
      <c r="F1986" t="n">
        <v>6.2</v>
      </c>
      <c r="G1986" t="n">
        <v>34.9</v>
      </c>
      <c r="H1986" t="n">
        <v>3.9</v>
      </c>
      <c r="I1986" t="n">
        <v>4.8</v>
      </c>
      <c r="J1986" t="n">
        <v>2.4</v>
      </c>
      <c r="K1986" t="n">
        <v>70.59999999999999</v>
      </c>
      <c r="L1986" t="n">
        <v>14.1</v>
      </c>
      <c r="M1986" t="n">
        <v>25.7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n">
        <v>851</v>
      </c>
      <c r="Z1986" t="inlineStr"/>
      <c r="AA1986" t="inlineStr"/>
      <c r="AB1986" t="inlineStr">
        <is>
          <t>U1985</t>
        </is>
      </c>
      <c r="AC1986" t="inlineStr">
        <is>
          <t>PO</t>
        </is>
      </c>
      <c r="AD1986" t="inlineStr"/>
      <c r="AE1986" t="n">
        <v>3.9</v>
      </c>
      <c r="AF1986" t="inlineStr"/>
      <c r="AG1986" t="inlineStr"/>
      <c r="AH1986" t="inlineStr"/>
      <c r="AI1986" t="n">
        <v>12</v>
      </c>
      <c r="AJ1986" t="n">
        <v>14.57</v>
      </c>
    </row>
    <row r="1987">
      <c r="A1987" t="inlineStr">
        <is>
          <t>University of Geneva</t>
        </is>
      </c>
      <c r="B1987" t="inlineStr">
        <is>
          <t>Switzerland</t>
        </is>
      </c>
      <c r="C1987" t="inlineStr">
        <is>
          <t>155</t>
        </is>
      </c>
      <c r="D1987" t="n">
        <v>51.6</v>
      </c>
      <c r="E1987" t="n">
        <v>45.5</v>
      </c>
      <c r="F1987" t="n">
        <v>17.2</v>
      </c>
      <c r="G1987" t="n">
        <v>40.4</v>
      </c>
      <c r="H1987" t="n">
        <v>62.4</v>
      </c>
      <c r="I1987" t="n">
        <v>100</v>
      </c>
      <c r="J1987" t="n">
        <v>97.59999999999999</v>
      </c>
      <c r="K1987" t="n">
        <v>94.2</v>
      </c>
      <c r="L1987" t="n">
        <v>49.5</v>
      </c>
      <c r="M1987" t="n">
        <v>42.3</v>
      </c>
      <c r="N1987" t="inlineStr">
        <is>
          <t>183</t>
        </is>
      </c>
      <c r="O1987" t="inlineStr">
        <is>
          <t>59.8</t>
        </is>
      </c>
      <c r="P1987" t="n">
        <v>41.8</v>
      </c>
      <c r="Q1987" t="n">
        <v>38</v>
      </c>
      <c r="R1987" t="n">
        <v>86.7</v>
      </c>
      <c r="S1987" t="n">
        <v>80.7</v>
      </c>
      <c r="T1987" t="n">
        <v>97.09999999999999</v>
      </c>
      <c r="U1987" t="inlineStr">
        <is>
          <t>18,865</t>
        </is>
      </c>
      <c r="V1987" t="n">
        <v>8.4</v>
      </c>
      <c r="W1987" t="inlineStr">
        <is>
          <t>40%</t>
        </is>
      </c>
      <c r="X1987" t="inlineStr">
        <is>
          <t>62 : 38</t>
        </is>
      </c>
      <c r="Y1987" t="n">
        <v>155</v>
      </c>
      <c r="Z1987" t="n">
        <v>183</v>
      </c>
      <c r="AA1987" t="n">
        <v>59.8</v>
      </c>
      <c r="AB1987" t="inlineStr">
        <is>
          <t>U1986</t>
        </is>
      </c>
      <c r="AC1987" t="inlineStr">
        <is>
          <t>SW</t>
        </is>
      </c>
      <c r="AD1987" t="n">
        <v>51.6</v>
      </c>
      <c r="AE1987" t="n">
        <v>62.4</v>
      </c>
      <c r="AF1987" t="n">
        <v>8.4</v>
      </c>
      <c r="AG1987" t="inlineStr">
        <is>
          <t>1:8.4</t>
        </is>
      </c>
      <c r="AH1987" t="inlineStr">
        <is>
          <t>40%</t>
        </is>
      </c>
      <c r="AI1987" t="n">
        <v>45.5</v>
      </c>
      <c r="AJ1987" t="n">
        <v>55.7</v>
      </c>
    </row>
    <row r="1988">
      <c r="A1988" t="inlineStr">
        <is>
          <t>University of Genoa</t>
        </is>
      </c>
      <c r="B1988" t="inlineStr">
        <is>
          <t>Italy</t>
        </is>
      </c>
      <c r="C1988" t="inlineStr">
        <is>
          <t>547</t>
        </is>
      </c>
      <c r="D1988" t="n">
        <v>22.6</v>
      </c>
      <c r="E1988" t="n">
        <v>18.8</v>
      </c>
      <c r="F1988" t="n">
        <v>4.9</v>
      </c>
      <c r="G1988" t="n">
        <v>12.7</v>
      </c>
      <c r="H1988" t="n">
        <v>43.7</v>
      </c>
      <c r="I1988" t="n">
        <v>5.4</v>
      </c>
      <c r="J1988" t="n">
        <v>9.199999999999999</v>
      </c>
      <c r="K1988" t="n">
        <v>81.2</v>
      </c>
      <c r="L1988" t="n">
        <v>10.5</v>
      </c>
      <c r="M1988" t="n">
        <v>39.5</v>
      </c>
      <c r="N1988" t="inlineStr">
        <is>
          <t>401–500</t>
        </is>
      </c>
      <c r="O1988" t="inlineStr">
        <is>
          <t>45.4–49.0</t>
        </is>
      </c>
      <c r="P1988" t="n">
        <v>36.1</v>
      </c>
      <c r="Q1988" t="n">
        <v>28.3</v>
      </c>
      <c r="R1988" t="n">
        <v>78</v>
      </c>
      <c r="S1988" t="n">
        <v>73.40000000000001</v>
      </c>
      <c r="T1988" t="n">
        <v>47.3</v>
      </c>
      <c r="U1988" t="inlineStr">
        <is>
          <t>21,470</t>
        </is>
      </c>
      <c r="V1988" t="n">
        <v>16.5</v>
      </c>
      <c r="W1988" t="inlineStr">
        <is>
          <t>7%</t>
        </is>
      </c>
      <c r="X1988" t="inlineStr">
        <is>
          <t>58 : 42</t>
        </is>
      </c>
      <c r="Y1988" t="n">
        <v>547</v>
      </c>
      <c r="Z1988" t="n">
        <v>401</v>
      </c>
      <c r="AA1988" t="n">
        <v>47.2</v>
      </c>
      <c r="AB1988" t="inlineStr">
        <is>
          <t>U1987</t>
        </is>
      </c>
      <c r="AC1988" t="inlineStr">
        <is>
          <t>IT</t>
        </is>
      </c>
      <c r="AD1988" t="n">
        <v>22.6</v>
      </c>
      <c r="AE1988" t="n">
        <v>43.7</v>
      </c>
      <c r="AF1988" t="n">
        <v>16.5</v>
      </c>
      <c r="AG1988" t="inlineStr">
        <is>
          <t>1:16.5</t>
        </is>
      </c>
      <c r="AH1988" t="inlineStr">
        <is>
          <t>7%</t>
        </is>
      </c>
      <c r="AI1988" t="n">
        <v>18.8</v>
      </c>
      <c r="AJ1988" t="n">
        <v>32.91</v>
      </c>
    </row>
    <row r="1989">
      <c r="A1989" t="inlineStr">
        <is>
          <t>The University of Georgia</t>
        </is>
      </c>
      <c r="B1989" t="inlineStr">
        <is>
          <t>United States</t>
        </is>
      </c>
      <c r="C1989" t="inlineStr">
        <is>
          <t>587</t>
        </is>
      </c>
      <c r="D1989" t="n">
        <v>21.1</v>
      </c>
      <c r="E1989" t="n">
        <v>20.6</v>
      </c>
      <c r="F1989" t="n">
        <v>18.6</v>
      </c>
      <c r="G1989" t="n">
        <v>9.800000000000001</v>
      </c>
      <c r="H1989" t="n">
        <v>24.4</v>
      </c>
      <c r="I1989" t="n">
        <v>6.7</v>
      </c>
      <c r="J1989" t="n">
        <v>4.5</v>
      </c>
      <c r="K1989" t="n">
        <v>83.7</v>
      </c>
      <c r="L1989" t="n">
        <v>21.5</v>
      </c>
      <c r="M1989" t="n">
        <v>30.7</v>
      </c>
      <c r="N1989" t="inlineStr">
        <is>
          <t>351–400</t>
        </is>
      </c>
      <c r="O1989" t="inlineStr">
        <is>
          <t>49.1–51.0</t>
        </is>
      </c>
      <c r="P1989" t="n">
        <v>41.2</v>
      </c>
      <c r="Q1989" t="n">
        <v>40.5</v>
      </c>
      <c r="R1989" t="n">
        <v>68.2</v>
      </c>
      <c r="S1989" t="n">
        <v>69.8</v>
      </c>
      <c r="T1989" t="n">
        <v>43.9</v>
      </c>
      <c r="U1989" t="inlineStr">
        <is>
          <t>37,565</t>
        </is>
      </c>
      <c r="V1989" t="n">
        <v>15.7</v>
      </c>
      <c r="W1989" t="inlineStr">
        <is>
          <t>6%</t>
        </is>
      </c>
      <c r="X1989" t="inlineStr">
        <is>
          <t>58 : 42</t>
        </is>
      </c>
      <c r="Y1989" t="n">
        <v>587</v>
      </c>
      <c r="Z1989" t="n">
        <v>351</v>
      </c>
      <c r="AA1989" t="n">
        <v>50.05</v>
      </c>
      <c r="AB1989" t="inlineStr">
        <is>
          <t>U1988</t>
        </is>
      </c>
      <c r="AC1989" t="inlineStr">
        <is>
          <t>UN</t>
        </is>
      </c>
      <c r="AD1989" t="n">
        <v>21.1</v>
      </c>
      <c r="AE1989" t="n">
        <v>24.4</v>
      </c>
      <c r="AF1989" t="n">
        <v>15.7</v>
      </c>
      <c r="AG1989" t="inlineStr">
        <is>
          <t>1:15.7</t>
        </is>
      </c>
      <c r="AH1989" t="inlineStr">
        <is>
          <t>6%</t>
        </is>
      </c>
      <c r="AI1989" t="n">
        <v>20.6</v>
      </c>
      <c r="AJ1989" t="n">
        <v>32.63</v>
      </c>
    </row>
    <row r="1990">
      <c r="A1990" t="inlineStr">
        <is>
          <t>University of Ghana</t>
        </is>
      </c>
      <c r="B1990" t="inlineStr">
        <is>
          <t>Ghana</t>
        </is>
      </c>
      <c r="C1990" t="inlineStr">
        <is>
          <t>851-900</t>
        </is>
      </c>
      <c r="D1990" t="inlineStr"/>
      <c r="E1990" t="n">
        <v>11.5</v>
      </c>
      <c r="F1990" t="n">
        <v>7.6</v>
      </c>
      <c r="G1990" t="n">
        <v>1.9</v>
      </c>
      <c r="H1990" t="n">
        <v>5.3</v>
      </c>
      <c r="I1990" t="n">
        <v>4.5</v>
      </c>
      <c r="J1990" t="n">
        <v>1.7</v>
      </c>
      <c r="K1990" t="n">
        <v>72.8</v>
      </c>
      <c r="L1990" t="n">
        <v>95.40000000000001</v>
      </c>
      <c r="M1990" t="n">
        <v>7.6</v>
      </c>
      <c r="N1990" t="inlineStr">
        <is>
          <t>1001–1200</t>
        </is>
      </c>
      <c r="O1990" t="inlineStr">
        <is>
          <t>28.3–32.6</t>
        </is>
      </c>
      <c r="P1990" t="n">
        <v>14.9</v>
      </c>
      <c r="Q1990" t="n">
        <v>21.3</v>
      </c>
      <c r="R1990" t="n">
        <v>42.1</v>
      </c>
      <c r="S1990" t="n">
        <v>37.3</v>
      </c>
      <c r="T1990" t="n">
        <v>52.3</v>
      </c>
      <c r="U1990" t="inlineStr">
        <is>
          <t>59,744</t>
        </is>
      </c>
      <c r="V1990" t="n">
        <v>35.9</v>
      </c>
      <c r="W1990" t="inlineStr">
        <is>
          <t>1%</t>
        </is>
      </c>
      <c r="X1990" t="inlineStr">
        <is>
          <t>49 : 51</t>
        </is>
      </c>
      <c r="Y1990" t="n">
        <v>851</v>
      </c>
      <c r="Z1990" t="n">
        <v>1001</v>
      </c>
      <c r="AA1990" t="n">
        <v>30.45</v>
      </c>
      <c r="AB1990" t="inlineStr">
        <is>
          <t>U1989</t>
        </is>
      </c>
      <c r="AC1990" t="inlineStr">
        <is>
          <t>GH</t>
        </is>
      </c>
      <c r="AD1990" t="n">
        <v>30.45</v>
      </c>
      <c r="AE1990" t="n">
        <v>5.3</v>
      </c>
      <c r="AF1990" t="n">
        <v>35.9</v>
      </c>
      <c r="AG1990" t="inlineStr">
        <is>
          <t>1:35.9</t>
        </is>
      </c>
      <c r="AH1990" t="inlineStr">
        <is>
          <t>1%</t>
        </is>
      </c>
      <c r="AI1990" t="n">
        <v>11.5</v>
      </c>
      <c r="AJ1990" t="n">
        <v>18.81</v>
      </c>
    </row>
    <row r="1991">
      <c r="A1991" t="inlineStr">
        <is>
          <t>University of Girona</t>
        </is>
      </c>
      <c r="B1991" t="inlineStr">
        <is>
          <t>Spain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>
        <is>
          <t>801–1000</t>
        </is>
      </c>
      <c r="O1991" t="inlineStr">
        <is>
          <t>32.7–36.9</t>
        </is>
      </c>
      <c r="P1991" t="n">
        <v>20.8</v>
      </c>
      <c r="Q1991" t="n">
        <v>22.4</v>
      </c>
      <c r="R1991" t="n">
        <v>56.3</v>
      </c>
      <c r="S1991" t="n">
        <v>55</v>
      </c>
      <c r="T1991" t="n">
        <v>56.8</v>
      </c>
      <c r="U1991" t="inlineStr">
        <is>
          <t>14,158</t>
        </is>
      </c>
      <c r="V1991" t="n">
        <v>21</v>
      </c>
      <c r="W1991" t="inlineStr">
        <is>
          <t>14%</t>
        </is>
      </c>
      <c r="X1991" t="inlineStr">
        <is>
          <t>58 : 42</t>
        </is>
      </c>
      <c r="Y1991" t="inlineStr"/>
      <c r="Z1991" t="n">
        <v>801</v>
      </c>
      <c r="AA1991" t="n">
        <v>34.8</v>
      </c>
      <c r="AB1991" t="inlineStr">
        <is>
          <t>U1990</t>
        </is>
      </c>
      <c r="AC1991" t="inlineStr">
        <is>
          <t>SP</t>
        </is>
      </c>
      <c r="AD1991" t="n">
        <v>34.8</v>
      </c>
      <c r="AE1991" t="n">
        <v>56.3</v>
      </c>
      <c r="AF1991" t="n">
        <v>21</v>
      </c>
      <c r="AG1991" t="inlineStr">
        <is>
          <t>1:21.0</t>
        </is>
      </c>
      <c r="AH1991" t="inlineStr">
        <is>
          <t>14%</t>
        </is>
      </c>
      <c r="AI1991" t="inlineStr"/>
      <c r="AJ1991" t="n">
        <v>35.93</v>
      </c>
    </row>
    <row r="1992">
      <c r="A1992" t="inlineStr">
        <is>
          <t>University of Glasgow</t>
        </is>
      </c>
      <c r="B1992" t="inlineStr">
        <is>
          <t>United Kingdom</t>
        </is>
      </c>
      <c r="C1992" t="inlineStr">
        <is>
          <t>78</t>
        </is>
      </c>
      <c r="D1992" t="n">
        <v>65</v>
      </c>
      <c r="E1992" t="n">
        <v>77.40000000000001</v>
      </c>
      <c r="F1992" t="n">
        <v>67.7</v>
      </c>
      <c r="G1992" t="n">
        <v>38</v>
      </c>
      <c r="H1992" t="n">
        <v>32.5</v>
      </c>
      <c r="I1992" t="n">
        <v>95.7</v>
      </c>
      <c r="J1992" t="n">
        <v>99.40000000000001</v>
      </c>
      <c r="K1992" t="n">
        <v>97.59999999999999</v>
      </c>
      <c r="L1992" t="n">
        <v>33.5</v>
      </c>
      <c r="M1992" t="n">
        <v>98.5</v>
      </c>
      <c r="N1992">
        <f>87</f>
        <v/>
      </c>
      <c r="O1992" t="inlineStr">
        <is>
          <t>68.2</t>
        </is>
      </c>
      <c r="P1992" t="n">
        <v>48.1</v>
      </c>
      <c r="Q1992" t="n">
        <v>51.8</v>
      </c>
      <c r="R1992" t="n">
        <v>96.8</v>
      </c>
      <c r="S1992" t="n">
        <v>69.7</v>
      </c>
      <c r="T1992" t="n">
        <v>96.09999999999999</v>
      </c>
      <c r="U1992" t="inlineStr">
        <is>
          <t>32,270</t>
        </is>
      </c>
      <c r="V1992" t="n">
        <v>14.4</v>
      </c>
      <c r="W1992" t="inlineStr">
        <is>
          <t>43%</t>
        </is>
      </c>
      <c r="X1992" t="inlineStr">
        <is>
          <t>59 : 41</t>
        </is>
      </c>
      <c r="Y1992" t="n">
        <v>78</v>
      </c>
      <c r="Z1992" t="n">
        <v>87</v>
      </c>
      <c r="AA1992" t="n">
        <v>68.2</v>
      </c>
      <c r="AB1992" t="inlineStr">
        <is>
          <t>U1991</t>
        </is>
      </c>
      <c r="AC1992" t="inlineStr">
        <is>
          <t>UN</t>
        </is>
      </c>
      <c r="AD1992" t="n">
        <v>65</v>
      </c>
      <c r="AE1992" t="n">
        <v>32.5</v>
      </c>
      <c r="AF1992" t="n">
        <v>14.4</v>
      </c>
      <c r="AG1992" t="inlineStr">
        <is>
          <t>1:14.4</t>
        </is>
      </c>
      <c r="AH1992" t="inlineStr">
        <is>
          <t>43%</t>
        </is>
      </c>
      <c r="AI1992" t="n">
        <v>77.40000000000001</v>
      </c>
      <c r="AJ1992" t="n">
        <v>53.63</v>
      </c>
    </row>
    <row r="1993">
      <c r="A1993" t="inlineStr">
        <is>
          <t>University of Gloucestershire</t>
        </is>
      </c>
      <c r="B1993" t="inlineStr">
        <is>
          <t>United Kingdom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>
        <is>
          <t>801–1000</t>
        </is>
      </c>
      <c r="O1993" t="inlineStr">
        <is>
          <t>32.7–36.9</t>
        </is>
      </c>
      <c r="P1993" t="n">
        <v>17.4</v>
      </c>
      <c r="Q1993" t="n">
        <v>14</v>
      </c>
      <c r="R1993" t="n">
        <v>57.6</v>
      </c>
      <c r="S1993" t="n">
        <v>34.5</v>
      </c>
      <c r="T1993" t="n">
        <v>65.7</v>
      </c>
      <c r="U1993" t="inlineStr">
        <is>
          <t>6,880</t>
        </is>
      </c>
      <c r="V1993" t="n">
        <v>17</v>
      </c>
      <c r="W1993" t="inlineStr">
        <is>
          <t>12%</t>
        </is>
      </c>
      <c r="X1993" t="inlineStr">
        <is>
          <t>59 : 41</t>
        </is>
      </c>
      <c r="Y1993" t="inlineStr"/>
      <c r="Z1993" t="n">
        <v>801</v>
      </c>
      <c r="AA1993" t="n">
        <v>34.8</v>
      </c>
      <c r="AB1993" t="inlineStr">
        <is>
          <t>U1992</t>
        </is>
      </c>
      <c r="AC1993" t="inlineStr">
        <is>
          <t>UN</t>
        </is>
      </c>
      <c r="AD1993" t="n">
        <v>34.8</v>
      </c>
      <c r="AE1993" t="n">
        <v>57.6</v>
      </c>
      <c r="AF1993" t="n">
        <v>17</v>
      </c>
      <c r="AG1993" t="inlineStr">
        <is>
          <t>1:17.0</t>
        </is>
      </c>
      <c r="AH1993" t="inlineStr">
        <is>
          <t>12%</t>
        </is>
      </c>
      <c r="AI1993" t="inlineStr"/>
      <c r="AJ1993" t="n">
        <v>34.07</v>
      </c>
    </row>
    <row r="1994">
      <c r="A1994" t="inlineStr">
        <is>
          <t>University of Gothenburg</t>
        </is>
      </c>
      <c r="B1994" t="inlineStr">
        <is>
          <t>Sweden</t>
        </is>
      </c>
      <c r="C1994" t="inlineStr">
        <is>
          <t>194</t>
        </is>
      </c>
      <c r="D1994" t="n">
        <v>46.7</v>
      </c>
      <c r="E1994" t="n">
        <v>35.4</v>
      </c>
      <c r="F1994" t="n">
        <v>18.3</v>
      </c>
      <c r="G1994" t="n">
        <v>60.9</v>
      </c>
      <c r="H1994" t="n">
        <v>33.6</v>
      </c>
      <c r="I1994" t="n">
        <v>90</v>
      </c>
      <c r="J1994" t="n">
        <v>78.2</v>
      </c>
      <c r="K1994" t="n">
        <v>94.2</v>
      </c>
      <c r="L1994" t="n">
        <v>63.1</v>
      </c>
      <c r="M1994" t="n">
        <v>92.8</v>
      </c>
      <c r="N1994" t="inlineStr">
        <is>
          <t>201–250</t>
        </is>
      </c>
      <c r="O1994" t="inlineStr">
        <is>
          <t>55.9–58.6</t>
        </is>
      </c>
      <c r="P1994" t="n">
        <v>34</v>
      </c>
      <c r="Q1994" t="n">
        <v>43.4</v>
      </c>
      <c r="R1994" t="n">
        <v>90.2</v>
      </c>
      <c r="S1994" t="n">
        <v>75.40000000000001</v>
      </c>
      <c r="T1994" t="n">
        <v>65.7</v>
      </c>
      <c r="U1994" t="inlineStr">
        <is>
          <t>21,698</t>
        </is>
      </c>
      <c r="V1994" t="n">
        <v>11.9</v>
      </c>
      <c r="W1994" t="inlineStr">
        <is>
          <t>13%</t>
        </is>
      </c>
      <c r="X1994" t="inlineStr"/>
      <c r="Y1994" t="n">
        <v>194</v>
      </c>
      <c r="Z1994" t="n">
        <v>201</v>
      </c>
      <c r="AA1994" t="n">
        <v>57.25</v>
      </c>
      <c r="AB1994" t="inlineStr">
        <is>
          <t>U1993</t>
        </is>
      </c>
      <c r="AC1994" t="inlineStr">
        <is>
          <t>SW</t>
        </is>
      </c>
      <c r="AD1994" t="n">
        <v>46.7</v>
      </c>
      <c r="AE1994" t="n">
        <v>33.6</v>
      </c>
      <c r="AF1994" t="n">
        <v>11.9</v>
      </c>
      <c r="AG1994" t="inlineStr">
        <is>
          <t>1:11.9</t>
        </is>
      </c>
      <c r="AH1994" t="inlineStr">
        <is>
          <t>13%</t>
        </is>
      </c>
      <c r="AI1994" t="n">
        <v>35.4</v>
      </c>
      <c r="AJ1994" t="n">
        <v>42.21</v>
      </c>
    </row>
    <row r="1995">
      <c r="A1995" t="inlineStr">
        <is>
          <t>University of Granada</t>
        </is>
      </c>
      <c r="B1995" t="inlineStr">
        <is>
          <t>Spain</t>
        </is>
      </c>
      <c r="C1995" t="inlineStr">
        <is>
          <t>431</t>
        </is>
      </c>
      <c r="D1995" t="n">
        <v>27.6</v>
      </c>
      <c r="E1995" t="n">
        <v>44.4</v>
      </c>
      <c r="F1995" t="n">
        <v>14.1</v>
      </c>
      <c r="G1995" t="n">
        <v>5.7</v>
      </c>
      <c r="H1995" t="n">
        <v>26.2</v>
      </c>
      <c r="I1995" t="n">
        <v>3.1</v>
      </c>
      <c r="J1995" t="n">
        <v>14.8</v>
      </c>
      <c r="K1995" t="n">
        <v>96.3</v>
      </c>
      <c r="L1995" t="n">
        <v>4.9</v>
      </c>
      <c r="M1995" t="n">
        <v>26.3</v>
      </c>
      <c r="N1995" t="inlineStr">
        <is>
          <t>501–600</t>
        </is>
      </c>
      <c r="O1995" t="inlineStr">
        <is>
          <t>41.9–45.3</t>
        </is>
      </c>
      <c r="P1995" t="n">
        <v>28.5</v>
      </c>
      <c r="Q1995" t="n">
        <v>26.6</v>
      </c>
      <c r="R1995" t="n">
        <v>65.7</v>
      </c>
      <c r="S1995" t="n">
        <v>52.2</v>
      </c>
      <c r="T1995" t="n">
        <v>52.6</v>
      </c>
      <c r="U1995" t="inlineStr">
        <is>
          <t>55,523</t>
        </is>
      </c>
      <c r="V1995" t="n">
        <v>14.7</v>
      </c>
      <c r="W1995" t="inlineStr">
        <is>
          <t>9%</t>
        </is>
      </c>
      <c r="X1995" t="inlineStr">
        <is>
          <t>59 : 41</t>
        </is>
      </c>
      <c r="Y1995" t="n">
        <v>431</v>
      </c>
      <c r="Z1995" t="n">
        <v>501</v>
      </c>
      <c r="AA1995" t="n">
        <v>43.59999999999999</v>
      </c>
      <c r="AB1995" t="inlineStr">
        <is>
          <t>U1994</t>
        </is>
      </c>
      <c r="AC1995" t="inlineStr">
        <is>
          <t>SP</t>
        </is>
      </c>
      <c r="AD1995" t="n">
        <v>27.6</v>
      </c>
      <c r="AE1995" t="n">
        <v>26.2</v>
      </c>
      <c r="AF1995" t="n">
        <v>14.7</v>
      </c>
      <c r="AG1995" t="inlineStr">
        <is>
          <t>1:14.7</t>
        </is>
      </c>
      <c r="AH1995" t="inlineStr">
        <is>
          <t>9%</t>
        </is>
      </c>
      <c r="AI1995" t="n">
        <v>44.4</v>
      </c>
      <c r="AJ1995" t="n">
        <v>27.99</v>
      </c>
    </row>
    <row r="1996">
      <c r="A1996" t="inlineStr">
        <is>
          <t>University of Graz</t>
        </is>
      </c>
      <c r="B1996" t="inlineStr">
        <is>
          <t>Austria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>
        <is>
          <t>501–600</t>
        </is>
      </c>
      <c r="O1996" t="inlineStr">
        <is>
          <t>41.9–45.3</t>
        </is>
      </c>
      <c r="P1996" t="n">
        <v>29.2</v>
      </c>
      <c r="Q1996" t="n">
        <v>21.8</v>
      </c>
      <c r="R1996" t="n">
        <v>66.90000000000001</v>
      </c>
      <c r="S1996" t="n">
        <v>51.2</v>
      </c>
      <c r="T1996" t="n">
        <v>81.3</v>
      </c>
      <c r="U1996" t="inlineStr">
        <is>
          <t>12,830</t>
        </is>
      </c>
      <c r="V1996" t="n">
        <v>12.6</v>
      </c>
      <c r="W1996" t="inlineStr">
        <is>
          <t>17%</t>
        </is>
      </c>
      <c r="X1996" t="inlineStr">
        <is>
          <t>66 : 34</t>
        </is>
      </c>
      <c r="Y1996" t="inlineStr"/>
      <c r="Z1996" t="n">
        <v>501</v>
      </c>
      <c r="AA1996" t="n">
        <v>43.59999999999999</v>
      </c>
      <c r="AB1996" t="inlineStr">
        <is>
          <t>U1995</t>
        </is>
      </c>
      <c r="AC1996" t="inlineStr">
        <is>
          <t>AU</t>
        </is>
      </c>
      <c r="AD1996" t="n">
        <v>43.59999999999999</v>
      </c>
      <c r="AE1996" t="n">
        <v>66.90000000000001</v>
      </c>
      <c r="AF1996" t="n">
        <v>12.6</v>
      </c>
      <c r="AG1996" t="inlineStr">
        <is>
          <t>1:12.6</t>
        </is>
      </c>
      <c r="AH1996" t="inlineStr">
        <is>
          <t>17%</t>
        </is>
      </c>
      <c r="AI1996" t="inlineStr"/>
      <c r="AJ1996" t="n">
        <v>44.75</v>
      </c>
    </row>
    <row r="1997">
      <c r="A1997" t="inlineStr">
        <is>
          <t>University of Greenwich</t>
        </is>
      </c>
      <c r="B1997" t="inlineStr">
        <is>
          <t>United Kingdom</t>
        </is>
      </c>
      <c r="C1997" t="inlineStr">
        <is>
          <t>691-700</t>
        </is>
      </c>
      <c r="D1997" t="inlineStr"/>
      <c r="E1997" t="n">
        <v>4.7</v>
      </c>
      <c r="F1997" t="n">
        <v>4.1</v>
      </c>
      <c r="G1997" t="n">
        <v>4.1</v>
      </c>
      <c r="H1997" t="n">
        <v>11.7</v>
      </c>
      <c r="I1997" t="n">
        <v>91.5</v>
      </c>
      <c r="J1997" t="n">
        <v>100</v>
      </c>
      <c r="K1997" t="n">
        <v>78.2</v>
      </c>
      <c r="L1997" t="n">
        <v>14.9</v>
      </c>
      <c r="M1997" t="n">
        <v>5.4</v>
      </c>
      <c r="N1997" t="inlineStr">
        <is>
          <t>501–600</t>
        </is>
      </c>
      <c r="O1997" t="inlineStr">
        <is>
          <t>41.9–45.3</t>
        </is>
      </c>
      <c r="P1997" t="n">
        <v>17.8</v>
      </c>
      <c r="Q1997" t="n">
        <v>17.5</v>
      </c>
      <c r="R1997" t="n">
        <v>81.2</v>
      </c>
      <c r="S1997" t="n">
        <v>40.9</v>
      </c>
      <c r="T1997" t="n">
        <v>97.2</v>
      </c>
      <c r="U1997" t="inlineStr">
        <is>
          <t>17,095</t>
        </is>
      </c>
      <c r="V1997" t="n">
        <v>21.8</v>
      </c>
      <c r="W1997" t="inlineStr">
        <is>
          <t>46%</t>
        </is>
      </c>
      <c r="X1997" t="inlineStr">
        <is>
          <t>58 : 42</t>
        </is>
      </c>
      <c r="Y1997" t="n">
        <v>691</v>
      </c>
      <c r="Z1997" t="n">
        <v>501</v>
      </c>
      <c r="AA1997" t="n">
        <v>43.59999999999999</v>
      </c>
      <c r="AB1997" t="inlineStr">
        <is>
          <t>U1996</t>
        </is>
      </c>
      <c r="AC1997" t="inlineStr">
        <is>
          <t>UN</t>
        </is>
      </c>
      <c r="AD1997" t="n">
        <v>43.59999999999999</v>
      </c>
      <c r="AE1997" t="n">
        <v>11.7</v>
      </c>
      <c r="AF1997" t="n">
        <v>21.8</v>
      </c>
      <c r="AG1997" t="inlineStr">
        <is>
          <t>1:21.8</t>
        </is>
      </c>
      <c r="AH1997" t="inlineStr">
        <is>
          <t>46%</t>
        </is>
      </c>
      <c r="AI1997" t="n">
        <v>4.7</v>
      </c>
      <c r="AJ1997" t="n">
        <v>29.62</v>
      </c>
    </row>
    <row r="1998">
      <c r="A1998" t="inlineStr">
        <is>
          <t>University of Greifswald</t>
        </is>
      </c>
      <c r="B1998" t="inlineStr">
        <is>
          <t>Germany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>
        <is>
          <t>401–500</t>
        </is>
      </c>
      <c r="O1998" t="inlineStr">
        <is>
          <t>45.4–49.0</t>
        </is>
      </c>
      <c r="P1998" t="n">
        <v>35.5</v>
      </c>
      <c r="Q1998" t="n">
        <v>29.9</v>
      </c>
      <c r="R1998" t="n">
        <v>73.8</v>
      </c>
      <c r="S1998" t="n">
        <v>60.2</v>
      </c>
      <c r="T1998" t="n">
        <v>57.1</v>
      </c>
      <c r="U1998" t="inlineStr">
        <is>
          <t>10,366</t>
        </is>
      </c>
      <c r="V1998" t="n">
        <v>21.1</v>
      </c>
      <c r="W1998" t="inlineStr">
        <is>
          <t>8%</t>
        </is>
      </c>
      <c r="X1998" t="inlineStr">
        <is>
          <t>59 : 41</t>
        </is>
      </c>
      <c r="Y1998" t="inlineStr"/>
      <c r="Z1998" t="n">
        <v>401</v>
      </c>
      <c r="AA1998" t="n">
        <v>47.2</v>
      </c>
      <c r="AB1998" t="inlineStr">
        <is>
          <t>U1997</t>
        </is>
      </c>
      <c r="AC1998" t="inlineStr">
        <is>
          <t>GE</t>
        </is>
      </c>
      <c r="AD1998" t="n">
        <v>47.2</v>
      </c>
      <c r="AE1998" t="n">
        <v>73.8</v>
      </c>
      <c r="AF1998" t="n">
        <v>21.1</v>
      </c>
      <c r="AG1998" t="inlineStr">
        <is>
          <t>1:21.1</t>
        </is>
      </c>
      <c r="AH1998" t="inlineStr">
        <is>
          <t>8%</t>
        </is>
      </c>
      <c r="AI1998" t="inlineStr"/>
      <c r="AJ1998" t="n">
        <v>45.24</v>
      </c>
    </row>
    <row r="1999">
      <c r="A1999" t="inlineStr">
        <is>
          <t>University of Groningen</t>
        </is>
      </c>
      <c r="B1999" t="inlineStr">
        <is>
          <t>Netherlands</t>
        </is>
      </c>
      <c r="C1999" t="inlineStr">
        <is>
          <t>159</t>
        </is>
      </c>
      <c r="D1999" t="n">
        <v>51.3</v>
      </c>
      <c r="E1999" t="n">
        <v>52.3</v>
      </c>
      <c r="F1999" t="n">
        <v>34.4</v>
      </c>
      <c r="G1999" t="n">
        <v>49.3</v>
      </c>
      <c r="H1999" t="n">
        <v>41.2</v>
      </c>
      <c r="I1999" t="n">
        <v>93.2</v>
      </c>
      <c r="J1999" t="n">
        <v>83.5</v>
      </c>
      <c r="K1999" t="n">
        <v>94.09999999999999</v>
      </c>
      <c r="L1999" t="n">
        <v>40</v>
      </c>
      <c r="M1999" t="n">
        <v>40.1</v>
      </c>
      <c r="N1999" t="inlineStr">
        <is>
          <t>79</t>
        </is>
      </c>
      <c r="O1999" t="inlineStr">
        <is>
          <t>70.0</t>
        </is>
      </c>
      <c r="P1999" t="n">
        <v>47.5</v>
      </c>
      <c r="Q1999" t="n">
        <v>57.2</v>
      </c>
      <c r="R1999" t="n">
        <v>94.5</v>
      </c>
      <c r="S1999" t="n">
        <v>99.90000000000001</v>
      </c>
      <c r="T1999" t="n">
        <v>93.40000000000001</v>
      </c>
      <c r="U1999" t="inlineStr">
        <is>
          <t>31,942</t>
        </is>
      </c>
      <c r="V1999" t="n">
        <v>28.8</v>
      </c>
      <c r="W1999" t="inlineStr">
        <is>
          <t>29%</t>
        </is>
      </c>
      <c r="X1999" t="inlineStr">
        <is>
          <t>53 : 47</t>
        </is>
      </c>
      <c r="Y1999" t="n">
        <v>159</v>
      </c>
      <c r="Z1999" t="n">
        <v>79</v>
      </c>
      <c r="AA1999" t="n">
        <v>70</v>
      </c>
      <c r="AB1999" t="inlineStr">
        <is>
          <t>U1998</t>
        </is>
      </c>
      <c r="AC1999" t="inlineStr">
        <is>
          <t>NE</t>
        </is>
      </c>
      <c r="AD1999" t="n">
        <v>51.3</v>
      </c>
      <c r="AE1999" t="n">
        <v>41.2</v>
      </c>
      <c r="AF1999" t="n">
        <v>28.8</v>
      </c>
      <c r="AG1999" t="inlineStr">
        <is>
          <t>1:28.8</t>
        </is>
      </c>
      <c r="AH1999" t="inlineStr">
        <is>
          <t>29%</t>
        </is>
      </c>
      <c r="AI1999" t="n">
        <v>52.3</v>
      </c>
      <c r="AJ1999" t="n">
        <v>58.44</v>
      </c>
    </row>
    <row r="2000">
      <c r="A2000" t="inlineStr">
        <is>
          <t>University of Guadalajara</t>
        </is>
      </c>
      <c r="B2000" t="inlineStr">
        <is>
          <t>Mexico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>
        <is>
          <t>1501+</t>
        </is>
      </c>
      <c r="O2000" t="inlineStr">
        <is>
          <t>9.7–22.7</t>
        </is>
      </c>
      <c r="P2000" t="n">
        <v>16.3</v>
      </c>
      <c r="Q2000" t="n">
        <v>8.800000000000001</v>
      </c>
      <c r="R2000" t="n">
        <v>13.7</v>
      </c>
      <c r="S2000" t="n">
        <v>18</v>
      </c>
      <c r="T2000" t="n">
        <v>31.2</v>
      </c>
      <c r="U2000" t="inlineStr">
        <is>
          <t>140,348</t>
        </is>
      </c>
      <c r="V2000" t="n">
        <v>19.3</v>
      </c>
      <c r="W2000" t="inlineStr">
        <is>
          <t>0%</t>
        </is>
      </c>
      <c r="X2000" t="inlineStr">
        <is>
          <t>55 : 45</t>
        </is>
      </c>
      <c r="Y2000" t="inlineStr"/>
      <c r="Z2000" t="n">
        <v>1501</v>
      </c>
      <c r="AA2000" t="n">
        <v>16.2</v>
      </c>
      <c r="AB2000" t="inlineStr">
        <is>
          <t>U1999</t>
        </is>
      </c>
      <c r="AC2000" t="inlineStr">
        <is>
          <t>ME</t>
        </is>
      </c>
      <c r="AD2000" t="n">
        <v>16.2</v>
      </c>
      <c r="AE2000" t="n">
        <v>13.7</v>
      </c>
      <c r="AF2000" t="n">
        <v>19.3</v>
      </c>
      <c r="AG2000" t="inlineStr">
        <is>
          <t>1:19.3</t>
        </is>
      </c>
      <c r="AH2000" t="inlineStr">
        <is>
          <t>0%</t>
        </is>
      </c>
      <c r="AI2000" t="inlineStr"/>
      <c r="AJ2000" t="n">
        <v>9.699999999999999</v>
      </c>
    </row>
    <row r="2001">
      <c r="A2001" t="inlineStr">
        <is>
          <t>University of Guanajuato</t>
        </is>
      </c>
      <c r="B2001" t="inlineStr">
        <is>
          <t>Mexico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>
        <is>
          <t>1501+</t>
        </is>
      </c>
      <c r="O2001" t="inlineStr">
        <is>
          <t>9.7–22.7</t>
        </is>
      </c>
      <c r="P2001" t="n">
        <v>16.2</v>
      </c>
      <c r="Q2001" t="n">
        <v>9.300000000000001</v>
      </c>
      <c r="R2001" t="n">
        <v>13.4</v>
      </c>
      <c r="S2001" t="n">
        <v>20.5</v>
      </c>
      <c r="T2001" t="n">
        <v>36.4</v>
      </c>
      <c r="U2001" t="inlineStr">
        <is>
          <t>30,317</t>
        </is>
      </c>
      <c r="V2001" t="n">
        <v>21.4</v>
      </c>
      <c r="W2001" t="inlineStr">
        <is>
          <t>2%</t>
        </is>
      </c>
      <c r="X2001" t="inlineStr">
        <is>
          <t>55 : 45</t>
        </is>
      </c>
      <c r="Y2001" t="inlineStr"/>
      <c r="Z2001" t="n">
        <v>1501</v>
      </c>
      <c r="AA2001" t="n">
        <v>16.2</v>
      </c>
      <c r="AB2001" t="inlineStr">
        <is>
          <t>U2000</t>
        </is>
      </c>
      <c r="AC2001" t="inlineStr">
        <is>
          <t>ME</t>
        </is>
      </c>
      <c r="AD2001" t="n">
        <v>16.2</v>
      </c>
      <c r="AE2001" t="n">
        <v>13.4</v>
      </c>
      <c r="AF2001" t="n">
        <v>21.4</v>
      </c>
      <c r="AG2001" t="inlineStr">
        <is>
          <t>1:21.4</t>
        </is>
      </c>
      <c r="AH2001" t="inlineStr">
        <is>
          <t>2%</t>
        </is>
      </c>
      <c r="AI2001" t="inlineStr"/>
      <c r="AJ2001" t="n">
        <v>11.13</v>
      </c>
    </row>
    <row r="2002">
      <c r="A2002" t="inlineStr">
        <is>
          <t>University of Guelph</t>
        </is>
      </c>
      <c r="B2002" t="inlineStr">
        <is>
          <t>Canada</t>
        </is>
      </c>
      <c r="C2002" t="inlineStr">
        <is>
          <t>456</t>
        </is>
      </c>
      <c r="D2002" t="n">
        <v>26.3</v>
      </c>
      <c r="E2002" t="n">
        <v>12.8</v>
      </c>
      <c r="F2002" t="n">
        <v>12.8</v>
      </c>
      <c r="G2002" t="n">
        <v>5</v>
      </c>
      <c r="H2002" t="n">
        <v>50.1</v>
      </c>
      <c r="I2002" t="n">
        <v>46.4</v>
      </c>
      <c r="J2002" t="n">
        <v>14.3</v>
      </c>
      <c r="K2002" t="n">
        <v>65.2</v>
      </c>
      <c r="L2002" t="n">
        <v>11.2</v>
      </c>
      <c r="M2002" t="n">
        <v>82.90000000000001</v>
      </c>
      <c r="N2002" t="inlineStr">
        <is>
          <t>401–500</t>
        </is>
      </c>
      <c r="O2002" t="inlineStr">
        <is>
          <t>45.4–49.0</t>
        </is>
      </c>
      <c r="P2002" t="n">
        <v>32.6</v>
      </c>
      <c r="Q2002" t="n">
        <v>36.2</v>
      </c>
      <c r="R2002" t="n">
        <v>66.2</v>
      </c>
      <c r="S2002" t="n">
        <v>78.09999999999999</v>
      </c>
      <c r="T2002" t="n">
        <v>64.5</v>
      </c>
      <c r="U2002" t="inlineStr">
        <is>
          <t>22,936</t>
        </is>
      </c>
      <c r="V2002" t="n">
        <v>27.3</v>
      </c>
      <c r="W2002" t="inlineStr">
        <is>
          <t>10%</t>
        </is>
      </c>
      <c r="X2002" t="inlineStr">
        <is>
          <t>59 : 41</t>
        </is>
      </c>
      <c r="Y2002" t="n">
        <v>456</v>
      </c>
      <c r="Z2002" t="n">
        <v>401</v>
      </c>
      <c r="AA2002" t="n">
        <v>47.2</v>
      </c>
      <c r="AB2002" t="inlineStr">
        <is>
          <t>U2001</t>
        </is>
      </c>
      <c r="AC2002" t="inlineStr">
        <is>
          <t>CA</t>
        </is>
      </c>
      <c r="AD2002" t="n">
        <v>26.3</v>
      </c>
      <c r="AE2002" t="n">
        <v>50.1</v>
      </c>
      <c r="AF2002" t="n">
        <v>27.3</v>
      </c>
      <c r="AG2002" t="inlineStr">
        <is>
          <t>1:27.3</t>
        </is>
      </c>
      <c r="AH2002" t="inlineStr">
        <is>
          <t>10%</t>
        </is>
      </c>
      <c r="AI2002" t="n">
        <v>12.8</v>
      </c>
      <c r="AJ2002" t="n">
        <v>43.15</v>
      </c>
    </row>
    <row r="2003">
      <c r="A2003" t="inlineStr">
        <is>
          <t>University of Guilan</t>
        </is>
      </c>
      <c r="B2003" t="inlineStr">
        <is>
          <t>Iran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>
        <is>
          <t>1201–1500</t>
        </is>
      </c>
      <c r="O2003" t="inlineStr">
        <is>
          <t>22.8–28.2</t>
        </is>
      </c>
      <c r="P2003" t="n">
        <v>21.2</v>
      </c>
      <c r="Q2003" t="n">
        <v>17.5</v>
      </c>
      <c r="R2003" t="n">
        <v>46.2</v>
      </c>
      <c r="S2003" t="n">
        <v>27.9</v>
      </c>
      <c r="T2003" t="n">
        <v>23.4</v>
      </c>
      <c r="U2003" t="inlineStr">
        <is>
          <t>19,023</t>
        </is>
      </c>
      <c r="V2003" t="n">
        <v>34.3</v>
      </c>
      <c r="W2003" t="inlineStr">
        <is>
          <t>1%</t>
        </is>
      </c>
      <c r="X2003" t="inlineStr">
        <is>
          <t>58 : 42</t>
        </is>
      </c>
      <c r="Y2003" t="inlineStr"/>
      <c r="Z2003" t="n">
        <v>1201</v>
      </c>
      <c r="AA2003" t="n">
        <v>25.5</v>
      </c>
      <c r="AB2003" t="inlineStr">
        <is>
          <t>U2002</t>
        </is>
      </c>
      <c r="AC2003" t="inlineStr">
        <is>
          <t>IR</t>
        </is>
      </c>
      <c r="AD2003" t="n">
        <v>25.5</v>
      </c>
      <c r="AE2003" t="n">
        <v>46.2</v>
      </c>
      <c r="AF2003" t="n">
        <v>34.3</v>
      </c>
      <c r="AG2003" t="inlineStr">
        <is>
          <t>1:34.3</t>
        </is>
      </c>
      <c r="AH2003" t="inlineStr">
        <is>
          <t>1%</t>
        </is>
      </c>
      <c r="AI2003" t="inlineStr"/>
      <c r="AJ2003" t="n">
        <v>22.22</v>
      </c>
    </row>
    <row r="2004">
      <c r="A2004" t="inlineStr">
        <is>
          <t>University of Gujrat</t>
        </is>
      </c>
      <c r="B2004" t="inlineStr">
        <is>
          <t>Pakistan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>
        <is>
          <t>1001–1200</t>
        </is>
      </c>
      <c r="O2004" t="inlineStr">
        <is>
          <t>28.3–32.6</t>
        </is>
      </c>
      <c r="P2004" t="n">
        <v>13.4</v>
      </c>
      <c r="Q2004" t="n">
        <v>11.3</v>
      </c>
      <c r="R2004" t="n">
        <v>69.5</v>
      </c>
      <c r="S2004" t="n">
        <v>16</v>
      </c>
      <c r="T2004" t="n">
        <v>45.8</v>
      </c>
      <c r="U2004" t="inlineStr">
        <is>
          <t>14,741</t>
        </is>
      </c>
      <c r="V2004" t="n">
        <v>24.7</v>
      </c>
      <c r="W2004" t="inlineStr">
        <is>
          <t>0%</t>
        </is>
      </c>
      <c r="X2004" t="inlineStr">
        <is>
          <t>58 : 42</t>
        </is>
      </c>
      <c r="Y2004" t="inlineStr"/>
      <c r="Z2004" t="n">
        <v>1001</v>
      </c>
      <c r="AA2004" t="n">
        <v>30.45</v>
      </c>
      <c r="AB2004" t="inlineStr">
        <is>
          <t>U2003</t>
        </is>
      </c>
      <c r="AC2004" t="inlineStr">
        <is>
          <t>PA</t>
        </is>
      </c>
      <c r="AD2004" t="n">
        <v>30.45</v>
      </c>
      <c r="AE2004" t="n">
        <v>69.5</v>
      </c>
      <c r="AF2004" t="n">
        <v>24.7</v>
      </c>
      <c r="AG2004" t="inlineStr">
        <is>
          <t>1:24.7</t>
        </is>
      </c>
      <c r="AH2004" t="inlineStr">
        <is>
          <t>0%</t>
        </is>
      </c>
      <c r="AI2004" t="inlineStr"/>
      <c r="AJ2004" t="n">
        <v>31.45</v>
      </c>
    </row>
    <row r="2005">
      <c r="A2005" t="inlineStr">
        <is>
          <t>University of Haifa</t>
        </is>
      </c>
      <c r="B2005" t="inlineStr">
        <is>
          <t>Israel</t>
        </is>
      </c>
      <c r="C2005" t="inlineStr">
        <is>
          <t>671-680</t>
        </is>
      </c>
      <c r="D2005" t="inlineStr"/>
      <c r="E2005" t="n">
        <v>13</v>
      </c>
      <c r="F2005" t="n">
        <v>5.9</v>
      </c>
      <c r="G2005" t="n">
        <v>14.6</v>
      </c>
      <c r="H2005" t="n">
        <v>32.1</v>
      </c>
      <c r="I2005" t="n">
        <v>13.4</v>
      </c>
      <c r="J2005" t="n">
        <v>3.6</v>
      </c>
      <c r="K2005" t="n">
        <v>67.2</v>
      </c>
      <c r="L2005" t="n">
        <v>22.9</v>
      </c>
      <c r="M2005" t="n">
        <v>37.3</v>
      </c>
      <c r="N2005" t="inlineStr">
        <is>
          <t>601–800</t>
        </is>
      </c>
      <c r="O2005" t="inlineStr">
        <is>
          <t>37.0–41.8</t>
        </is>
      </c>
      <c r="P2005" t="n">
        <v>23.9</v>
      </c>
      <c r="Q2005" t="n">
        <v>30.1</v>
      </c>
      <c r="R2005" t="n">
        <v>68.40000000000001</v>
      </c>
      <c r="S2005" t="n">
        <v>64.5</v>
      </c>
      <c r="T2005" t="n">
        <v>34.5</v>
      </c>
      <c r="U2005" t="inlineStr">
        <is>
          <t>17,353</t>
        </is>
      </c>
      <c r="V2005" t="n">
        <v>18.4</v>
      </c>
      <c r="W2005" t="inlineStr">
        <is>
          <t>3%</t>
        </is>
      </c>
      <c r="X2005" t="inlineStr">
        <is>
          <t>66 : 34</t>
        </is>
      </c>
      <c r="Y2005" t="n">
        <v>671</v>
      </c>
      <c r="Z2005" t="n">
        <v>601</v>
      </c>
      <c r="AA2005" t="n">
        <v>39.4</v>
      </c>
      <c r="AB2005" t="inlineStr">
        <is>
          <t>U2004</t>
        </is>
      </c>
      <c r="AC2005" t="inlineStr">
        <is>
          <t>IS</t>
        </is>
      </c>
      <c r="AD2005" t="n">
        <v>39.4</v>
      </c>
      <c r="AE2005" t="n">
        <v>32.1</v>
      </c>
      <c r="AF2005" t="n">
        <v>18.4</v>
      </c>
      <c r="AG2005" t="inlineStr">
        <is>
          <t>1:18.4</t>
        </is>
      </c>
      <c r="AH2005" t="inlineStr">
        <is>
          <t>3%</t>
        </is>
      </c>
      <c r="AI2005" t="n">
        <v>13</v>
      </c>
      <c r="AJ2005" t="n">
        <v>27.24</v>
      </c>
    </row>
    <row r="2006">
      <c r="A2006" t="inlineStr">
        <is>
          <t>University of Hail</t>
        </is>
      </c>
      <c r="B2006" t="inlineStr">
        <is>
          <t>Saudi Arabia</t>
        </is>
      </c>
      <c r="C2006" t="inlineStr">
        <is>
          <t>901-950</t>
        </is>
      </c>
      <c r="D2006" t="inlineStr"/>
      <c r="E2006" t="n">
        <v>5.2</v>
      </c>
      <c r="F2006" t="n">
        <v>1.9</v>
      </c>
      <c r="G2006" t="n">
        <v>39.4</v>
      </c>
      <c r="H2006" t="n">
        <v>2.4</v>
      </c>
      <c r="I2006" t="n">
        <v>100</v>
      </c>
      <c r="J2006" t="n">
        <v>3</v>
      </c>
      <c r="K2006" t="n">
        <v>43.3</v>
      </c>
      <c r="L2006" t="n">
        <v>2.3</v>
      </c>
      <c r="M2006" t="n">
        <v>1.5</v>
      </c>
      <c r="N2006" t="inlineStr">
        <is>
          <t>601–800</t>
        </is>
      </c>
      <c r="O2006" t="inlineStr">
        <is>
          <t>37.0–41.8</t>
        </is>
      </c>
      <c r="P2006" t="n">
        <v>22.1</v>
      </c>
      <c r="Q2006" t="n">
        <v>10.5</v>
      </c>
      <c r="R2006" t="n">
        <v>72.3</v>
      </c>
      <c r="S2006" t="n">
        <v>23.5</v>
      </c>
      <c r="T2006" t="n">
        <v>76.8</v>
      </c>
      <c r="U2006" t="inlineStr">
        <is>
          <t>19,400</t>
        </is>
      </c>
      <c r="V2006" t="n">
        <v>11.2</v>
      </c>
      <c r="W2006" t="inlineStr">
        <is>
          <t>3%</t>
        </is>
      </c>
      <c r="X2006" t="inlineStr">
        <is>
          <t>61 : 39</t>
        </is>
      </c>
      <c r="Y2006" t="n">
        <v>901</v>
      </c>
      <c r="Z2006" t="n">
        <v>601</v>
      </c>
      <c r="AA2006" t="n">
        <v>39.4</v>
      </c>
      <c r="AB2006" t="inlineStr">
        <is>
          <t>U2005</t>
        </is>
      </c>
      <c r="AC2006" t="inlineStr">
        <is>
          <t>SA</t>
        </is>
      </c>
      <c r="AD2006" t="n">
        <v>39.4</v>
      </c>
      <c r="AE2006" t="n">
        <v>2.4</v>
      </c>
      <c r="AF2006" t="n">
        <v>11.2</v>
      </c>
      <c r="AG2006" t="inlineStr">
        <is>
          <t>1:11.2</t>
        </is>
      </c>
      <c r="AH2006" t="inlineStr">
        <is>
          <t>3%</t>
        </is>
      </c>
      <c r="AI2006" t="n">
        <v>5.2</v>
      </c>
      <c r="AJ2006" t="n">
        <v>18.2</v>
      </c>
    </row>
    <row r="2007">
      <c r="A2007" t="inlineStr">
        <is>
          <t>University of Hamburg</t>
        </is>
      </c>
      <c r="B2007" t="inlineStr">
        <is>
          <t>Germany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>
        <f>136</f>
        <v/>
      </c>
      <c r="O2007" t="inlineStr">
        <is>
          <t>63.0</t>
        </is>
      </c>
      <c r="P2007" t="n">
        <v>44.7</v>
      </c>
      <c r="Q2007" t="n">
        <v>53.3</v>
      </c>
      <c r="R2007" t="n">
        <v>84.8</v>
      </c>
      <c r="S2007" t="n">
        <v>98.59999999999999</v>
      </c>
      <c r="T2007" t="n">
        <v>65.7</v>
      </c>
      <c r="U2007" t="inlineStr">
        <is>
          <t>29,240</t>
        </is>
      </c>
      <c r="V2007" t="n">
        <v>58.5</v>
      </c>
      <c r="W2007" t="inlineStr">
        <is>
          <t>13%</t>
        </is>
      </c>
      <c r="X2007" t="inlineStr">
        <is>
          <t>58 : 42</t>
        </is>
      </c>
      <c r="Y2007" t="inlineStr"/>
      <c r="Z2007" t="n">
        <v>136</v>
      </c>
      <c r="AA2007" t="n">
        <v>63</v>
      </c>
      <c r="AB2007" t="inlineStr">
        <is>
          <t>U2006</t>
        </is>
      </c>
      <c r="AC2007" t="inlineStr">
        <is>
          <t>GE</t>
        </is>
      </c>
      <c r="AD2007" t="n">
        <v>63</v>
      </c>
      <c r="AE2007" t="n">
        <v>84.8</v>
      </c>
      <c r="AF2007" t="n">
        <v>58.5</v>
      </c>
      <c r="AG2007" t="inlineStr">
        <is>
          <t>1:58.5</t>
        </is>
      </c>
      <c r="AH2007" t="inlineStr">
        <is>
          <t>13%</t>
        </is>
      </c>
      <c r="AI2007" t="inlineStr"/>
      <c r="AJ2007" t="n">
        <v>62.91</v>
      </c>
    </row>
    <row r="2008">
      <c r="A2008" t="inlineStr">
        <is>
          <t>University of Havana</t>
        </is>
      </c>
      <c r="B2008" t="inlineStr">
        <is>
          <t>Cuba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>
        <is>
          <t>1501+</t>
        </is>
      </c>
      <c r="O2008" t="inlineStr">
        <is>
          <t>9.7–22.7</t>
        </is>
      </c>
      <c r="P2008" t="n">
        <v>28.1</v>
      </c>
      <c r="Q2008" t="n">
        <v>11.8</v>
      </c>
      <c r="R2008" t="n">
        <v>10.8</v>
      </c>
      <c r="S2008" t="n">
        <v>33.9</v>
      </c>
      <c r="T2008" t="n">
        <v>53</v>
      </c>
      <c r="U2008" t="inlineStr">
        <is>
          <t>15,584</t>
        </is>
      </c>
      <c r="V2008" t="n">
        <v>9</v>
      </c>
      <c r="W2008" t="inlineStr">
        <is>
          <t>5%</t>
        </is>
      </c>
      <c r="X2008" t="inlineStr">
        <is>
          <t>64 : 36</t>
        </is>
      </c>
      <c r="Y2008" t="inlineStr"/>
      <c r="Z2008" t="n">
        <v>1501</v>
      </c>
      <c r="AA2008" t="n">
        <v>16.2</v>
      </c>
      <c r="AB2008" t="inlineStr">
        <is>
          <t>U2007</t>
        </is>
      </c>
      <c r="AC2008" t="inlineStr">
        <is>
          <t>CU</t>
        </is>
      </c>
      <c r="AD2008" t="n">
        <v>16.2</v>
      </c>
      <c r="AE2008" t="n">
        <v>10.8</v>
      </c>
      <c r="AF2008" t="n">
        <v>9</v>
      </c>
      <c r="AG2008" t="inlineStr">
        <is>
          <t>1:9.0</t>
        </is>
      </c>
      <c r="AH2008" t="inlineStr">
        <is>
          <t>5%</t>
        </is>
      </c>
      <c r="AI2008" t="inlineStr"/>
      <c r="AJ2008" t="n">
        <v>15.67</v>
      </c>
    </row>
    <row r="2009">
      <c r="A2009" t="inlineStr">
        <is>
          <t>University of Hawai?i at M?noa</t>
        </is>
      </c>
      <c r="B2009" t="inlineStr">
        <is>
          <t>United States</t>
        </is>
      </c>
      <c r="C2009" t="inlineStr">
        <is>
          <t>488</t>
        </is>
      </c>
      <c r="D2009" t="n">
        <v>24.6</v>
      </c>
      <c r="E2009" t="n">
        <v>15.2</v>
      </c>
      <c r="F2009" t="n">
        <v>6.6</v>
      </c>
      <c r="G2009" t="n">
        <v>29.7</v>
      </c>
      <c r="H2009" t="n">
        <v>41.7</v>
      </c>
      <c r="I2009" t="n">
        <v>41.7</v>
      </c>
      <c r="J2009" t="n">
        <v>12</v>
      </c>
      <c r="K2009" t="n">
        <v>82.90000000000001</v>
      </c>
      <c r="L2009" t="n">
        <v>7.9</v>
      </c>
      <c r="M2009" t="n">
        <v>30.1</v>
      </c>
      <c r="N2009" t="inlineStr">
        <is>
          <t>201–250</t>
        </is>
      </c>
      <c r="O2009" t="inlineStr">
        <is>
          <t>55.9–58.6</t>
        </is>
      </c>
      <c r="P2009" t="n">
        <v>42</v>
      </c>
      <c r="Q2009" t="n">
        <v>42.5</v>
      </c>
      <c r="R2009" t="n">
        <v>75.8</v>
      </c>
      <c r="S2009" t="n">
        <v>68.3</v>
      </c>
      <c r="T2009" t="n">
        <v>77.3</v>
      </c>
      <c r="U2009" t="inlineStr">
        <is>
          <t>14,936</t>
        </is>
      </c>
      <c r="V2009" t="n">
        <v>11.3</v>
      </c>
      <c r="W2009" t="inlineStr">
        <is>
          <t>10%</t>
        </is>
      </c>
      <c r="X2009" t="inlineStr">
        <is>
          <t>57 : 43</t>
        </is>
      </c>
      <c r="Y2009" t="n">
        <v>488</v>
      </c>
      <c r="Z2009" t="n">
        <v>201</v>
      </c>
      <c r="AA2009" t="n">
        <v>57.25</v>
      </c>
      <c r="AB2009" t="inlineStr">
        <is>
          <t>U2008</t>
        </is>
      </c>
      <c r="AC2009" t="inlineStr">
        <is>
          <t>UN</t>
        </is>
      </c>
      <c r="AD2009" t="n">
        <v>24.6</v>
      </c>
      <c r="AE2009" t="n">
        <v>41.7</v>
      </c>
      <c r="AF2009" t="n">
        <v>11.3</v>
      </c>
      <c r="AG2009" t="inlineStr">
        <is>
          <t>1:11.3</t>
        </is>
      </c>
      <c r="AH2009" t="inlineStr">
        <is>
          <t>10%</t>
        </is>
      </c>
      <c r="AI2009" t="n">
        <v>15.2</v>
      </c>
      <c r="AJ2009" t="n">
        <v>47</v>
      </c>
    </row>
    <row r="2010">
      <c r="A2010" t="inlineStr">
        <is>
          <t>University of Helsinki</t>
        </is>
      </c>
      <c r="B2010" t="inlineStr">
        <is>
          <t>Finland</t>
        </is>
      </c>
      <c r="C2010" t="inlineStr">
        <is>
          <t>117</t>
        </is>
      </c>
      <c r="D2010" t="n">
        <v>56.8</v>
      </c>
      <c r="E2010" t="n">
        <v>62.3</v>
      </c>
      <c r="F2010" t="n">
        <v>29.1</v>
      </c>
      <c r="G2010" t="n">
        <v>59.4</v>
      </c>
      <c r="H2010" t="n">
        <v>49.6</v>
      </c>
      <c r="I2010" t="n">
        <v>73.40000000000001</v>
      </c>
      <c r="J2010" t="n">
        <v>5.7</v>
      </c>
      <c r="K2010" t="n">
        <v>96.90000000000001</v>
      </c>
      <c r="L2010" t="n">
        <v>90.5</v>
      </c>
      <c r="M2010" t="n">
        <v>94.5</v>
      </c>
      <c r="N2010" t="inlineStr">
        <is>
          <t>121</t>
        </is>
      </c>
      <c r="O2010" t="inlineStr">
        <is>
          <t>65.1</t>
        </is>
      </c>
      <c r="P2010" t="n">
        <v>48.1</v>
      </c>
      <c r="Q2010" t="n">
        <v>57.6</v>
      </c>
      <c r="R2010" t="n">
        <v>90.59999999999999</v>
      </c>
      <c r="S2010" t="n">
        <v>69.2</v>
      </c>
      <c r="T2010" t="n">
        <v>56.7</v>
      </c>
      <c r="U2010" t="inlineStr">
        <is>
          <t>22,887</t>
        </is>
      </c>
      <c r="V2010" t="n">
        <v>15.9</v>
      </c>
      <c r="W2010" t="inlineStr">
        <is>
          <t>5%</t>
        </is>
      </c>
      <c r="X2010" t="inlineStr">
        <is>
          <t>67 : 33</t>
        </is>
      </c>
      <c r="Y2010" t="n">
        <v>117</v>
      </c>
      <c r="Z2010" t="n">
        <v>121</v>
      </c>
      <c r="AA2010" t="n">
        <v>65.09999999999999</v>
      </c>
      <c r="AB2010" t="inlineStr">
        <is>
          <t>U2009</t>
        </is>
      </c>
      <c r="AC2010" t="inlineStr">
        <is>
          <t>FI</t>
        </is>
      </c>
      <c r="AD2010" t="n">
        <v>56.8</v>
      </c>
      <c r="AE2010" t="n">
        <v>49.6</v>
      </c>
      <c r="AF2010" t="n">
        <v>15.9</v>
      </c>
      <c r="AG2010" t="inlineStr">
        <is>
          <t>1:15.9</t>
        </is>
      </c>
      <c r="AH2010" t="inlineStr">
        <is>
          <t>5%</t>
        </is>
      </c>
      <c r="AI2010" t="n">
        <v>62.3</v>
      </c>
      <c r="AJ2010" t="n">
        <v>52.32</v>
      </c>
    </row>
    <row r="2011">
      <c r="A2011" t="inlineStr">
        <is>
          <t>University of Hertfordshire</t>
        </is>
      </c>
      <c r="B2011" t="inlineStr">
        <is>
          <t>United Kingdom</t>
        </is>
      </c>
      <c r="C2011" t="inlineStr">
        <is>
          <t>851-900</t>
        </is>
      </c>
      <c r="D2011" t="inlineStr"/>
      <c r="E2011" t="n">
        <v>4.4</v>
      </c>
      <c r="F2011" t="n">
        <v>3.7</v>
      </c>
      <c r="G2011" t="n">
        <v>5.9</v>
      </c>
      <c r="H2011" t="n">
        <v>5.2</v>
      </c>
      <c r="I2011" t="n">
        <v>62</v>
      </c>
      <c r="J2011" t="n">
        <v>100</v>
      </c>
      <c r="K2011" t="n">
        <v>58.8</v>
      </c>
      <c r="L2011" t="n">
        <v>10.1</v>
      </c>
      <c r="M2011" t="n">
        <v>2.1</v>
      </c>
      <c r="N2011" t="inlineStr">
        <is>
          <t>601–800</t>
        </is>
      </c>
      <c r="O2011" t="inlineStr">
        <is>
          <t>37.0–41.8</t>
        </is>
      </c>
      <c r="P2011" t="n">
        <v>18.6</v>
      </c>
      <c r="Q2011" t="n">
        <v>13.4</v>
      </c>
      <c r="R2011" t="n">
        <v>67.2</v>
      </c>
      <c r="S2011" t="n">
        <v>33.9</v>
      </c>
      <c r="T2011" t="n">
        <v>91.59999999999999</v>
      </c>
      <c r="U2011" t="inlineStr">
        <is>
          <t>20,480</t>
        </is>
      </c>
      <c r="V2011" t="n">
        <v>16.3</v>
      </c>
      <c r="W2011" t="inlineStr">
        <is>
          <t>40%</t>
        </is>
      </c>
      <c r="X2011" t="inlineStr">
        <is>
          <t>52 : 48</t>
        </is>
      </c>
      <c r="Y2011" t="n">
        <v>851</v>
      </c>
      <c r="Z2011" t="n">
        <v>601</v>
      </c>
      <c r="AA2011" t="n">
        <v>39.4</v>
      </c>
      <c r="AB2011" t="inlineStr">
        <is>
          <t>U2010</t>
        </is>
      </c>
      <c r="AC2011" t="inlineStr">
        <is>
          <t>UN</t>
        </is>
      </c>
      <c r="AD2011" t="n">
        <v>39.4</v>
      </c>
      <c r="AE2011" t="n">
        <v>5.2</v>
      </c>
      <c r="AF2011" t="n">
        <v>16.3</v>
      </c>
      <c r="AG2011" t="inlineStr">
        <is>
          <t>1:16.3</t>
        </is>
      </c>
      <c r="AH2011" t="inlineStr">
        <is>
          <t>40%</t>
        </is>
      </c>
      <c r="AI2011" t="n">
        <v>4.4</v>
      </c>
      <c r="AJ2011" t="n">
        <v>24.14</v>
      </c>
    </row>
    <row r="2012">
      <c r="A2012" t="inlineStr">
        <is>
          <t>University of Hohenheim</t>
        </is>
      </c>
      <c r="B2012" t="inlineStr">
        <is>
          <t>Germany</t>
        </is>
      </c>
      <c r="C2012" t="inlineStr">
        <is>
          <t>601-610</t>
        </is>
      </c>
      <c r="D2012" t="inlineStr"/>
      <c r="E2012" t="n">
        <v>8.6</v>
      </c>
      <c r="F2012" t="n">
        <v>6.1</v>
      </c>
      <c r="G2012" t="n">
        <v>12</v>
      </c>
      <c r="H2012" t="n">
        <v>47.5</v>
      </c>
      <c r="I2012" t="n">
        <v>25.2</v>
      </c>
      <c r="J2012" t="n">
        <v>25.9</v>
      </c>
      <c r="K2012" t="n">
        <v>76.90000000000001</v>
      </c>
      <c r="L2012" t="n">
        <v>5</v>
      </c>
      <c r="M2012" t="n">
        <v>19.2</v>
      </c>
      <c r="N2012" t="inlineStr">
        <is>
          <t>251–300</t>
        </is>
      </c>
      <c r="O2012" t="inlineStr">
        <is>
          <t>53.1–55.8</t>
        </is>
      </c>
      <c r="P2012" t="n">
        <v>35</v>
      </c>
      <c r="Q2012" t="n">
        <v>35.5</v>
      </c>
      <c r="R2012" t="n">
        <v>85.7</v>
      </c>
      <c r="S2012" t="n">
        <v>80.5</v>
      </c>
      <c r="T2012" t="n">
        <v>61.7</v>
      </c>
      <c r="U2012" t="inlineStr">
        <is>
          <t>8,369</t>
        </is>
      </c>
      <c r="V2012" t="n">
        <v>37.7</v>
      </c>
      <c r="W2012" t="inlineStr">
        <is>
          <t>14%</t>
        </is>
      </c>
      <c r="X2012" t="inlineStr">
        <is>
          <t>57 : 43</t>
        </is>
      </c>
      <c r="Y2012" t="n">
        <v>601</v>
      </c>
      <c r="Z2012" t="n">
        <v>251</v>
      </c>
      <c r="AA2012" t="n">
        <v>54.45</v>
      </c>
      <c r="AB2012" t="inlineStr">
        <is>
          <t>U2011</t>
        </is>
      </c>
      <c r="AC2012" t="inlineStr">
        <is>
          <t>GE</t>
        </is>
      </c>
      <c r="AD2012" t="n">
        <v>54.45</v>
      </c>
      <c r="AE2012" t="n">
        <v>47.5</v>
      </c>
      <c r="AF2012" t="n">
        <v>37.7</v>
      </c>
      <c r="AG2012" t="inlineStr">
        <is>
          <t>1:37.7</t>
        </is>
      </c>
      <c r="AH2012" t="inlineStr">
        <is>
          <t>14%</t>
        </is>
      </c>
      <c r="AI2012" t="n">
        <v>8.6</v>
      </c>
      <c r="AJ2012" t="n">
        <v>41.31</v>
      </c>
    </row>
    <row r="2013">
      <c r="A2013" t="inlineStr">
        <is>
          <t>The University of Hong Kong</t>
        </is>
      </c>
      <c r="B2013" t="inlineStr">
        <is>
          <t>Hong Kong</t>
        </is>
      </c>
      <c r="C2013" t="inlineStr">
        <is>
          <t>17</t>
        </is>
      </c>
      <c r="D2013" t="n">
        <v>87.59999999999999</v>
      </c>
      <c r="E2013" t="n">
        <v>97.40000000000001</v>
      </c>
      <c r="F2013" t="n">
        <v>59.4</v>
      </c>
      <c r="G2013" t="n">
        <v>81.2</v>
      </c>
      <c r="H2013" t="n">
        <v>86.40000000000001</v>
      </c>
      <c r="I2013" t="n">
        <v>100</v>
      </c>
      <c r="J2013" t="n">
        <v>99.3</v>
      </c>
      <c r="K2013" t="n">
        <v>81.40000000000001</v>
      </c>
      <c r="L2013" t="n">
        <v>99.7</v>
      </c>
      <c r="M2013" t="n">
        <v>89.2</v>
      </c>
      <c r="N2013" t="inlineStr">
        <is>
          <t>35</t>
        </is>
      </c>
      <c r="O2013" t="inlineStr">
        <is>
          <t>80.3</t>
        </is>
      </c>
      <c r="P2013" t="n">
        <v>65.59999999999999</v>
      </c>
      <c r="Q2013" t="n">
        <v>72.3</v>
      </c>
      <c r="R2013" t="n">
        <v>96.40000000000001</v>
      </c>
      <c r="S2013" t="n">
        <v>95.2</v>
      </c>
      <c r="T2013" t="n">
        <v>96.8</v>
      </c>
      <c r="U2013" t="inlineStr">
        <is>
          <t>18,103</t>
        </is>
      </c>
      <c r="V2013" t="n">
        <v>18.3</v>
      </c>
      <c r="W2013" t="inlineStr">
        <is>
          <t>43%</t>
        </is>
      </c>
      <c r="X2013" t="inlineStr">
        <is>
          <t>55 : 45</t>
        </is>
      </c>
      <c r="Y2013" t="n">
        <v>17</v>
      </c>
      <c r="Z2013" t="n">
        <v>35</v>
      </c>
      <c r="AA2013" t="n">
        <v>80.3</v>
      </c>
      <c r="AB2013" t="inlineStr">
        <is>
          <t>U2012</t>
        </is>
      </c>
      <c r="AC2013" t="inlineStr">
        <is>
          <t>HO</t>
        </is>
      </c>
      <c r="AD2013" t="n">
        <v>87.59999999999999</v>
      </c>
      <c r="AE2013" t="n">
        <v>86.40000000000001</v>
      </c>
      <c r="AF2013" t="n">
        <v>18.3</v>
      </c>
      <c r="AG2013" t="inlineStr">
        <is>
          <t>1:18.3</t>
        </is>
      </c>
      <c r="AH2013" t="inlineStr">
        <is>
          <t>43%</t>
        </is>
      </c>
      <c r="AI2013" t="n">
        <v>97.40000000000001</v>
      </c>
      <c r="AJ2013" t="n">
        <v>80.88</v>
      </c>
    </row>
    <row r="2014">
      <c r="A2014" t="inlineStr">
        <is>
          <t>University of Hormozgan</t>
        </is>
      </c>
      <c r="B2014" t="inlineStr">
        <is>
          <t>Iran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>
        <is>
          <t>1201–1500</t>
        </is>
      </c>
      <c r="O2014" t="inlineStr">
        <is>
          <t>22.8–28.2</t>
        </is>
      </c>
      <c r="P2014" t="n">
        <v>24.6</v>
      </c>
      <c r="Q2014" t="n">
        <v>14.1</v>
      </c>
      <c r="R2014" t="n">
        <v>37.6</v>
      </c>
      <c r="S2014" t="n">
        <v>22.8</v>
      </c>
      <c r="T2014" t="n">
        <v>26.4</v>
      </c>
      <c r="U2014" t="inlineStr">
        <is>
          <t>5,338</t>
        </is>
      </c>
      <c r="V2014" t="n">
        <v>24.4</v>
      </c>
      <c r="W2014" t="inlineStr">
        <is>
          <t>0%</t>
        </is>
      </c>
      <c r="X2014" t="inlineStr">
        <is>
          <t>58 : 42</t>
        </is>
      </c>
      <c r="Y2014" t="inlineStr"/>
      <c r="Z2014" t="n">
        <v>1201</v>
      </c>
      <c r="AA2014" t="n">
        <v>25.5</v>
      </c>
      <c r="AB2014" t="inlineStr">
        <is>
          <t>U2013</t>
        </is>
      </c>
      <c r="AC2014" t="inlineStr">
        <is>
          <t>IR</t>
        </is>
      </c>
      <c r="AD2014" t="n">
        <v>25.5</v>
      </c>
      <c r="AE2014" t="n">
        <v>37.6</v>
      </c>
      <c r="AF2014" t="n">
        <v>24.4</v>
      </c>
      <c r="AG2014" t="inlineStr">
        <is>
          <t>1:24.4</t>
        </is>
      </c>
      <c r="AH2014" t="inlineStr">
        <is>
          <t>0%</t>
        </is>
      </c>
      <c r="AI2014" t="inlineStr"/>
      <c r="AJ2014" t="n">
        <v>18.56</v>
      </c>
    </row>
    <row r="2015">
      <c r="A2015" t="inlineStr">
        <is>
          <t>University of Houston</t>
        </is>
      </c>
      <c r="B2015" t="inlineStr">
        <is>
          <t>United States</t>
        </is>
      </c>
      <c r="C2015" t="inlineStr">
        <is>
          <t>651-660</t>
        </is>
      </c>
      <c r="D2015" t="inlineStr"/>
      <c r="E2015" t="n">
        <v>12.7</v>
      </c>
      <c r="F2015" t="n">
        <v>11.4</v>
      </c>
      <c r="G2015" t="n">
        <v>5</v>
      </c>
      <c r="H2015" t="n">
        <v>24.6</v>
      </c>
      <c r="I2015" t="n">
        <v>23.9</v>
      </c>
      <c r="J2015" t="n">
        <v>19.8</v>
      </c>
      <c r="K2015" t="n">
        <v>71.59999999999999</v>
      </c>
      <c r="L2015" t="n">
        <v>50.3</v>
      </c>
      <c r="M2015" t="n">
        <v>19.7</v>
      </c>
      <c r="N2015" t="inlineStr">
        <is>
          <t>501–600</t>
        </is>
      </c>
      <c r="O2015" t="inlineStr">
        <is>
          <t>41.9–45.3</t>
        </is>
      </c>
      <c r="P2015" t="n">
        <v>33.8</v>
      </c>
      <c r="Q2015" t="n">
        <v>29.7</v>
      </c>
      <c r="R2015" t="n">
        <v>65.8</v>
      </c>
      <c r="S2015" t="n">
        <v>70.2</v>
      </c>
      <c r="T2015" t="n">
        <v>50.8</v>
      </c>
      <c r="U2015" t="inlineStr">
        <is>
          <t>47,963</t>
        </is>
      </c>
      <c r="V2015" t="n">
        <v>26.3</v>
      </c>
      <c r="W2015" t="inlineStr">
        <is>
          <t>7%</t>
        </is>
      </c>
      <c r="X2015" t="inlineStr">
        <is>
          <t>52 : 48</t>
        </is>
      </c>
      <c r="Y2015" t="n">
        <v>651</v>
      </c>
      <c r="Z2015" t="n">
        <v>501</v>
      </c>
      <c r="AA2015" t="n">
        <v>43.59999999999999</v>
      </c>
      <c r="AB2015" t="inlineStr">
        <is>
          <t>U2014</t>
        </is>
      </c>
      <c r="AC2015" t="inlineStr">
        <is>
          <t>UN</t>
        </is>
      </c>
      <c r="AD2015" t="n">
        <v>43.59999999999999</v>
      </c>
      <c r="AE2015" t="n">
        <v>24.6</v>
      </c>
      <c r="AF2015" t="n">
        <v>26.3</v>
      </c>
      <c r="AG2015" t="inlineStr">
        <is>
          <t>1:26.3</t>
        </is>
      </c>
      <c r="AH2015" t="inlineStr">
        <is>
          <t>7%</t>
        </is>
      </c>
      <c r="AI2015" t="n">
        <v>12.7</v>
      </c>
      <c r="AJ2015" t="n">
        <v>28.7</v>
      </c>
    </row>
    <row r="2016">
      <c r="A2016" t="inlineStr">
        <is>
          <t>University of Hradec Králové</t>
        </is>
      </c>
      <c r="B2016" t="inlineStr">
        <is>
          <t>Czech Republic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>
        <is>
          <t>1201–1500</t>
        </is>
      </c>
      <c r="O2016" t="inlineStr">
        <is>
          <t>22.8–28.2</t>
        </is>
      </c>
      <c r="P2016" t="n">
        <v>19.7</v>
      </c>
      <c r="Q2016" t="n">
        <v>15.2</v>
      </c>
      <c r="R2016" t="n">
        <v>40.8</v>
      </c>
      <c r="S2016" t="n">
        <v>23.5</v>
      </c>
      <c r="T2016" t="n">
        <v>60.4</v>
      </c>
      <c r="U2016" t="inlineStr">
        <is>
          <t>6,334</t>
        </is>
      </c>
      <c r="V2016" t="n">
        <v>12.8</v>
      </c>
      <c r="W2016" t="inlineStr">
        <is>
          <t>3%</t>
        </is>
      </c>
      <c r="X2016" t="inlineStr">
        <is>
          <t>64 : 36</t>
        </is>
      </c>
      <c r="Y2016" t="inlineStr"/>
      <c r="Z2016" t="n">
        <v>1201</v>
      </c>
      <c r="AA2016" t="n">
        <v>25.5</v>
      </c>
      <c r="AB2016" t="inlineStr">
        <is>
          <t>U2015</t>
        </is>
      </c>
      <c r="AC2016" t="inlineStr">
        <is>
          <t>CZ</t>
        </is>
      </c>
      <c r="AD2016" t="n">
        <v>25.5</v>
      </c>
      <c r="AE2016" t="n">
        <v>40.8</v>
      </c>
      <c r="AF2016" t="n">
        <v>12.8</v>
      </c>
      <c r="AG2016" t="inlineStr">
        <is>
          <t>1:12.8</t>
        </is>
      </c>
      <c r="AH2016" t="inlineStr">
        <is>
          <t>3%</t>
        </is>
      </c>
      <c r="AI2016" t="inlineStr"/>
      <c r="AJ2016" t="n">
        <v>28.33</v>
      </c>
    </row>
    <row r="2017">
      <c r="A2017" t="inlineStr">
        <is>
          <t>University of Hradec Kralove</t>
        </is>
      </c>
      <c r="B2017" t="inlineStr">
        <is>
          <t>Czech Republic</t>
        </is>
      </c>
      <c r="C2017" t="inlineStr">
        <is>
          <t>1001-1200</t>
        </is>
      </c>
      <c r="D2017" t="inlineStr"/>
      <c r="E2017" t="n">
        <v>5</v>
      </c>
      <c r="F2017" t="n">
        <v>2.5</v>
      </c>
      <c r="G2017" t="n">
        <v>22.4</v>
      </c>
      <c r="H2017" t="n">
        <v>5.4</v>
      </c>
      <c r="I2017" t="n">
        <v>51.4</v>
      </c>
      <c r="J2017" t="n">
        <v>3.2</v>
      </c>
      <c r="K2017" t="n">
        <v>41.3</v>
      </c>
      <c r="L2017" t="n">
        <v>4.2</v>
      </c>
      <c r="M2017" t="n">
        <v>1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n">
        <v>1001</v>
      </c>
      <c r="Z2017" t="inlineStr"/>
      <c r="AA2017" t="inlineStr"/>
      <c r="AB2017" t="inlineStr">
        <is>
          <t>U2016</t>
        </is>
      </c>
      <c r="AC2017" t="inlineStr">
        <is>
          <t>CZ</t>
        </is>
      </c>
      <c r="AD2017" t="inlineStr"/>
      <c r="AE2017" t="n">
        <v>5.4</v>
      </c>
      <c r="AF2017" t="inlineStr"/>
      <c r="AG2017" t="inlineStr"/>
      <c r="AH2017" t="inlineStr"/>
      <c r="AI2017" t="n">
        <v>5</v>
      </c>
      <c r="AJ2017" t="n">
        <v>15.02</v>
      </c>
    </row>
    <row r="2018">
      <c r="A2018" t="inlineStr">
        <is>
          <t>University of Huddersfield</t>
        </is>
      </c>
      <c r="B2018" t="inlineStr">
        <is>
          <t>United Kingdom</t>
        </is>
      </c>
      <c r="C2018" t="inlineStr">
        <is>
          <t>501</t>
        </is>
      </c>
      <c r="D2018" t="n">
        <v>24.1</v>
      </c>
      <c r="E2018" t="n">
        <v>12.7</v>
      </c>
      <c r="F2018" t="n">
        <v>12.4</v>
      </c>
      <c r="G2018" t="n">
        <v>7.5</v>
      </c>
      <c r="H2018" t="n">
        <v>19.4</v>
      </c>
      <c r="I2018" t="n">
        <v>63.7</v>
      </c>
      <c r="J2018" t="n">
        <v>85.59999999999999</v>
      </c>
      <c r="K2018" t="n">
        <v>73</v>
      </c>
      <c r="L2018" t="n">
        <v>1.3</v>
      </c>
      <c r="M2018" t="n">
        <v>72.3</v>
      </c>
      <c r="N2018" t="inlineStr">
        <is>
          <t>501–600</t>
        </is>
      </c>
      <c r="O2018" t="inlineStr">
        <is>
          <t>41.9–45.3</t>
        </is>
      </c>
      <c r="P2018" t="n">
        <v>28.3</v>
      </c>
      <c r="Q2018" t="n">
        <v>25</v>
      </c>
      <c r="R2018" t="n">
        <v>66.3</v>
      </c>
      <c r="S2018" t="n">
        <v>44.4</v>
      </c>
      <c r="T2018" t="n">
        <v>88.40000000000001</v>
      </c>
      <c r="U2018" t="inlineStr">
        <is>
          <t>14,270</t>
        </is>
      </c>
      <c r="V2018" t="n">
        <v>19.8</v>
      </c>
      <c r="W2018" t="inlineStr">
        <is>
          <t>26%</t>
        </is>
      </c>
      <c r="X2018" t="inlineStr">
        <is>
          <t>58 : 42</t>
        </is>
      </c>
      <c r="Y2018" t="n">
        <v>501</v>
      </c>
      <c r="Z2018" t="n">
        <v>501</v>
      </c>
      <c r="AA2018" t="n">
        <v>43.59999999999999</v>
      </c>
      <c r="AB2018" t="inlineStr">
        <is>
          <t>U2017</t>
        </is>
      </c>
      <c r="AC2018" t="inlineStr">
        <is>
          <t>UN</t>
        </is>
      </c>
      <c r="AD2018" t="n">
        <v>24.1</v>
      </c>
      <c r="AE2018" t="n">
        <v>19.4</v>
      </c>
      <c r="AF2018" t="n">
        <v>19.8</v>
      </c>
      <c r="AG2018" t="inlineStr">
        <is>
          <t>1:19.8</t>
        </is>
      </c>
      <c r="AH2018" t="inlineStr">
        <is>
          <t>26%</t>
        </is>
      </c>
      <c r="AI2018" t="n">
        <v>12.7</v>
      </c>
      <c r="AJ2018" t="n">
        <v>33.75</v>
      </c>
    </row>
    <row r="2019">
      <c r="A2019" t="inlineStr">
        <is>
          <t>University of Hull</t>
        </is>
      </c>
      <c r="B2019" t="inlineStr">
        <is>
          <t>United Kingdom</t>
        </is>
      </c>
      <c r="C2019" t="inlineStr">
        <is>
          <t>516</t>
        </is>
      </c>
      <c r="D2019" t="n">
        <v>23.6</v>
      </c>
      <c r="E2019" t="n">
        <v>8.9</v>
      </c>
      <c r="F2019" t="n">
        <v>4.5</v>
      </c>
      <c r="G2019" t="n">
        <v>14.3</v>
      </c>
      <c r="H2019" t="n">
        <v>21.5</v>
      </c>
      <c r="I2019" t="n">
        <v>63.3</v>
      </c>
      <c r="J2019" t="n">
        <v>81.5</v>
      </c>
      <c r="K2019" t="n">
        <v>76.90000000000001</v>
      </c>
      <c r="L2019" t="n">
        <v>20.5</v>
      </c>
      <c r="M2019" t="n">
        <v>68</v>
      </c>
      <c r="N2019" t="inlineStr">
        <is>
          <t>401–500</t>
        </is>
      </c>
      <c r="O2019" t="inlineStr">
        <is>
          <t>45.4–49.0</t>
        </is>
      </c>
      <c r="P2019" t="n">
        <v>27.4</v>
      </c>
      <c r="Q2019" t="n">
        <v>24.3</v>
      </c>
      <c r="R2019" t="n">
        <v>74.3</v>
      </c>
      <c r="S2019" t="n">
        <v>59.8</v>
      </c>
      <c r="T2019" t="n">
        <v>85.40000000000001</v>
      </c>
      <c r="U2019" t="inlineStr">
        <is>
          <t>12,305</t>
        </is>
      </c>
      <c r="V2019" t="n">
        <v>18</v>
      </c>
      <c r="W2019" t="inlineStr">
        <is>
          <t>21%</t>
        </is>
      </c>
      <c r="X2019" t="inlineStr">
        <is>
          <t>56 : 44</t>
        </is>
      </c>
      <c r="Y2019" t="n">
        <v>516</v>
      </c>
      <c r="Z2019" t="n">
        <v>401</v>
      </c>
      <c r="AA2019" t="n">
        <v>47.2</v>
      </c>
      <c r="AB2019" t="inlineStr">
        <is>
          <t>U2018</t>
        </is>
      </c>
      <c r="AC2019" t="inlineStr">
        <is>
          <t>UN</t>
        </is>
      </c>
      <c r="AD2019" t="n">
        <v>23.6</v>
      </c>
      <c r="AE2019" t="n">
        <v>21.5</v>
      </c>
      <c r="AF2019" t="n">
        <v>18</v>
      </c>
      <c r="AG2019" t="inlineStr">
        <is>
          <t>1:18.0</t>
        </is>
      </c>
      <c r="AH2019" t="inlineStr">
        <is>
          <t>21%</t>
        </is>
      </c>
      <c r="AI2019" t="n">
        <v>8.9</v>
      </c>
      <c r="AJ2019" t="n">
        <v>33.3</v>
      </c>
    </row>
    <row r="2020">
      <c r="A2020" t="inlineStr">
        <is>
          <t>University of Hyderabad</t>
        </is>
      </c>
      <c r="B2020" t="inlineStr">
        <is>
          <t>India</t>
        </is>
      </c>
      <c r="C2020" t="inlineStr">
        <is>
          <t>801-850</t>
        </is>
      </c>
      <c r="D2020" t="inlineStr"/>
      <c r="E2020" t="n">
        <v>13.2</v>
      </c>
      <c r="F2020" t="n">
        <v>3</v>
      </c>
      <c r="G2020" t="n">
        <v>14.5</v>
      </c>
      <c r="H2020" t="n">
        <v>41.5</v>
      </c>
      <c r="I2020" t="n">
        <v>1.9</v>
      </c>
      <c r="J2020" t="n">
        <v>2</v>
      </c>
      <c r="K2020" t="n">
        <v>27</v>
      </c>
      <c r="L2020" t="n">
        <v>3.1</v>
      </c>
      <c r="M2020" t="n">
        <v>1.2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n">
        <v>801</v>
      </c>
      <c r="Z2020" t="inlineStr"/>
      <c r="AA2020" t="inlineStr"/>
      <c r="AB2020" t="inlineStr">
        <is>
          <t>U2019</t>
        </is>
      </c>
      <c r="AC2020" t="inlineStr">
        <is>
          <t>IN</t>
        </is>
      </c>
      <c r="AD2020" t="inlineStr"/>
      <c r="AE2020" t="n">
        <v>41.5</v>
      </c>
      <c r="AF2020" t="inlineStr"/>
      <c r="AG2020" t="inlineStr"/>
      <c r="AH2020" t="inlineStr"/>
      <c r="AI2020" t="n">
        <v>13.2</v>
      </c>
      <c r="AJ2020" t="n">
        <v>25.96</v>
      </c>
    </row>
    <row r="2021">
      <c r="A2021" t="inlineStr">
        <is>
          <t>University of Hyogo</t>
        </is>
      </c>
      <c r="B2021" t="inlineStr">
        <is>
          <t>Japan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>
        <is>
          <t>1501+</t>
        </is>
      </c>
      <c r="O2021" t="inlineStr">
        <is>
          <t>9.7–22.7</t>
        </is>
      </c>
      <c r="P2021" t="n">
        <v>22.5</v>
      </c>
      <c r="Q2021" t="n">
        <v>13.2</v>
      </c>
      <c r="R2021" t="n">
        <v>11.8</v>
      </c>
      <c r="S2021" t="n">
        <v>56.5</v>
      </c>
      <c r="T2021" t="n">
        <v>24.6</v>
      </c>
      <c r="U2021" t="inlineStr">
        <is>
          <t>6,540</t>
        </is>
      </c>
      <c r="V2021" t="n">
        <v>12.4</v>
      </c>
      <c r="W2021" t="inlineStr">
        <is>
          <t>3%</t>
        </is>
      </c>
      <c r="X2021" t="inlineStr">
        <is>
          <t>41 : 59</t>
        </is>
      </c>
      <c r="Y2021" t="inlineStr"/>
      <c r="Z2021" t="n">
        <v>1501</v>
      </c>
      <c r="AA2021" t="n">
        <v>16.2</v>
      </c>
      <c r="AB2021" t="inlineStr">
        <is>
          <t>U2020</t>
        </is>
      </c>
      <c r="AC2021" t="inlineStr">
        <is>
          <t>JA</t>
        </is>
      </c>
      <c r="AD2021" t="n">
        <v>16.2</v>
      </c>
      <c r="AE2021" t="n">
        <v>11.8</v>
      </c>
      <c r="AF2021" t="n">
        <v>12.4</v>
      </c>
      <c r="AG2021" t="inlineStr">
        <is>
          <t>1:12.4</t>
        </is>
      </c>
      <c r="AH2021" t="inlineStr">
        <is>
          <t>3%</t>
        </is>
      </c>
      <c r="AI2021" t="inlineStr"/>
      <c r="AJ2021" t="n">
        <v>9.84</v>
      </c>
    </row>
    <row r="2022">
      <c r="A2022" t="inlineStr">
        <is>
          <t>University of Ibadan</t>
        </is>
      </c>
      <c r="B2022" t="inlineStr">
        <is>
          <t>Nigeria</t>
        </is>
      </c>
      <c r="C2022" t="inlineStr">
        <is>
          <t>1001-1200</t>
        </is>
      </c>
      <c r="D2022" t="inlineStr"/>
      <c r="E2022" t="n">
        <v>9.9</v>
      </c>
      <c r="F2022" t="n">
        <v>7.8</v>
      </c>
      <c r="G2022" t="n">
        <v>5.2</v>
      </c>
      <c r="H2022" t="n">
        <v>3.5</v>
      </c>
      <c r="I2022" t="inlineStr"/>
      <c r="J2022" t="inlineStr"/>
      <c r="K2022" t="n">
        <v>65.8</v>
      </c>
      <c r="L2022" t="n">
        <v>69.3</v>
      </c>
      <c r="M2022" t="n">
        <v>2.2</v>
      </c>
      <c r="N2022" t="inlineStr">
        <is>
          <t>801–1000</t>
        </is>
      </c>
      <c r="O2022" t="inlineStr">
        <is>
          <t>32.7–36.9</t>
        </is>
      </c>
      <c r="P2022" t="n">
        <v>27.6</v>
      </c>
      <c r="Q2022" t="n">
        <v>14.4</v>
      </c>
      <c r="R2022" t="n">
        <v>59.3</v>
      </c>
      <c r="S2022" t="n">
        <v>24.4</v>
      </c>
      <c r="T2022" t="n">
        <v>41</v>
      </c>
      <c r="U2022" t="inlineStr">
        <is>
          <t>41,269</t>
        </is>
      </c>
      <c r="V2022" t="n">
        <v>19.7</v>
      </c>
      <c r="W2022" t="inlineStr">
        <is>
          <t>0%</t>
        </is>
      </c>
      <c r="X2022" t="inlineStr">
        <is>
          <t>50 : 50</t>
        </is>
      </c>
      <c r="Y2022" t="n">
        <v>1001</v>
      </c>
      <c r="Z2022" t="n">
        <v>801</v>
      </c>
      <c r="AA2022" t="n">
        <v>34.8</v>
      </c>
      <c r="AB2022" t="inlineStr">
        <is>
          <t>U2021</t>
        </is>
      </c>
      <c r="AC2022" t="inlineStr">
        <is>
          <t>NI</t>
        </is>
      </c>
      <c r="AD2022" t="n">
        <v>34.8</v>
      </c>
      <c r="AE2022" t="n">
        <v>3.5</v>
      </c>
      <c r="AF2022" t="n">
        <v>19.7</v>
      </c>
      <c r="AG2022" t="inlineStr">
        <is>
          <t>1:19.7</t>
        </is>
      </c>
      <c r="AH2022" t="inlineStr">
        <is>
          <t>0%</t>
        </is>
      </c>
      <c r="AI2022" t="n">
        <v>9.9</v>
      </c>
      <c r="AJ2022" t="n">
        <v>11.92</v>
      </c>
    </row>
    <row r="2023">
      <c r="A2023" t="inlineStr">
        <is>
          <t>University of Iceland</t>
        </is>
      </c>
      <c r="B2023" t="inlineStr">
        <is>
          <t>Iceland</t>
        </is>
      </c>
      <c r="C2023" t="inlineStr">
        <is>
          <t>547</t>
        </is>
      </c>
      <c r="D2023" t="n">
        <v>22.6</v>
      </c>
      <c r="E2023" t="n">
        <v>6.8</v>
      </c>
      <c r="F2023" t="n">
        <v>2.5</v>
      </c>
      <c r="G2023" t="n">
        <v>99.90000000000001</v>
      </c>
      <c r="H2023" t="n">
        <v>6.7</v>
      </c>
      <c r="I2023" t="n">
        <v>25.7</v>
      </c>
      <c r="J2023" t="n">
        <v>10.3</v>
      </c>
      <c r="K2023" t="n">
        <v>73.5</v>
      </c>
      <c r="L2023" t="n">
        <v>83.2</v>
      </c>
      <c r="M2023" t="n">
        <v>5.9</v>
      </c>
      <c r="N2023" t="inlineStr">
        <is>
          <t>501–600</t>
        </is>
      </c>
      <c r="O2023" t="inlineStr">
        <is>
          <t>41.9–45.3</t>
        </is>
      </c>
      <c r="P2023" t="n">
        <v>23.4</v>
      </c>
      <c r="Q2023" t="n">
        <v>34</v>
      </c>
      <c r="R2023" t="n">
        <v>70.59999999999999</v>
      </c>
      <c r="S2023" t="n">
        <v>75.59999999999999</v>
      </c>
      <c r="T2023" t="n">
        <v>55.8</v>
      </c>
      <c r="U2023" t="inlineStr">
        <is>
          <t>9,899</t>
        </is>
      </c>
      <c r="V2023" t="n">
        <v>17</v>
      </c>
      <c r="W2023" t="inlineStr">
        <is>
          <t>12%</t>
        </is>
      </c>
      <c r="X2023" t="inlineStr">
        <is>
          <t>68 : 32</t>
        </is>
      </c>
      <c r="Y2023" t="n">
        <v>547</v>
      </c>
      <c r="Z2023" t="n">
        <v>501</v>
      </c>
      <c r="AA2023" t="n">
        <v>43.59999999999999</v>
      </c>
      <c r="AB2023" t="inlineStr">
        <is>
          <t>U2022</t>
        </is>
      </c>
      <c r="AC2023" t="inlineStr">
        <is>
          <t>IC</t>
        </is>
      </c>
      <c r="AD2023" t="n">
        <v>22.6</v>
      </c>
      <c r="AE2023" t="n">
        <v>6.7</v>
      </c>
      <c r="AF2023" t="n">
        <v>17</v>
      </c>
      <c r="AG2023" t="inlineStr">
        <is>
          <t>1:17.0</t>
        </is>
      </c>
      <c r="AH2023" t="inlineStr">
        <is>
          <t>12%</t>
        </is>
      </c>
      <c r="AI2023" t="n">
        <v>6.8</v>
      </c>
      <c r="AJ2023" t="n">
        <v>26.74</v>
      </c>
    </row>
    <row r="2024">
      <c r="A2024" t="inlineStr">
        <is>
          <t>University of Idaho</t>
        </is>
      </c>
      <c r="B2024" t="inlineStr">
        <is>
          <t>United States</t>
        </is>
      </c>
      <c r="C2024" t="inlineStr">
        <is>
          <t>1001-1200</t>
        </is>
      </c>
      <c r="D2024" t="inlineStr"/>
      <c r="E2024" t="n">
        <v>3.1</v>
      </c>
      <c r="F2024" t="n">
        <v>1.4</v>
      </c>
      <c r="G2024" t="n">
        <v>9.9</v>
      </c>
      <c r="H2024" t="n">
        <v>32.6</v>
      </c>
      <c r="I2024" t="n">
        <v>4.6</v>
      </c>
      <c r="J2024" t="n">
        <v>5.9</v>
      </c>
      <c r="K2024" t="n">
        <v>32.5</v>
      </c>
      <c r="L2024" t="n">
        <v>3.5</v>
      </c>
      <c r="M2024" t="n">
        <v>3.4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n">
        <v>1001</v>
      </c>
      <c r="Z2024" t="inlineStr"/>
      <c r="AA2024" t="inlineStr"/>
      <c r="AB2024" t="inlineStr">
        <is>
          <t>U2023</t>
        </is>
      </c>
      <c r="AC2024" t="inlineStr">
        <is>
          <t>UN</t>
        </is>
      </c>
      <c r="AD2024" t="inlineStr"/>
      <c r="AE2024" t="n">
        <v>32.6</v>
      </c>
      <c r="AF2024" t="inlineStr"/>
      <c r="AG2024" t="inlineStr"/>
      <c r="AH2024" t="inlineStr"/>
      <c r="AI2024" t="n">
        <v>3.1</v>
      </c>
      <c r="AJ2024" t="n">
        <v>23.27</v>
      </c>
    </row>
    <row r="2025">
      <c r="A2025" t="inlineStr">
        <is>
          <t>University of Žilina</t>
        </is>
      </c>
      <c r="B2025" t="inlineStr">
        <is>
          <t>Slovakia</t>
        </is>
      </c>
      <c r="C2025" t="inlineStr">
        <is>
          <t>1001-1200</t>
        </is>
      </c>
      <c r="D2025" t="inlineStr"/>
      <c r="E2025" t="n">
        <v>6.6</v>
      </c>
      <c r="F2025" t="n">
        <v>1.8</v>
      </c>
      <c r="G2025" t="n">
        <v>60.1</v>
      </c>
      <c r="H2025" t="n">
        <v>6.6</v>
      </c>
      <c r="I2025" t="n">
        <v>2</v>
      </c>
      <c r="J2025" t="n">
        <v>6</v>
      </c>
      <c r="K2025" t="n">
        <v>19.3</v>
      </c>
      <c r="L2025" t="n">
        <v>4.6</v>
      </c>
      <c r="M2025" t="n">
        <v>1</v>
      </c>
      <c r="N2025" t="inlineStr">
        <is>
          <t>1001–1200</t>
        </is>
      </c>
      <c r="O2025" t="inlineStr">
        <is>
          <t>28.3–32.6</t>
        </is>
      </c>
      <c r="P2025" t="n">
        <v>27.7</v>
      </c>
      <c r="Q2025" t="n">
        <v>18</v>
      </c>
      <c r="R2025" t="n">
        <v>48.2</v>
      </c>
      <c r="S2025" t="n">
        <v>30.6</v>
      </c>
      <c r="T2025" t="n">
        <v>31.8</v>
      </c>
      <c r="U2025" t="inlineStr">
        <is>
          <t>7,154</t>
        </is>
      </c>
      <c r="V2025" t="n">
        <v>14</v>
      </c>
      <c r="W2025" t="inlineStr">
        <is>
          <t>3%</t>
        </is>
      </c>
      <c r="X2025" t="inlineStr">
        <is>
          <t>32 : 68</t>
        </is>
      </c>
      <c r="Y2025" t="n">
        <v>1001</v>
      </c>
      <c r="Z2025" t="n">
        <v>1001</v>
      </c>
      <c r="AA2025" t="n">
        <v>30.45</v>
      </c>
      <c r="AB2025" t="inlineStr">
        <is>
          <t>U2024</t>
        </is>
      </c>
      <c r="AC2025" t="inlineStr">
        <is>
          <t>SL</t>
        </is>
      </c>
      <c r="AD2025" t="n">
        <v>30.45</v>
      </c>
      <c r="AE2025" t="n">
        <v>6.6</v>
      </c>
      <c r="AF2025" t="n">
        <v>14</v>
      </c>
      <c r="AG2025" t="inlineStr">
        <is>
          <t>1:14.0</t>
        </is>
      </c>
      <c r="AH2025" t="inlineStr">
        <is>
          <t>3%</t>
        </is>
      </c>
      <c r="AI2025" t="n">
        <v>6.6</v>
      </c>
      <c r="AJ2025" t="n">
        <v>12.52</v>
      </c>
    </row>
    <row r="2026">
      <c r="A2026" t="inlineStr">
        <is>
          <t>University of Illinois at Chicago (UIC)</t>
        </is>
      </c>
      <c r="B2026" t="inlineStr">
        <is>
          <t>United States</t>
        </is>
      </c>
      <c r="C2026" t="inlineStr">
        <is>
          <t>365</t>
        </is>
      </c>
      <c r="D2026" t="n">
        <v>31.6</v>
      </c>
      <c r="E2026" t="n">
        <v>38.5</v>
      </c>
      <c r="F2026" t="n">
        <v>28.3</v>
      </c>
      <c r="G2026" t="n">
        <v>31.1</v>
      </c>
      <c r="H2026" t="n">
        <v>23.3</v>
      </c>
      <c r="I2026" t="n">
        <v>8</v>
      </c>
      <c r="J2026" t="n">
        <v>19.3</v>
      </c>
      <c r="K2026" t="n">
        <v>83.8</v>
      </c>
      <c r="L2026" t="n">
        <v>30.5</v>
      </c>
      <c r="M2026" t="n">
        <v>34.8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n">
        <v>365</v>
      </c>
      <c r="Z2026" t="inlineStr"/>
      <c r="AA2026" t="inlineStr"/>
      <c r="AB2026" t="inlineStr">
        <is>
          <t>U2025</t>
        </is>
      </c>
      <c r="AC2026" t="inlineStr">
        <is>
          <t>UN</t>
        </is>
      </c>
      <c r="AD2026" t="n">
        <v>31.6</v>
      </c>
      <c r="AE2026" t="n">
        <v>23.3</v>
      </c>
      <c r="AF2026" t="inlineStr"/>
      <c r="AG2026" t="inlineStr"/>
      <c r="AH2026" t="inlineStr"/>
      <c r="AI2026" t="n">
        <v>38.5</v>
      </c>
      <c r="AJ2026" t="n">
        <v>20.45</v>
      </c>
    </row>
    <row r="2027">
      <c r="A2027" t="inlineStr">
        <is>
          <t>University of Illinois at Urbana-Champaign</t>
        </is>
      </c>
      <c r="B2027" t="inlineStr">
        <is>
          <t>United States</t>
        </is>
      </c>
      <c r="C2027" t="inlineStr">
        <is>
          <t>69</t>
        </is>
      </c>
      <c r="D2027" t="n">
        <v>68.2</v>
      </c>
      <c r="E2027" t="n">
        <v>83.90000000000001</v>
      </c>
      <c r="F2027" t="n">
        <v>75.7</v>
      </c>
      <c r="G2027" t="n">
        <v>6.4</v>
      </c>
      <c r="H2027" t="n">
        <v>77.5</v>
      </c>
      <c r="I2027" t="n">
        <v>14</v>
      </c>
      <c r="J2027" t="n">
        <v>56.3</v>
      </c>
      <c r="K2027" t="n">
        <v>90.40000000000001</v>
      </c>
      <c r="L2027" t="n">
        <v>81.7</v>
      </c>
      <c r="M2027" t="n">
        <v>65</v>
      </c>
      <c r="N2027" t="inlineStr">
        <is>
          <t>42</t>
        </is>
      </c>
      <c r="O2027" t="inlineStr">
        <is>
          <t>77.9</t>
        </is>
      </c>
      <c r="P2027" t="n">
        <v>69.5</v>
      </c>
      <c r="Q2027" t="n">
        <v>81.5</v>
      </c>
      <c r="R2027" t="n">
        <v>85.2</v>
      </c>
      <c r="S2027" t="n">
        <v>85.3</v>
      </c>
      <c r="T2027" t="n">
        <v>64</v>
      </c>
      <c r="U2027" t="inlineStr">
        <is>
          <t>50,250</t>
        </is>
      </c>
      <c r="V2027" t="n">
        <v>19.6</v>
      </c>
      <c r="W2027" t="inlineStr">
        <is>
          <t>23%</t>
        </is>
      </c>
      <c r="X2027" t="inlineStr">
        <is>
          <t>51 : 49</t>
        </is>
      </c>
      <c r="Y2027" t="n">
        <v>69</v>
      </c>
      <c r="Z2027" t="n">
        <v>42</v>
      </c>
      <c r="AA2027" t="n">
        <v>77.90000000000001</v>
      </c>
      <c r="AB2027" t="inlineStr">
        <is>
          <t>U2026</t>
        </is>
      </c>
      <c r="AC2027" t="inlineStr">
        <is>
          <t>UN</t>
        </is>
      </c>
      <c r="AD2027" t="n">
        <v>68.2</v>
      </c>
      <c r="AE2027" t="n">
        <v>77.5</v>
      </c>
      <c r="AF2027" t="n">
        <v>19.6</v>
      </c>
      <c r="AG2027" t="inlineStr">
        <is>
          <t>1:19.6</t>
        </is>
      </c>
      <c r="AH2027" t="inlineStr">
        <is>
          <t>23%</t>
        </is>
      </c>
      <c r="AI2027" t="n">
        <v>83.90000000000001</v>
      </c>
      <c r="AJ2027" t="n">
        <v>75.06999999999999</v>
      </c>
    </row>
    <row r="2028">
      <c r="A2028" t="inlineStr">
        <is>
          <t>University of Illinois Chicago</t>
        </is>
      </c>
      <c r="B2028" t="inlineStr">
        <is>
          <t>United States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>
        <is>
          <t>201–250</t>
        </is>
      </c>
      <c r="O2028" t="inlineStr">
        <is>
          <t>55.9–58.6</t>
        </is>
      </c>
      <c r="P2028" t="n">
        <v>50.3</v>
      </c>
      <c r="Q2028" t="n">
        <v>33.9</v>
      </c>
      <c r="R2028" t="n">
        <v>80</v>
      </c>
      <c r="S2028" t="n">
        <v>76.7</v>
      </c>
      <c r="T2028" t="n">
        <v>61</v>
      </c>
      <c r="U2028" t="inlineStr">
        <is>
          <t>28,868</t>
        </is>
      </c>
      <c r="V2028" t="n">
        <v>11.4</v>
      </c>
      <c r="W2028" t="inlineStr">
        <is>
          <t>18%</t>
        </is>
      </c>
      <c r="X2028" t="inlineStr">
        <is>
          <t>54 : 46</t>
        </is>
      </c>
      <c r="Y2028" t="inlineStr"/>
      <c r="Z2028" t="n">
        <v>201</v>
      </c>
      <c r="AA2028" t="n">
        <v>57.25</v>
      </c>
      <c r="AB2028" t="inlineStr">
        <is>
          <t>U2027</t>
        </is>
      </c>
      <c r="AC2028" t="inlineStr">
        <is>
          <t>UN</t>
        </is>
      </c>
      <c r="AD2028" t="n">
        <v>57.25</v>
      </c>
      <c r="AE2028" t="n">
        <v>80</v>
      </c>
      <c r="AF2028" t="n">
        <v>11.4</v>
      </c>
      <c r="AG2028" t="inlineStr">
        <is>
          <t>1:11.4</t>
        </is>
      </c>
      <c r="AH2028" t="inlineStr">
        <is>
          <t>18%</t>
        </is>
      </c>
      <c r="AI2028" t="inlineStr"/>
      <c r="AJ2028" t="n">
        <v>50.15</v>
      </c>
    </row>
    <row r="2029">
      <c r="A2029" t="inlineStr">
        <is>
          <t>University of Ilorin</t>
        </is>
      </c>
      <c r="B2029" t="inlineStr">
        <is>
          <t>Nigeria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>
        <is>
          <t>1201–1500</t>
        </is>
      </c>
      <c r="O2029" t="inlineStr">
        <is>
          <t>22.8–28.2</t>
        </is>
      </c>
      <c r="P2029" t="n">
        <v>20.6</v>
      </c>
      <c r="Q2029" t="n">
        <v>10.9</v>
      </c>
      <c r="R2029" t="n">
        <v>46.1</v>
      </c>
      <c r="S2029" t="n">
        <v>18.1</v>
      </c>
      <c r="T2029" t="n">
        <v>40.1</v>
      </c>
      <c r="U2029" t="inlineStr">
        <is>
          <t>52,921</t>
        </is>
      </c>
      <c r="V2029" t="n">
        <v>39.2</v>
      </c>
      <c r="W2029" t="inlineStr">
        <is>
          <t>0%</t>
        </is>
      </c>
      <c r="X2029" t="inlineStr">
        <is>
          <t>51 : 49</t>
        </is>
      </c>
      <c r="Y2029" t="inlineStr"/>
      <c r="Z2029" t="n">
        <v>1201</v>
      </c>
      <c r="AA2029" t="n">
        <v>25.5</v>
      </c>
      <c r="AB2029" t="inlineStr">
        <is>
          <t>U2028</t>
        </is>
      </c>
      <c r="AC2029" t="inlineStr">
        <is>
          <t>NI</t>
        </is>
      </c>
      <c r="AD2029" t="n">
        <v>25.5</v>
      </c>
      <c r="AE2029" t="n">
        <v>46.1</v>
      </c>
      <c r="AF2029" t="n">
        <v>39.2</v>
      </c>
      <c r="AG2029" t="inlineStr">
        <is>
          <t>1:39.2</t>
        </is>
      </c>
      <c r="AH2029" t="inlineStr">
        <is>
          <t>0%</t>
        </is>
      </c>
      <c r="AI2029" t="inlineStr"/>
      <c r="AJ2029" t="n">
        <v>22.77</v>
      </c>
    </row>
    <row r="2030">
      <c r="A2030" t="inlineStr">
        <is>
          <t>University of Indonesia</t>
        </is>
      </c>
      <c r="B2030" t="inlineStr">
        <is>
          <t>Indonesia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>
        <is>
          <t>801–1000</t>
        </is>
      </c>
      <c r="O2030" t="inlineStr">
        <is>
          <t>32.7–36.9</t>
        </is>
      </c>
      <c r="P2030" t="n">
        <v>45.5</v>
      </c>
      <c r="Q2030" t="n">
        <v>23.1</v>
      </c>
      <c r="R2030" t="n">
        <v>29.2</v>
      </c>
      <c r="S2030" t="n">
        <v>51.9</v>
      </c>
      <c r="T2030" t="n">
        <v>60.3</v>
      </c>
      <c r="U2030" t="inlineStr">
        <is>
          <t>41,222</t>
        </is>
      </c>
      <c r="V2030" t="n">
        <v>7.9</v>
      </c>
      <c r="W2030" t="inlineStr">
        <is>
          <t>14%</t>
        </is>
      </c>
      <c r="X2030" t="inlineStr">
        <is>
          <t>70 : 30</t>
        </is>
      </c>
      <c r="Y2030" t="inlineStr"/>
      <c r="Z2030" t="n">
        <v>801</v>
      </c>
      <c r="AA2030" t="n">
        <v>34.8</v>
      </c>
      <c r="AB2030" t="inlineStr">
        <is>
          <t>U2029</t>
        </is>
      </c>
      <c r="AC2030" t="inlineStr">
        <is>
          <t>IN</t>
        </is>
      </c>
      <c r="AD2030" t="n">
        <v>34.8</v>
      </c>
      <c r="AE2030" t="n">
        <v>29.2</v>
      </c>
      <c r="AF2030" t="n">
        <v>7.9</v>
      </c>
      <c r="AG2030" t="inlineStr">
        <is>
          <t>1:7.9</t>
        </is>
      </c>
      <c r="AH2030" t="inlineStr">
        <is>
          <t>14%</t>
        </is>
      </c>
      <c r="AI2030" t="inlineStr"/>
      <c r="AJ2030" t="n">
        <v>28.93</v>
      </c>
    </row>
    <row r="2031">
      <c r="A2031" t="inlineStr">
        <is>
          <t>University of Innsbruck</t>
        </is>
      </c>
      <c r="B2031" t="inlineStr">
        <is>
          <t>Austria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>
        <is>
          <t>301–350</t>
        </is>
      </c>
      <c r="O2031" t="inlineStr">
        <is>
          <t>51.1–53.0</t>
        </is>
      </c>
      <c r="P2031" t="n">
        <v>34.4</v>
      </c>
      <c r="Q2031" t="n">
        <v>33.1</v>
      </c>
      <c r="R2031" t="n">
        <v>70.3</v>
      </c>
      <c r="S2031" t="n">
        <v>79.59999999999999</v>
      </c>
      <c r="T2031" t="n">
        <v>94.7</v>
      </c>
      <c r="U2031" t="inlineStr">
        <is>
          <t>15,315</t>
        </is>
      </c>
      <c r="V2031" t="n">
        <v>23.7</v>
      </c>
      <c r="W2031" t="inlineStr">
        <is>
          <t>48%</t>
        </is>
      </c>
      <c r="X2031" t="inlineStr">
        <is>
          <t>55 : 45</t>
        </is>
      </c>
      <c r="Y2031" t="inlineStr"/>
      <c r="Z2031" t="n">
        <v>301</v>
      </c>
      <c r="AA2031" t="n">
        <v>52.05</v>
      </c>
      <c r="AB2031" t="inlineStr">
        <is>
          <t>U2030</t>
        </is>
      </c>
      <c r="AC2031" t="inlineStr">
        <is>
          <t>AU</t>
        </is>
      </c>
      <c r="AD2031" t="n">
        <v>52.05</v>
      </c>
      <c r="AE2031" t="n">
        <v>70.3</v>
      </c>
      <c r="AF2031" t="n">
        <v>23.7</v>
      </c>
      <c r="AG2031" t="inlineStr">
        <is>
          <t>1:23.7</t>
        </is>
      </c>
      <c r="AH2031" t="inlineStr">
        <is>
          <t>48%</t>
        </is>
      </c>
      <c r="AI2031" t="inlineStr"/>
      <c r="AJ2031" t="n">
        <v>54.95</v>
      </c>
    </row>
    <row r="2032">
      <c r="A2032" t="inlineStr">
        <is>
          <t>University of Insubria</t>
        </is>
      </c>
      <c r="B2032" t="inlineStr">
        <is>
          <t>Italy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>
        <is>
          <t>601–800</t>
        </is>
      </c>
      <c r="O2032" t="inlineStr">
        <is>
          <t>37.0–41.8</t>
        </is>
      </c>
      <c r="P2032" t="n">
        <v>19.7</v>
      </c>
      <c r="Q2032" t="n">
        <v>22.7</v>
      </c>
      <c r="R2032" t="n">
        <v>80.40000000000001</v>
      </c>
      <c r="S2032" t="n">
        <v>43.2</v>
      </c>
      <c r="T2032" t="n">
        <v>42.4</v>
      </c>
      <c r="U2032" t="inlineStr">
        <is>
          <t>10,244</t>
        </is>
      </c>
      <c r="V2032" t="n">
        <v>27.5</v>
      </c>
      <c r="W2032" t="inlineStr">
        <is>
          <t>5%</t>
        </is>
      </c>
      <c r="X2032" t="inlineStr">
        <is>
          <t>56 : 44</t>
        </is>
      </c>
      <c r="Y2032" t="inlineStr"/>
      <c r="Z2032" t="n">
        <v>601</v>
      </c>
      <c r="AA2032" t="n">
        <v>39.4</v>
      </c>
      <c r="AB2032" t="inlineStr">
        <is>
          <t>U2031</t>
        </is>
      </c>
      <c r="AC2032" t="inlineStr">
        <is>
          <t>IT</t>
        </is>
      </c>
      <c r="AD2032" t="n">
        <v>39.4</v>
      </c>
      <c r="AE2032" t="n">
        <v>80.40000000000001</v>
      </c>
      <c r="AF2032" t="n">
        <v>27.5</v>
      </c>
      <c r="AG2032" t="inlineStr">
        <is>
          <t>1:27.5</t>
        </is>
      </c>
      <c r="AH2032" t="inlineStr">
        <is>
          <t>5%</t>
        </is>
      </c>
      <c r="AI2032" t="inlineStr"/>
      <c r="AJ2032" t="n">
        <v>39.91</v>
      </c>
    </row>
    <row r="2033">
      <c r="A2033" t="inlineStr">
        <is>
          <t>University of International Business and Economics</t>
        </is>
      </c>
      <c r="B2033" t="inlineStr">
        <is>
          <t>China</t>
        </is>
      </c>
      <c r="C2033" t="inlineStr">
        <is>
          <t>1201-1400</t>
        </is>
      </c>
      <c r="D2033" t="inlineStr"/>
      <c r="E2033" t="n">
        <v>3.7</v>
      </c>
      <c r="F2033" t="n">
        <v>2.3</v>
      </c>
      <c r="G2033" t="n">
        <v>9.699999999999999</v>
      </c>
      <c r="H2033" t="n">
        <v>3</v>
      </c>
      <c r="I2033" t="n">
        <v>7</v>
      </c>
      <c r="J2033" t="n">
        <v>30.3</v>
      </c>
      <c r="K2033" t="n">
        <v>5.3</v>
      </c>
      <c r="L2033" t="n">
        <v>14</v>
      </c>
      <c r="M2033" t="n">
        <v>1.1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n">
        <v>1201</v>
      </c>
      <c r="Z2033" t="inlineStr"/>
      <c r="AA2033" t="inlineStr"/>
      <c r="AB2033" t="inlineStr">
        <is>
          <t>U2032</t>
        </is>
      </c>
      <c r="AC2033" t="inlineStr">
        <is>
          <t>CH</t>
        </is>
      </c>
      <c r="AD2033" t="inlineStr"/>
      <c r="AE2033" t="n">
        <v>3</v>
      </c>
      <c r="AF2033" t="inlineStr"/>
      <c r="AG2033" t="inlineStr"/>
      <c r="AH2033" t="inlineStr"/>
      <c r="AI2033" t="n">
        <v>3.7</v>
      </c>
      <c r="AJ2033" t="n">
        <v>14.3</v>
      </c>
    </row>
    <row r="2034">
      <c r="A2034" t="inlineStr">
        <is>
          <t>University of Ioannina</t>
        </is>
      </c>
      <c r="B2034" t="inlineStr">
        <is>
          <t>Greece</t>
        </is>
      </c>
      <c r="C2034" t="inlineStr">
        <is>
          <t>1001-1200</t>
        </is>
      </c>
      <c r="D2034" t="inlineStr"/>
      <c r="E2034" t="n">
        <v>7.2</v>
      </c>
      <c r="F2034" t="n">
        <v>3.8</v>
      </c>
      <c r="G2034" t="n">
        <v>1.5</v>
      </c>
      <c r="H2034" t="n">
        <v>19.5</v>
      </c>
      <c r="I2034" t="n">
        <v>1.7</v>
      </c>
      <c r="J2034" t="n">
        <v>2.5</v>
      </c>
      <c r="K2034" t="n">
        <v>61.3</v>
      </c>
      <c r="L2034" t="n">
        <v>3.6</v>
      </c>
      <c r="M2034" t="n">
        <v>2</v>
      </c>
      <c r="N2034" t="inlineStr">
        <is>
          <t>1001–1200</t>
        </is>
      </c>
      <c r="O2034" t="inlineStr">
        <is>
          <t>28.3–32.6</t>
        </is>
      </c>
      <c r="P2034" t="n">
        <v>14</v>
      </c>
      <c r="Q2034" t="n">
        <v>12.4</v>
      </c>
      <c r="R2034" t="n">
        <v>55.9</v>
      </c>
      <c r="S2034" t="n">
        <v>47.4</v>
      </c>
      <c r="T2034" t="n">
        <v>43.2</v>
      </c>
      <c r="U2034" t="inlineStr">
        <is>
          <t>32,155</t>
        </is>
      </c>
      <c r="V2034" t="n">
        <v>32.6</v>
      </c>
      <c r="W2034" t="inlineStr">
        <is>
          <t>5%</t>
        </is>
      </c>
      <c r="X2034" t="inlineStr">
        <is>
          <t>54 : 46</t>
        </is>
      </c>
      <c r="Y2034" t="n">
        <v>1001</v>
      </c>
      <c r="Z2034" t="n">
        <v>1001</v>
      </c>
      <c r="AA2034" t="n">
        <v>30.45</v>
      </c>
      <c r="AB2034" t="inlineStr">
        <is>
          <t>U2033</t>
        </is>
      </c>
      <c r="AC2034" t="inlineStr">
        <is>
          <t>GR</t>
        </is>
      </c>
      <c r="AD2034" t="n">
        <v>30.45</v>
      </c>
      <c r="AE2034" t="n">
        <v>19.5</v>
      </c>
      <c r="AF2034" t="n">
        <v>32.6</v>
      </c>
      <c r="AG2034" t="inlineStr">
        <is>
          <t>1:32.6</t>
        </is>
      </c>
      <c r="AH2034" t="inlineStr">
        <is>
          <t>5%</t>
        </is>
      </c>
      <c r="AI2034" t="n">
        <v>7.2</v>
      </c>
      <c r="AJ2034" t="n">
        <v>16.25</v>
      </c>
    </row>
    <row r="2035">
      <c r="A2035" t="inlineStr">
        <is>
          <t>University of Iowa</t>
        </is>
      </c>
      <c r="B2035" t="inlineStr">
        <is>
          <t>United States</t>
        </is>
      </c>
      <c r="C2035" t="inlineStr">
        <is>
          <t>596</t>
        </is>
      </c>
      <c r="D2035" t="n">
        <v>20.8</v>
      </c>
      <c r="E2035" t="n">
        <v>18.4</v>
      </c>
      <c r="F2035" t="n">
        <v>8.699999999999999</v>
      </c>
      <c r="G2035" t="n">
        <v>41.7</v>
      </c>
      <c r="H2035" t="n">
        <v>19.1</v>
      </c>
      <c r="I2035" t="n">
        <v>15.5</v>
      </c>
      <c r="J2035" t="n">
        <v>3.7</v>
      </c>
      <c r="K2035" t="n">
        <v>75.59999999999999</v>
      </c>
      <c r="L2035" t="n">
        <v>26.6</v>
      </c>
      <c r="M2035" t="n">
        <v>20.8</v>
      </c>
      <c r="N2035" t="inlineStr">
        <is>
          <t>201–250</t>
        </is>
      </c>
      <c r="O2035" t="inlineStr">
        <is>
          <t>55.9–58.6</t>
        </is>
      </c>
      <c r="P2035" t="n">
        <v>46.1</v>
      </c>
      <c r="Q2035" t="n">
        <v>37</v>
      </c>
      <c r="R2035" t="n">
        <v>79.90000000000001</v>
      </c>
      <c r="S2035" t="n">
        <v>88.59999999999999</v>
      </c>
      <c r="T2035" t="n">
        <v>55.8</v>
      </c>
      <c r="U2035" t="inlineStr">
        <is>
          <t>28,583</t>
        </is>
      </c>
      <c r="V2035" t="n">
        <v>10.9</v>
      </c>
      <c r="W2035" t="inlineStr">
        <is>
          <t>6%</t>
        </is>
      </c>
      <c r="X2035" t="inlineStr">
        <is>
          <t>55 : 45</t>
        </is>
      </c>
      <c r="Y2035" t="n">
        <v>596</v>
      </c>
      <c r="Z2035" t="n">
        <v>201</v>
      </c>
      <c r="AA2035" t="n">
        <v>57.25</v>
      </c>
      <c r="AB2035" t="inlineStr">
        <is>
          <t>U2034</t>
        </is>
      </c>
      <c r="AC2035" t="inlineStr">
        <is>
          <t>UN</t>
        </is>
      </c>
      <c r="AD2035" t="n">
        <v>20.8</v>
      </c>
      <c r="AE2035" t="n">
        <v>19.1</v>
      </c>
      <c r="AF2035" t="n">
        <v>10.9</v>
      </c>
      <c r="AG2035" t="inlineStr">
        <is>
          <t>1:10.9</t>
        </is>
      </c>
      <c r="AH2035" t="inlineStr">
        <is>
          <t>6%</t>
        </is>
      </c>
      <c r="AI2035" t="n">
        <v>18.4</v>
      </c>
      <c r="AJ2035" t="n">
        <v>32.07</v>
      </c>
    </row>
    <row r="2036">
      <c r="A2036" t="inlineStr">
        <is>
          <t>University of Isfahan</t>
        </is>
      </c>
      <c r="B2036" t="inlineStr">
        <is>
          <t>Iran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>
        <is>
          <t>1001–1200</t>
        </is>
      </c>
      <c r="O2036" t="inlineStr">
        <is>
          <t>28.3–32.6</t>
        </is>
      </c>
      <c r="P2036" t="n">
        <v>30.4</v>
      </c>
      <c r="Q2036" t="n">
        <v>16.8</v>
      </c>
      <c r="R2036" t="n">
        <v>40.9</v>
      </c>
      <c r="S2036" t="n">
        <v>26.2</v>
      </c>
      <c r="T2036" t="n">
        <v>35.5</v>
      </c>
      <c r="U2036" t="inlineStr">
        <is>
          <t>17,182</t>
        </is>
      </c>
      <c r="V2036" t="n">
        <v>24</v>
      </c>
      <c r="W2036" t="inlineStr">
        <is>
          <t>8%</t>
        </is>
      </c>
      <c r="X2036" t="inlineStr">
        <is>
          <t>58 : 42</t>
        </is>
      </c>
      <c r="Y2036" t="inlineStr"/>
      <c r="Z2036" t="n">
        <v>1001</v>
      </c>
      <c r="AA2036" t="n">
        <v>30.45</v>
      </c>
      <c r="AB2036" t="inlineStr">
        <is>
          <t>U2035</t>
        </is>
      </c>
      <c r="AC2036" t="inlineStr">
        <is>
          <t>IR</t>
        </is>
      </c>
      <c r="AD2036" t="n">
        <v>30.45</v>
      </c>
      <c r="AE2036" t="n">
        <v>40.9</v>
      </c>
      <c r="AF2036" t="n">
        <v>24</v>
      </c>
      <c r="AG2036" t="inlineStr">
        <is>
          <t>1:24.0</t>
        </is>
      </c>
      <c r="AH2036" t="inlineStr">
        <is>
          <t>8%</t>
        </is>
      </c>
      <c r="AI2036" t="inlineStr"/>
      <c r="AJ2036" t="n">
        <v>23.18</v>
      </c>
    </row>
    <row r="2037">
      <c r="A2037" t="inlineStr">
        <is>
          <t>University of Jaén</t>
        </is>
      </c>
      <c r="B2037" t="inlineStr">
        <is>
          <t>Spain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>
        <is>
          <t>801–1000</t>
        </is>
      </c>
      <c r="O2037" t="inlineStr">
        <is>
          <t>32.7–36.9</t>
        </is>
      </c>
      <c r="P2037" t="n">
        <v>20.7</v>
      </c>
      <c r="Q2037" t="n">
        <v>18.8</v>
      </c>
      <c r="R2037" t="n">
        <v>64.2</v>
      </c>
      <c r="S2037" t="n">
        <v>41</v>
      </c>
      <c r="T2037" t="n">
        <v>45.4</v>
      </c>
      <c r="U2037" t="inlineStr">
        <is>
          <t>13,321</t>
        </is>
      </c>
      <c r="V2037" t="n">
        <v>16.1</v>
      </c>
      <c r="W2037" t="inlineStr">
        <is>
          <t>7%</t>
        </is>
      </c>
      <c r="X2037" t="inlineStr">
        <is>
          <t>57 : 43</t>
        </is>
      </c>
      <c r="Y2037" t="inlineStr"/>
      <c r="Z2037" t="n">
        <v>801</v>
      </c>
      <c r="AA2037" t="n">
        <v>34.8</v>
      </c>
      <c r="AB2037" t="inlineStr">
        <is>
          <t>U2036</t>
        </is>
      </c>
      <c r="AC2037" t="inlineStr">
        <is>
          <t>SP</t>
        </is>
      </c>
      <c r="AD2037" t="n">
        <v>34.8</v>
      </c>
      <c r="AE2037" t="n">
        <v>64.2</v>
      </c>
      <c r="AF2037" t="n">
        <v>16.1</v>
      </c>
      <c r="AG2037" t="inlineStr">
        <is>
          <t>1:16.1</t>
        </is>
      </c>
      <c r="AH2037" t="inlineStr">
        <is>
          <t>7%</t>
        </is>
      </c>
      <c r="AI2037" t="inlineStr"/>
      <c r="AJ2037" t="n">
        <v>33.68</v>
      </c>
    </row>
    <row r="2038">
      <c r="A2038" t="inlineStr">
        <is>
          <t>University of Jeddah</t>
        </is>
      </c>
      <c r="B2038" t="inlineStr">
        <is>
          <t>Saudi Arabia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>
        <is>
          <t>1001–1200</t>
        </is>
      </c>
      <c r="O2038" t="inlineStr">
        <is>
          <t>28.3–32.6</t>
        </is>
      </c>
      <c r="P2038" t="n">
        <v>17.4</v>
      </c>
      <c r="Q2038" t="n">
        <v>9.199999999999999</v>
      </c>
      <c r="R2038" t="n">
        <v>51.5</v>
      </c>
      <c r="S2038" t="n">
        <v>16</v>
      </c>
      <c r="T2038" t="n">
        <v>73.2</v>
      </c>
      <c r="U2038" t="inlineStr">
        <is>
          <t>28,561</t>
        </is>
      </c>
      <c r="V2038" t="n">
        <v>14.6</v>
      </c>
      <c r="W2038" t="inlineStr">
        <is>
          <t>2%</t>
        </is>
      </c>
      <c r="X2038" t="inlineStr">
        <is>
          <t>67 : 33</t>
        </is>
      </c>
      <c r="Y2038" t="inlineStr"/>
      <c r="Z2038" t="n">
        <v>1001</v>
      </c>
      <c r="AA2038" t="n">
        <v>30.45</v>
      </c>
      <c r="AB2038" t="inlineStr">
        <is>
          <t>U2037</t>
        </is>
      </c>
      <c r="AC2038" t="inlineStr">
        <is>
          <t>SA</t>
        </is>
      </c>
      <c r="AD2038" t="n">
        <v>30.45</v>
      </c>
      <c r="AE2038" t="n">
        <v>51.5</v>
      </c>
      <c r="AF2038" t="n">
        <v>14.6</v>
      </c>
      <c r="AG2038" t="inlineStr">
        <is>
          <t>1:14.6</t>
        </is>
      </c>
      <c r="AH2038" t="inlineStr">
        <is>
          <t>2%</t>
        </is>
      </c>
      <c r="AI2038" t="inlineStr"/>
      <c r="AJ2038" t="n">
        <v>31.52</v>
      </c>
    </row>
    <row r="2039">
      <c r="A2039" t="inlineStr">
        <is>
          <t>University of Jijel</t>
        </is>
      </c>
      <c r="B2039" t="inlineStr">
        <is>
          <t>Algeria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>
        <is>
          <t>1501+</t>
        </is>
      </c>
      <c r="O2039" t="inlineStr">
        <is>
          <t>9.7–22.7</t>
        </is>
      </c>
      <c r="P2039" t="n">
        <v>12.8</v>
      </c>
      <c r="Q2039" t="n">
        <v>8.800000000000001</v>
      </c>
      <c r="R2039" t="n">
        <v>12.7</v>
      </c>
      <c r="S2039" t="n">
        <v>16</v>
      </c>
      <c r="T2039" t="n">
        <v>37.5</v>
      </c>
      <c r="U2039" t="inlineStr">
        <is>
          <t>23,690</t>
        </is>
      </c>
      <c r="V2039" t="n">
        <v>22.4</v>
      </c>
      <c r="W2039" t="inlineStr">
        <is>
          <t>0%</t>
        </is>
      </c>
      <c r="X2039" t="inlineStr">
        <is>
          <t>72 : 28</t>
        </is>
      </c>
      <c r="Y2039" t="inlineStr"/>
      <c r="Z2039" t="n">
        <v>1501</v>
      </c>
      <c r="AA2039" t="n">
        <v>16.2</v>
      </c>
      <c r="AB2039" t="inlineStr">
        <is>
          <t>U2038</t>
        </is>
      </c>
      <c r="AC2039" t="inlineStr">
        <is>
          <t>AL</t>
        </is>
      </c>
      <c r="AD2039" t="n">
        <v>16.2</v>
      </c>
      <c r="AE2039" t="n">
        <v>12.7</v>
      </c>
      <c r="AF2039" t="n">
        <v>22.4</v>
      </c>
      <c r="AG2039" t="inlineStr">
        <is>
          <t>1:22.4</t>
        </is>
      </c>
      <c r="AH2039" t="inlineStr">
        <is>
          <t>0%</t>
        </is>
      </c>
      <c r="AI2039" t="inlineStr"/>
      <c r="AJ2039" t="n">
        <v>10.92</v>
      </c>
    </row>
    <row r="2040">
      <c r="A2040" t="inlineStr">
        <is>
          <t>University of Johannesburg</t>
        </is>
      </c>
      <c r="B2040" t="inlineStr">
        <is>
          <t>South Africa</t>
        </is>
      </c>
      <c r="C2040" t="inlineStr">
        <is>
          <t>312</t>
        </is>
      </c>
      <c r="D2040" t="n">
        <v>35</v>
      </c>
      <c r="E2040" t="n">
        <v>17.7</v>
      </c>
      <c r="F2040" t="n">
        <v>17.9</v>
      </c>
      <c r="G2040" t="n">
        <v>40.3</v>
      </c>
      <c r="H2040" t="n">
        <v>24.9</v>
      </c>
      <c r="I2040" t="n">
        <v>96.5</v>
      </c>
      <c r="J2040" t="n">
        <v>51.4</v>
      </c>
      <c r="K2040" t="n">
        <v>98</v>
      </c>
      <c r="L2040" t="n">
        <v>63.1</v>
      </c>
      <c r="M2040" t="n">
        <v>65.59999999999999</v>
      </c>
      <c r="N2040" t="inlineStr">
        <is>
          <t>401–500</t>
        </is>
      </c>
      <c r="O2040" t="inlineStr">
        <is>
          <t>45.4–49.0</t>
        </is>
      </c>
      <c r="P2040" t="n">
        <v>28.6</v>
      </c>
      <c r="Q2040" t="n">
        <v>36.3</v>
      </c>
      <c r="R2040" t="n">
        <v>66.8</v>
      </c>
      <c r="S2040" t="n">
        <v>44.8</v>
      </c>
      <c r="T2040" t="n">
        <v>81</v>
      </c>
      <c r="U2040" t="inlineStr">
        <is>
          <t>31,721</t>
        </is>
      </c>
      <c r="V2040" t="n">
        <v>26.5</v>
      </c>
      <c r="W2040" t="inlineStr">
        <is>
          <t>13%</t>
        </is>
      </c>
      <c r="X2040" t="inlineStr">
        <is>
          <t>55 : 45</t>
        </is>
      </c>
      <c r="Y2040" t="n">
        <v>312</v>
      </c>
      <c r="Z2040" t="n">
        <v>401</v>
      </c>
      <c r="AA2040" t="n">
        <v>47.2</v>
      </c>
      <c r="AB2040" t="inlineStr">
        <is>
          <t>U2039</t>
        </is>
      </c>
      <c r="AC2040" t="inlineStr">
        <is>
          <t>SO</t>
        </is>
      </c>
      <c r="AD2040" t="n">
        <v>35</v>
      </c>
      <c r="AE2040" t="n">
        <v>24.9</v>
      </c>
      <c r="AF2040" t="n">
        <v>26.5</v>
      </c>
      <c r="AG2040" t="inlineStr">
        <is>
          <t>1:26.5</t>
        </is>
      </c>
      <c r="AH2040" t="inlineStr">
        <is>
          <t>13%</t>
        </is>
      </c>
      <c r="AI2040" t="n">
        <v>17.7</v>
      </c>
      <c r="AJ2040" t="n">
        <v>39.55</v>
      </c>
    </row>
    <row r="2041">
      <c r="A2041" t="inlineStr">
        <is>
          <t>University of Jordan</t>
        </is>
      </c>
      <c r="B2041" t="inlineStr">
        <is>
          <t>Jordan</t>
        </is>
      </c>
      <c r="C2041" t="inlineStr">
        <is>
          <t>368</t>
        </is>
      </c>
      <c r="D2041" t="n">
        <v>31.4</v>
      </c>
      <c r="E2041" t="n">
        <v>32.9</v>
      </c>
      <c r="F2041" t="n">
        <v>46.7</v>
      </c>
      <c r="G2041" t="n">
        <v>19.5</v>
      </c>
      <c r="H2041" t="n">
        <v>3.5</v>
      </c>
      <c r="I2041" t="n">
        <v>21.2</v>
      </c>
      <c r="J2041" t="n">
        <v>43.5</v>
      </c>
      <c r="K2041" t="n">
        <v>67</v>
      </c>
      <c r="L2041" t="n">
        <v>82.09999999999999</v>
      </c>
      <c r="M2041" t="n">
        <v>39.5</v>
      </c>
      <c r="N2041" t="inlineStr">
        <is>
          <t>601–800</t>
        </is>
      </c>
      <c r="O2041" t="inlineStr">
        <is>
          <t>37.0–41.8</t>
        </is>
      </c>
      <c r="P2041" t="n">
        <v>27.8</v>
      </c>
      <c r="Q2041" t="n">
        <v>13.4</v>
      </c>
      <c r="R2041" t="n">
        <v>62.7</v>
      </c>
      <c r="S2041" t="n">
        <v>30.8</v>
      </c>
      <c r="T2041" t="n">
        <v>67.09999999999999</v>
      </c>
      <c r="U2041" t="inlineStr">
        <is>
          <t>25,631</t>
        </is>
      </c>
      <c r="V2041" t="n">
        <v>10.3</v>
      </c>
      <c r="W2041" t="inlineStr">
        <is>
          <t>20%</t>
        </is>
      </c>
      <c r="X2041" t="inlineStr">
        <is>
          <t>69 : 31</t>
        </is>
      </c>
      <c r="Y2041" t="n">
        <v>368</v>
      </c>
      <c r="Z2041" t="n">
        <v>601</v>
      </c>
      <c r="AA2041" t="n">
        <v>39.4</v>
      </c>
      <c r="AB2041" t="inlineStr">
        <is>
          <t>U2040</t>
        </is>
      </c>
      <c r="AC2041" t="inlineStr">
        <is>
          <t>JO</t>
        </is>
      </c>
      <c r="AD2041" t="n">
        <v>31.4</v>
      </c>
      <c r="AE2041" t="n">
        <v>3.5</v>
      </c>
      <c r="AF2041" t="n">
        <v>10.3</v>
      </c>
      <c r="AG2041" t="inlineStr">
        <is>
          <t>1:10.3</t>
        </is>
      </c>
      <c r="AH2041" t="inlineStr">
        <is>
          <t>20%</t>
        </is>
      </c>
      <c r="AI2041" t="n">
        <v>32.9</v>
      </c>
      <c r="AJ2041" t="n">
        <v>17.7</v>
      </c>
    </row>
    <row r="2042">
      <c r="A2042" t="inlineStr">
        <is>
          <t>University of Jyväskylä</t>
        </is>
      </c>
      <c r="B2042" t="inlineStr">
        <is>
          <t>Finland</t>
        </is>
      </c>
      <c r="C2042" t="inlineStr">
        <is>
          <t>489</t>
        </is>
      </c>
      <c r="D2042" t="n">
        <v>24.5</v>
      </c>
      <c r="E2042" t="n">
        <v>16.2</v>
      </c>
      <c r="F2042" t="n">
        <v>11.4</v>
      </c>
      <c r="G2042" t="n">
        <v>87.7</v>
      </c>
      <c r="H2042" t="n">
        <v>12.1</v>
      </c>
      <c r="I2042" t="n">
        <v>44</v>
      </c>
      <c r="J2042" t="n">
        <v>2.6</v>
      </c>
      <c r="K2042" t="n">
        <v>81.2</v>
      </c>
      <c r="L2042" t="n">
        <v>10.4</v>
      </c>
      <c r="M2042" t="n">
        <v>16.3</v>
      </c>
      <c r="N2042" t="inlineStr">
        <is>
          <t>401–500</t>
        </is>
      </c>
      <c r="O2042" t="inlineStr">
        <is>
          <t>45.4–49.0</t>
        </is>
      </c>
      <c r="P2042" t="n">
        <v>31.4</v>
      </c>
      <c r="Q2042" t="n">
        <v>34.1</v>
      </c>
      <c r="R2042" t="n">
        <v>78.2</v>
      </c>
      <c r="S2042" t="n">
        <v>53</v>
      </c>
      <c r="T2042" t="n">
        <v>49.7</v>
      </c>
      <c r="U2042" t="inlineStr">
        <is>
          <t>10,702</t>
        </is>
      </c>
      <c r="V2042" t="n">
        <v>13.8</v>
      </c>
      <c r="W2042" t="inlineStr">
        <is>
          <t>3%</t>
        </is>
      </c>
      <c r="X2042" t="inlineStr">
        <is>
          <t>62 : 38</t>
        </is>
      </c>
      <c r="Y2042" t="n">
        <v>489</v>
      </c>
      <c r="Z2042" t="n">
        <v>401</v>
      </c>
      <c r="AA2042" t="n">
        <v>47.2</v>
      </c>
      <c r="AB2042" t="inlineStr">
        <is>
          <t>U2041</t>
        </is>
      </c>
      <c r="AC2042" t="inlineStr">
        <is>
          <t>FI</t>
        </is>
      </c>
      <c r="AD2042" t="n">
        <v>24.5</v>
      </c>
      <c r="AE2042" t="n">
        <v>12.1</v>
      </c>
      <c r="AF2042" t="n">
        <v>13.8</v>
      </c>
      <c r="AG2042" t="inlineStr">
        <is>
          <t>1:13.8</t>
        </is>
      </c>
      <c r="AH2042" t="inlineStr">
        <is>
          <t>3%</t>
        </is>
      </c>
      <c r="AI2042" t="n">
        <v>16.2</v>
      </c>
      <c r="AJ2042" t="n">
        <v>26.95</v>
      </c>
    </row>
    <row r="2043">
      <c r="A2043" t="inlineStr">
        <is>
          <t>University of Kaiserslautern</t>
        </is>
      </c>
      <c r="B2043" t="inlineStr">
        <is>
          <t>Germany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>
        <is>
          <t>601–800</t>
        </is>
      </c>
      <c r="O2043" t="inlineStr">
        <is>
          <t>37.0–41.8</t>
        </is>
      </c>
      <c r="P2043" t="n">
        <v>38.7</v>
      </c>
      <c r="Q2043" t="n">
        <v>28.7</v>
      </c>
      <c r="R2043" t="n">
        <v>44.4</v>
      </c>
      <c r="S2043" t="n">
        <v>83</v>
      </c>
      <c r="T2043" t="n">
        <v>56.7</v>
      </c>
      <c r="U2043" t="inlineStr">
        <is>
          <t>6,912</t>
        </is>
      </c>
      <c r="V2043" t="n">
        <v>22</v>
      </c>
      <c r="W2043" t="inlineStr">
        <is>
          <t>19%</t>
        </is>
      </c>
      <c r="X2043" t="inlineStr">
        <is>
          <t>34 : 66</t>
        </is>
      </c>
      <c r="Y2043" t="inlineStr"/>
      <c r="Z2043" t="n">
        <v>601</v>
      </c>
      <c r="AA2043" t="n">
        <v>39.4</v>
      </c>
      <c r="AB2043" t="inlineStr">
        <is>
          <t>U2042</t>
        </is>
      </c>
      <c r="AC2043" t="inlineStr">
        <is>
          <t>GE</t>
        </is>
      </c>
      <c r="AD2043" t="n">
        <v>39.4</v>
      </c>
      <c r="AE2043" t="n">
        <v>44.4</v>
      </c>
      <c r="AF2043" t="n">
        <v>22</v>
      </c>
      <c r="AG2043" t="inlineStr">
        <is>
          <t>1:22.0</t>
        </is>
      </c>
      <c r="AH2043" t="inlineStr">
        <is>
          <t>19%</t>
        </is>
      </c>
      <c r="AI2043" t="inlineStr"/>
      <c r="AJ2043" t="n">
        <v>35.6</v>
      </c>
    </row>
    <row r="2044">
      <c r="A2044" t="inlineStr">
        <is>
          <t>University of Kansas</t>
        </is>
      </c>
      <c r="B2044" t="inlineStr">
        <is>
          <t>United States</t>
        </is>
      </c>
      <c r="C2044" t="inlineStr">
        <is>
          <t>452</t>
        </is>
      </c>
      <c r="D2044" t="n">
        <v>26.4</v>
      </c>
      <c r="E2044" t="n">
        <v>14.4</v>
      </c>
      <c r="F2044" t="n">
        <v>12.6</v>
      </c>
      <c r="G2044" t="n">
        <v>86.7</v>
      </c>
      <c r="H2044" t="n">
        <v>9.199999999999999</v>
      </c>
      <c r="I2044" t="n">
        <v>60.3</v>
      </c>
      <c r="J2044" t="n">
        <v>7.2</v>
      </c>
      <c r="K2044" t="n">
        <v>84.59999999999999</v>
      </c>
      <c r="L2044" t="n">
        <v>28.2</v>
      </c>
      <c r="M2044" t="n">
        <v>32.4</v>
      </c>
      <c r="N2044" t="inlineStr">
        <is>
          <t>351–400</t>
        </is>
      </c>
      <c r="O2044" t="inlineStr">
        <is>
          <t>49.1–51.0</t>
        </is>
      </c>
      <c r="P2044" t="n">
        <v>42.7</v>
      </c>
      <c r="Q2044" t="n">
        <v>25.9</v>
      </c>
      <c r="R2044" t="n">
        <v>73.09999999999999</v>
      </c>
      <c r="S2044" t="n">
        <v>79.90000000000001</v>
      </c>
      <c r="T2044" t="n">
        <v>58.6</v>
      </c>
      <c r="U2044" t="inlineStr">
        <is>
          <t>23,410</t>
        </is>
      </c>
      <c r="V2044" t="n">
        <v>9.5</v>
      </c>
      <c r="W2044" t="inlineStr">
        <is>
          <t>7%</t>
        </is>
      </c>
      <c r="X2044" t="inlineStr">
        <is>
          <t>53 : 47</t>
        </is>
      </c>
      <c r="Y2044" t="n">
        <v>452</v>
      </c>
      <c r="Z2044" t="n">
        <v>351</v>
      </c>
      <c r="AA2044" t="n">
        <v>50.05</v>
      </c>
      <c r="AB2044" t="inlineStr">
        <is>
          <t>U2043</t>
        </is>
      </c>
      <c r="AC2044" t="inlineStr">
        <is>
          <t>UN</t>
        </is>
      </c>
      <c r="AD2044" t="n">
        <v>26.4</v>
      </c>
      <c r="AE2044" t="n">
        <v>9.199999999999999</v>
      </c>
      <c r="AF2044" t="n">
        <v>9.5</v>
      </c>
      <c r="AG2044" t="inlineStr">
        <is>
          <t>1:9.5</t>
        </is>
      </c>
      <c r="AH2044" t="inlineStr">
        <is>
          <t>7%</t>
        </is>
      </c>
      <c r="AI2044" t="n">
        <v>14.4</v>
      </c>
      <c r="AJ2044" t="n">
        <v>23.93</v>
      </c>
    </row>
    <row r="2045">
      <c r="A2045" t="inlineStr">
        <is>
          <t>University of Karachi</t>
        </is>
      </c>
      <c r="B2045" t="inlineStr">
        <is>
          <t>Pakistan</t>
        </is>
      </c>
      <c r="C2045" t="inlineStr">
        <is>
          <t>1001-1200</t>
        </is>
      </c>
      <c r="D2045" t="inlineStr"/>
      <c r="E2045" t="n">
        <v>11.6</v>
      </c>
      <c r="F2045" t="n">
        <v>16.1</v>
      </c>
      <c r="G2045" t="n">
        <v>1.6</v>
      </c>
      <c r="H2045" t="n">
        <v>4.9</v>
      </c>
      <c r="I2045" t="n">
        <v>3.5</v>
      </c>
      <c r="J2045" t="n">
        <v>1.1</v>
      </c>
      <c r="K2045" t="n">
        <v>36.8</v>
      </c>
      <c r="L2045" t="n">
        <v>42.8</v>
      </c>
      <c r="M2045" t="n">
        <v>1.2</v>
      </c>
      <c r="N2045" t="inlineStr">
        <is>
          <t>1501+</t>
        </is>
      </c>
      <c r="O2045" t="inlineStr">
        <is>
          <t>9.7–22.7</t>
        </is>
      </c>
      <c r="P2045" t="n">
        <v>14.1</v>
      </c>
      <c r="Q2045" t="n">
        <v>10.6</v>
      </c>
      <c r="R2045" t="n">
        <v>19.5</v>
      </c>
      <c r="S2045" t="n">
        <v>24.5</v>
      </c>
      <c r="T2045" t="n">
        <v>44.4</v>
      </c>
      <c r="U2045" t="inlineStr">
        <is>
          <t>47,337</t>
        </is>
      </c>
      <c r="V2045" t="n">
        <v>39.3</v>
      </c>
      <c r="W2045" t="inlineStr">
        <is>
          <t>0%</t>
        </is>
      </c>
      <c r="X2045" t="inlineStr">
        <is>
          <t>60 : 40</t>
        </is>
      </c>
      <c r="Y2045" t="n">
        <v>1001</v>
      </c>
      <c r="Z2045" t="n">
        <v>1501</v>
      </c>
      <c r="AA2045" t="n">
        <v>16.2</v>
      </c>
      <c r="AB2045" t="inlineStr">
        <is>
          <t>U2044</t>
        </is>
      </c>
      <c r="AC2045" t="inlineStr">
        <is>
          <t>PA</t>
        </is>
      </c>
      <c r="AD2045" t="n">
        <v>16.2</v>
      </c>
      <c r="AE2045" t="n">
        <v>4.9</v>
      </c>
      <c r="AF2045" t="n">
        <v>39.3</v>
      </c>
      <c r="AG2045" t="inlineStr">
        <is>
          <t>1:39.3</t>
        </is>
      </c>
      <c r="AH2045" t="inlineStr">
        <is>
          <t>0%</t>
        </is>
      </c>
      <c r="AI2045" t="n">
        <v>11.6</v>
      </c>
      <c r="AJ2045" t="n">
        <v>11.17</v>
      </c>
    </row>
    <row r="2046">
      <c r="A2046" t="inlineStr">
        <is>
          <t>University of Kashan</t>
        </is>
      </c>
      <c r="B2046" t="inlineStr">
        <is>
          <t>Iran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>
        <is>
          <t>601–800</t>
        </is>
      </c>
      <c r="O2046" t="inlineStr">
        <is>
          <t>37.0–41.8</t>
        </is>
      </c>
      <c r="P2046" t="n">
        <v>27.1</v>
      </c>
      <c r="Q2046" t="n">
        <v>19.9</v>
      </c>
      <c r="R2046" t="n">
        <v>74.7</v>
      </c>
      <c r="S2046" t="n">
        <v>21.9</v>
      </c>
      <c r="T2046" t="n">
        <v>24.8</v>
      </c>
      <c r="U2046" t="inlineStr">
        <is>
          <t>8,654</t>
        </is>
      </c>
      <c r="V2046" t="n">
        <v>28.4</v>
      </c>
      <c r="W2046" t="inlineStr">
        <is>
          <t>2%</t>
        </is>
      </c>
      <c r="X2046" t="inlineStr">
        <is>
          <t>55 : 45</t>
        </is>
      </c>
      <c r="Y2046" t="inlineStr"/>
      <c r="Z2046" t="n">
        <v>601</v>
      </c>
      <c r="AA2046" t="n">
        <v>39.4</v>
      </c>
      <c r="AB2046" t="inlineStr">
        <is>
          <t>U2045</t>
        </is>
      </c>
      <c r="AC2046" t="inlineStr">
        <is>
          <t>IR</t>
        </is>
      </c>
      <c r="AD2046" t="n">
        <v>39.4</v>
      </c>
      <c r="AE2046" t="n">
        <v>74.7</v>
      </c>
      <c r="AF2046" t="n">
        <v>28.4</v>
      </c>
      <c r="AG2046" t="inlineStr">
        <is>
          <t>1:28.4</t>
        </is>
      </c>
      <c r="AH2046" t="inlineStr">
        <is>
          <t>2%</t>
        </is>
      </c>
      <c r="AI2046" t="inlineStr"/>
      <c r="AJ2046" t="n">
        <v>32.46</v>
      </c>
    </row>
    <row r="2047">
      <c r="A2047" t="inlineStr">
        <is>
          <t>University of Kelaniya</t>
        </is>
      </c>
      <c r="B2047" t="inlineStr">
        <is>
          <t>Sri Lanka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>
        <is>
          <t>1501+</t>
        </is>
      </c>
      <c r="O2047" t="inlineStr">
        <is>
          <t>9.7–22.7</t>
        </is>
      </c>
      <c r="P2047" t="n">
        <v>16.8</v>
      </c>
      <c r="Q2047" t="n">
        <v>8.1</v>
      </c>
      <c r="R2047" t="n">
        <v>12</v>
      </c>
      <c r="S2047" t="n">
        <v>17.2</v>
      </c>
      <c r="T2047" t="n">
        <v>36.2</v>
      </c>
      <c r="U2047" t="inlineStr">
        <is>
          <t>17,699</t>
        </is>
      </c>
      <c r="V2047" t="n">
        <v>15.6</v>
      </c>
      <c r="W2047" t="inlineStr">
        <is>
          <t>3%</t>
        </is>
      </c>
      <c r="X2047" t="inlineStr">
        <is>
          <t>66 : 34</t>
        </is>
      </c>
      <c r="Y2047" t="inlineStr"/>
      <c r="Z2047" t="n">
        <v>1501</v>
      </c>
      <c r="AA2047" t="n">
        <v>16.2</v>
      </c>
      <c r="AB2047" t="inlineStr">
        <is>
          <t>U2046</t>
        </is>
      </c>
      <c r="AC2047" t="inlineStr">
        <is>
          <t>SR</t>
        </is>
      </c>
      <c r="AD2047" t="n">
        <v>16.2</v>
      </c>
      <c r="AE2047" t="n">
        <v>12</v>
      </c>
      <c r="AF2047" t="n">
        <v>15.6</v>
      </c>
      <c r="AG2047" t="inlineStr">
        <is>
          <t>1:15.6</t>
        </is>
      </c>
      <c r="AH2047" t="inlineStr">
        <is>
          <t>3%</t>
        </is>
      </c>
      <c r="AI2047" t="inlineStr"/>
      <c r="AJ2047" t="n">
        <v>10.03</v>
      </c>
    </row>
    <row r="2048">
      <c r="A2048" t="inlineStr">
        <is>
          <t>University of Kent</t>
        </is>
      </c>
      <c r="B2048" t="inlineStr">
        <is>
          <t>United Kingdom</t>
        </is>
      </c>
      <c r="C2048" t="inlineStr">
        <is>
          <t>380</t>
        </is>
      </c>
      <c r="D2048" t="n">
        <v>30.8</v>
      </c>
      <c r="E2048" t="n">
        <v>15.4</v>
      </c>
      <c r="F2048" t="n">
        <v>10</v>
      </c>
      <c r="G2048" t="n">
        <v>14.6</v>
      </c>
      <c r="H2048" t="n">
        <v>45.7</v>
      </c>
      <c r="I2048" t="n">
        <v>95.09999999999999</v>
      </c>
      <c r="J2048" t="n">
        <v>49.8</v>
      </c>
      <c r="K2048" t="n">
        <v>78.8</v>
      </c>
      <c r="L2048" t="n">
        <v>34</v>
      </c>
      <c r="M2048" t="n">
        <v>40.4</v>
      </c>
      <c r="N2048" t="inlineStr">
        <is>
          <t>401–500</t>
        </is>
      </c>
      <c r="O2048" t="inlineStr">
        <is>
          <t>45.4–49.0</t>
        </is>
      </c>
      <c r="P2048" t="n">
        <v>27.6</v>
      </c>
      <c r="Q2048" t="n">
        <v>29</v>
      </c>
      <c r="R2048" t="n">
        <v>77.59999999999999</v>
      </c>
      <c r="S2048" t="n">
        <v>51.9</v>
      </c>
      <c r="T2048" t="n">
        <v>93.5</v>
      </c>
      <c r="U2048" t="inlineStr">
        <is>
          <t>16,515</t>
        </is>
      </c>
      <c r="V2048" t="n">
        <v>18</v>
      </c>
      <c r="W2048" t="inlineStr">
        <is>
          <t>27%</t>
        </is>
      </c>
      <c r="X2048" t="inlineStr">
        <is>
          <t>53 : 47</t>
        </is>
      </c>
      <c r="Y2048" t="n">
        <v>380</v>
      </c>
      <c r="Z2048" t="n">
        <v>401</v>
      </c>
      <c r="AA2048" t="n">
        <v>47.2</v>
      </c>
      <c r="AB2048" t="inlineStr">
        <is>
          <t>U2047</t>
        </is>
      </c>
      <c r="AC2048" t="inlineStr">
        <is>
          <t>UN</t>
        </is>
      </c>
      <c r="AD2048" t="n">
        <v>30.8</v>
      </c>
      <c r="AE2048" t="n">
        <v>45.7</v>
      </c>
      <c r="AF2048" t="n">
        <v>18</v>
      </c>
      <c r="AG2048" t="inlineStr">
        <is>
          <t>1:18.0</t>
        </is>
      </c>
      <c r="AH2048" t="inlineStr">
        <is>
          <t>27%</t>
        </is>
      </c>
      <c r="AI2048" t="n">
        <v>15.4</v>
      </c>
      <c r="AJ2048" t="n">
        <v>45.05</v>
      </c>
    </row>
    <row r="2049">
      <c r="A2049" t="inlineStr">
        <is>
          <t>University of Kentucky</t>
        </is>
      </c>
      <c r="B2049" t="inlineStr">
        <is>
          <t>United States</t>
        </is>
      </c>
      <c r="C2049" t="inlineStr">
        <is>
          <t>791-800</t>
        </is>
      </c>
      <c r="D2049" t="inlineStr"/>
      <c r="E2049" t="n">
        <v>11.1</v>
      </c>
      <c r="F2049" t="n">
        <v>9.800000000000001</v>
      </c>
      <c r="G2049" t="n">
        <v>15.3</v>
      </c>
      <c r="H2049" t="n">
        <v>23.5</v>
      </c>
      <c r="I2049" t="n">
        <v>12.9</v>
      </c>
      <c r="J2049" t="n">
        <v>3.3</v>
      </c>
      <c r="K2049" t="n">
        <v>75.40000000000001</v>
      </c>
      <c r="L2049" t="n">
        <v>13.9</v>
      </c>
      <c r="M2049" t="n">
        <v>10.1</v>
      </c>
      <c r="N2049" t="inlineStr">
        <is>
          <t>401–500</t>
        </is>
      </c>
      <c r="O2049" t="inlineStr">
        <is>
          <t>45.4–49.0</t>
        </is>
      </c>
      <c r="P2049" t="n">
        <v>41.3</v>
      </c>
      <c r="Q2049" t="n">
        <v>30.8</v>
      </c>
      <c r="R2049" t="n">
        <v>71.8</v>
      </c>
      <c r="S2049" t="n">
        <v>70.90000000000001</v>
      </c>
      <c r="T2049" t="n">
        <v>46.8</v>
      </c>
      <c r="U2049" t="inlineStr">
        <is>
          <t>27,540</t>
        </is>
      </c>
      <c r="V2049" t="n">
        <v>11.3</v>
      </c>
      <c r="W2049" t="inlineStr">
        <is>
          <t>3%</t>
        </is>
      </c>
      <c r="X2049" t="inlineStr">
        <is>
          <t>58 : 42</t>
        </is>
      </c>
      <c r="Y2049" t="n">
        <v>791</v>
      </c>
      <c r="Z2049" t="n">
        <v>401</v>
      </c>
      <c r="AA2049" t="n">
        <v>47.2</v>
      </c>
      <c r="AB2049" t="inlineStr">
        <is>
          <t>U2048</t>
        </is>
      </c>
      <c r="AC2049" t="inlineStr">
        <is>
          <t>UN</t>
        </is>
      </c>
      <c r="AD2049" t="n">
        <v>47.2</v>
      </c>
      <c r="AE2049" t="n">
        <v>23.5</v>
      </c>
      <c r="AF2049" t="n">
        <v>11.3</v>
      </c>
      <c r="AG2049" t="inlineStr">
        <is>
          <t>1:11.3</t>
        </is>
      </c>
      <c r="AH2049" t="inlineStr">
        <is>
          <t>3%</t>
        </is>
      </c>
      <c r="AI2049" t="n">
        <v>11.1</v>
      </c>
      <c r="AJ2049" t="n">
        <v>27.97</v>
      </c>
    </row>
    <row r="2050">
      <c r="A2050" t="inlineStr">
        <is>
          <t>University of Kerbala</t>
        </is>
      </c>
      <c r="B2050" t="inlineStr">
        <is>
          <t>Iraq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>
        <is>
          <t>1501+</t>
        </is>
      </c>
      <c r="O2050" t="inlineStr">
        <is>
          <t>9.7–22.7</t>
        </is>
      </c>
      <c r="P2050" t="n">
        <v>18.3</v>
      </c>
      <c r="Q2050" t="n">
        <v>7.7</v>
      </c>
      <c r="R2050" t="n">
        <v>10.7</v>
      </c>
      <c r="S2050" t="n">
        <v>15.8</v>
      </c>
      <c r="T2050" t="n">
        <v>22.6</v>
      </c>
      <c r="U2050" t="inlineStr">
        <is>
          <t>21,735</t>
        </is>
      </c>
      <c r="V2050" t="n">
        <v>15.8</v>
      </c>
      <c r="W2050" t="inlineStr">
        <is>
          <t>0%</t>
        </is>
      </c>
      <c r="X2050" t="inlineStr">
        <is>
          <t>54 : 46</t>
        </is>
      </c>
      <c r="Y2050" t="inlineStr"/>
      <c r="Z2050" t="n">
        <v>1501</v>
      </c>
      <c r="AA2050" t="n">
        <v>16.2</v>
      </c>
      <c r="AB2050" t="inlineStr">
        <is>
          <t>U2049</t>
        </is>
      </c>
      <c r="AC2050" t="inlineStr">
        <is>
          <t>IR</t>
        </is>
      </c>
      <c r="AD2050" t="n">
        <v>16.2</v>
      </c>
      <c r="AE2050" t="n">
        <v>10.7</v>
      </c>
      <c r="AF2050" t="n">
        <v>15.8</v>
      </c>
      <c r="AG2050" t="inlineStr">
        <is>
          <t>1:15.8</t>
        </is>
      </c>
      <c r="AH2050" t="inlineStr">
        <is>
          <t>0%</t>
        </is>
      </c>
      <c r="AI2050" t="inlineStr"/>
      <c r="AJ2050" t="n">
        <v>6.14</v>
      </c>
    </row>
    <row r="2051">
      <c r="A2051" t="inlineStr">
        <is>
          <t>University of Khartoum</t>
        </is>
      </c>
      <c r="B2051" t="inlineStr">
        <is>
          <t>Sudan</t>
        </is>
      </c>
      <c r="C2051" t="inlineStr">
        <is>
          <t>1001-1200</t>
        </is>
      </c>
      <c r="D2051" t="inlineStr"/>
      <c r="E2051" t="n">
        <v>6.1</v>
      </c>
      <c r="F2051" t="n">
        <v>4</v>
      </c>
      <c r="G2051" t="n">
        <v>6.7</v>
      </c>
      <c r="H2051" t="n">
        <v>2.6</v>
      </c>
      <c r="I2051" t="inlineStr"/>
      <c r="J2051" t="n">
        <v>1.4</v>
      </c>
      <c r="K2051" t="n">
        <v>45</v>
      </c>
      <c r="L2051" t="n">
        <v>74.09999999999999</v>
      </c>
      <c r="M2051" t="n">
        <v>1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n">
        <v>1001</v>
      </c>
      <c r="Z2051" t="inlineStr"/>
      <c r="AA2051" t="inlineStr"/>
      <c r="AB2051" t="inlineStr">
        <is>
          <t>U2050</t>
        </is>
      </c>
      <c r="AC2051" t="inlineStr">
        <is>
          <t>SU</t>
        </is>
      </c>
      <c r="AD2051" t="inlineStr"/>
      <c r="AE2051" t="n">
        <v>2.6</v>
      </c>
      <c r="AF2051" t="inlineStr"/>
      <c r="AG2051" t="inlineStr"/>
      <c r="AH2051" t="inlineStr"/>
      <c r="AI2051" t="n">
        <v>6.1</v>
      </c>
      <c r="AJ2051" t="n">
        <v>14.18</v>
      </c>
    </row>
    <row r="2052">
      <c r="A2052" t="inlineStr">
        <is>
          <t>University of Kiel</t>
        </is>
      </c>
      <c r="B2052" t="inlineStr">
        <is>
          <t>Germany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>
        <is>
          <t>301–350</t>
        </is>
      </c>
      <c r="O2052" t="inlineStr">
        <is>
          <t>51.1–53.0</t>
        </is>
      </c>
      <c r="P2052" t="n">
        <v>33.3</v>
      </c>
      <c r="Q2052" t="n">
        <v>33.3</v>
      </c>
      <c r="R2052" t="n">
        <v>81.59999999999999</v>
      </c>
      <c r="S2052" t="n">
        <v>63</v>
      </c>
      <c r="T2052" t="n">
        <v>62.9</v>
      </c>
      <c r="U2052" t="inlineStr">
        <is>
          <t>29,463</t>
        </is>
      </c>
      <c r="V2052" t="n">
        <v>23.9</v>
      </c>
      <c r="W2052" t="inlineStr">
        <is>
          <t>8%</t>
        </is>
      </c>
      <c r="X2052" t="inlineStr">
        <is>
          <t>54 : 46</t>
        </is>
      </c>
      <c r="Y2052" t="inlineStr"/>
      <c r="Z2052" t="n">
        <v>301</v>
      </c>
      <c r="AA2052" t="n">
        <v>52.05</v>
      </c>
      <c r="AB2052" t="inlineStr">
        <is>
          <t>U2051</t>
        </is>
      </c>
      <c r="AC2052" t="inlineStr">
        <is>
          <t>GE</t>
        </is>
      </c>
      <c r="AD2052" t="n">
        <v>52.05</v>
      </c>
      <c r="AE2052" t="n">
        <v>81.59999999999999</v>
      </c>
      <c r="AF2052" t="n">
        <v>23.9</v>
      </c>
      <c r="AG2052" t="inlineStr">
        <is>
          <t>1:23.9</t>
        </is>
      </c>
      <c r="AH2052" t="inlineStr">
        <is>
          <t>8%</t>
        </is>
      </c>
      <c r="AI2052" t="inlineStr"/>
      <c r="AJ2052" t="n">
        <v>50.78</v>
      </c>
    </row>
    <row r="2053">
      <c r="A2053" t="inlineStr">
        <is>
          <t>University of Klagenfurt</t>
        </is>
      </c>
      <c r="B2053" t="inlineStr">
        <is>
          <t>Austria</t>
        </is>
      </c>
      <c r="C2053" t="inlineStr">
        <is>
          <t>611-620</t>
        </is>
      </c>
      <c r="D2053" t="inlineStr"/>
      <c r="E2053" t="n">
        <v>5.7</v>
      </c>
      <c r="F2053" t="n">
        <v>3.7</v>
      </c>
      <c r="G2053" t="n">
        <v>51.3</v>
      </c>
      <c r="H2053" t="n">
        <v>11.3</v>
      </c>
      <c r="I2053" t="n">
        <v>96</v>
      </c>
      <c r="J2053" t="n">
        <v>87.8</v>
      </c>
      <c r="K2053" t="n">
        <v>35.6</v>
      </c>
      <c r="L2053" t="n">
        <v>9.199999999999999</v>
      </c>
      <c r="M2053" t="n">
        <v>1.6</v>
      </c>
      <c r="N2053" t="inlineStr">
        <is>
          <t>501–600</t>
        </is>
      </c>
      <c r="O2053" t="inlineStr">
        <is>
          <t>41.9–45.3</t>
        </is>
      </c>
      <c r="P2053" t="n">
        <v>31.2</v>
      </c>
      <c r="Q2053" t="n">
        <v>19.4</v>
      </c>
      <c r="R2053" t="n">
        <v>72.40000000000001</v>
      </c>
      <c r="S2053" t="n">
        <v>48.1</v>
      </c>
      <c r="T2053" t="n">
        <v>87.59999999999999</v>
      </c>
      <c r="U2053" t="inlineStr">
        <is>
          <t>3,479</t>
        </is>
      </c>
      <c r="V2053" t="n">
        <v>10</v>
      </c>
      <c r="W2053" t="inlineStr">
        <is>
          <t>31%</t>
        </is>
      </c>
      <c r="X2053" t="inlineStr">
        <is>
          <t>67 : 33</t>
        </is>
      </c>
      <c r="Y2053" t="n">
        <v>611</v>
      </c>
      <c r="Z2053" t="n">
        <v>501</v>
      </c>
      <c r="AA2053" t="n">
        <v>43.59999999999999</v>
      </c>
      <c r="AB2053" t="inlineStr">
        <is>
          <t>U2052</t>
        </is>
      </c>
      <c r="AC2053" t="inlineStr">
        <is>
          <t>AU</t>
        </is>
      </c>
      <c r="AD2053" t="n">
        <v>43.59999999999999</v>
      </c>
      <c r="AE2053" t="n">
        <v>11.3</v>
      </c>
      <c r="AF2053" t="n">
        <v>10</v>
      </c>
      <c r="AG2053" t="inlineStr">
        <is>
          <t>1:10.0</t>
        </is>
      </c>
      <c r="AH2053" t="inlineStr">
        <is>
          <t>31%</t>
        </is>
      </c>
      <c r="AI2053" t="n">
        <v>5.7</v>
      </c>
      <c r="AJ2053" t="n">
        <v>28.17</v>
      </c>
    </row>
    <row r="2054">
      <c r="A2054" t="inlineStr">
        <is>
          <t>University of Konstanz</t>
        </is>
      </c>
      <c r="B2054" t="inlineStr">
        <is>
          <t>Germany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>
        <is>
          <t>251–300</t>
        </is>
      </c>
      <c r="O2054" t="inlineStr">
        <is>
          <t>53.1–55.8</t>
        </is>
      </c>
      <c r="P2054" t="n">
        <v>39.8</v>
      </c>
      <c r="Q2054" t="n">
        <v>44.4</v>
      </c>
      <c r="R2054" t="n">
        <v>71.5</v>
      </c>
      <c r="S2054" t="n">
        <v>97.40000000000001</v>
      </c>
      <c r="T2054" t="n">
        <v>76.40000000000001</v>
      </c>
      <c r="U2054" t="inlineStr">
        <is>
          <t>7,594</t>
        </is>
      </c>
      <c r="V2054" t="n">
        <v>34.5</v>
      </c>
      <c r="W2054" t="inlineStr">
        <is>
          <t>11%</t>
        </is>
      </c>
      <c r="X2054" t="inlineStr">
        <is>
          <t>58 : 42</t>
        </is>
      </c>
      <c r="Y2054" t="inlineStr"/>
      <c r="Z2054" t="n">
        <v>251</v>
      </c>
      <c r="AA2054" t="n">
        <v>54.45</v>
      </c>
      <c r="AB2054" t="inlineStr">
        <is>
          <t>U2053</t>
        </is>
      </c>
      <c r="AC2054" t="inlineStr">
        <is>
          <t>GE</t>
        </is>
      </c>
      <c r="AD2054" t="n">
        <v>54.45</v>
      </c>
      <c r="AE2054" t="n">
        <v>71.5</v>
      </c>
      <c r="AF2054" t="n">
        <v>34.5</v>
      </c>
      <c r="AG2054" t="inlineStr">
        <is>
          <t>1:34.5</t>
        </is>
      </c>
      <c r="AH2054" t="inlineStr">
        <is>
          <t>11%</t>
        </is>
      </c>
      <c r="AI2054" t="inlineStr"/>
      <c r="AJ2054" t="n">
        <v>56.81</v>
      </c>
    </row>
    <row r="2055">
      <c r="A2055" t="inlineStr">
        <is>
          <t>University of Kragujevac</t>
        </is>
      </c>
      <c r="B2055" t="inlineStr">
        <is>
          <t>Serbia</t>
        </is>
      </c>
      <c r="C2055" t="inlineStr">
        <is>
          <t>1201-1400</t>
        </is>
      </c>
      <c r="D2055" t="inlineStr"/>
      <c r="E2055" t="n">
        <v>3.9</v>
      </c>
      <c r="F2055" t="n">
        <v>3</v>
      </c>
      <c r="G2055" t="n">
        <v>8.5</v>
      </c>
      <c r="H2055" t="n">
        <v>3.7</v>
      </c>
      <c r="I2055" t="n">
        <v>1</v>
      </c>
      <c r="J2055" t="n">
        <v>1.1</v>
      </c>
      <c r="K2055" t="n">
        <v>44.1</v>
      </c>
      <c r="L2055" t="n">
        <v>9.300000000000001</v>
      </c>
      <c r="M2055" t="n">
        <v>1</v>
      </c>
      <c r="N2055" t="inlineStr">
        <is>
          <t>1001–1200</t>
        </is>
      </c>
      <c r="O2055" t="inlineStr">
        <is>
          <t>28.3–32.6</t>
        </is>
      </c>
      <c r="P2055" t="n">
        <v>23.8</v>
      </c>
      <c r="Q2055" t="n">
        <v>10.7</v>
      </c>
      <c r="R2055" t="n">
        <v>60</v>
      </c>
      <c r="S2055" t="n">
        <v>21.2</v>
      </c>
      <c r="T2055" t="n">
        <v>31.8</v>
      </c>
      <c r="U2055" t="inlineStr">
        <is>
          <t>16,543</t>
        </is>
      </c>
      <c r="V2055" t="n">
        <v>13.7</v>
      </c>
      <c r="W2055" t="inlineStr">
        <is>
          <t>1%</t>
        </is>
      </c>
      <c r="X2055" t="inlineStr">
        <is>
          <t>63 : 37</t>
        </is>
      </c>
      <c r="Y2055" t="n">
        <v>1201</v>
      </c>
      <c r="Z2055" t="n">
        <v>1001</v>
      </c>
      <c r="AA2055" t="n">
        <v>30.45</v>
      </c>
      <c r="AB2055" t="inlineStr">
        <is>
          <t>U2054</t>
        </is>
      </c>
      <c r="AC2055" t="inlineStr">
        <is>
          <t>SE</t>
        </is>
      </c>
      <c r="AD2055" t="n">
        <v>30.45</v>
      </c>
      <c r="AE2055" t="n">
        <v>3.7</v>
      </c>
      <c r="AF2055" t="n">
        <v>13.7</v>
      </c>
      <c r="AG2055" t="inlineStr">
        <is>
          <t>1:13.7</t>
        </is>
      </c>
      <c r="AH2055" t="inlineStr">
        <is>
          <t>1%</t>
        </is>
      </c>
      <c r="AI2055" t="n">
        <v>3.9</v>
      </c>
      <c r="AJ2055" t="n">
        <v>7.81</v>
      </c>
    </row>
    <row r="2056">
      <c r="A2056" t="inlineStr">
        <is>
          <t>University of Kufa</t>
        </is>
      </c>
      <c r="B2056" t="inlineStr">
        <is>
          <t>Iraq</t>
        </is>
      </c>
      <c r="C2056" t="inlineStr">
        <is>
          <t>1201-1400</t>
        </is>
      </c>
      <c r="D2056" t="inlineStr"/>
      <c r="E2056" t="n">
        <v>4.4</v>
      </c>
      <c r="F2056" t="n">
        <v>12.8</v>
      </c>
      <c r="G2056" t="n">
        <v>29</v>
      </c>
      <c r="H2056" t="n">
        <v>1.4</v>
      </c>
      <c r="I2056" t="n">
        <v>4.4</v>
      </c>
      <c r="J2056" t="n">
        <v>1.1</v>
      </c>
      <c r="K2056" t="n">
        <v>16.4</v>
      </c>
      <c r="L2056" t="n">
        <v>4.2</v>
      </c>
      <c r="M2056" t="n">
        <v>1</v>
      </c>
      <c r="N2056" t="inlineStr">
        <is>
          <t>1501+</t>
        </is>
      </c>
      <c r="O2056" t="inlineStr">
        <is>
          <t>9.7–22.7</t>
        </is>
      </c>
      <c r="P2056" t="n">
        <v>20</v>
      </c>
      <c r="Q2056" t="n">
        <v>8.699999999999999</v>
      </c>
      <c r="R2056" t="n">
        <v>18</v>
      </c>
      <c r="S2056" t="n">
        <v>16.7</v>
      </c>
      <c r="T2056" t="n">
        <v>29.5</v>
      </c>
      <c r="U2056" t="inlineStr">
        <is>
          <t>28,175</t>
        </is>
      </c>
      <c r="V2056" t="n">
        <v>12.3</v>
      </c>
      <c r="W2056" t="inlineStr">
        <is>
          <t>0%</t>
        </is>
      </c>
      <c r="X2056" t="inlineStr">
        <is>
          <t>65 : 35</t>
        </is>
      </c>
      <c r="Y2056" t="n">
        <v>1201</v>
      </c>
      <c r="Z2056" t="n">
        <v>1501</v>
      </c>
      <c r="AA2056" t="n">
        <v>16.2</v>
      </c>
      <c r="AB2056" t="inlineStr">
        <is>
          <t>U2055</t>
        </is>
      </c>
      <c r="AC2056" t="inlineStr">
        <is>
          <t>IR</t>
        </is>
      </c>
      <c r="AD2056" t="n">
        <v>16.2</v>
      </c>
      <c r="AE2056" t="n">
        <v>1.4</v>
      </c>
      <c r="AF2056" t="n">
        <v>12.3</v>
      </c>
      <c r="AG2056" t="inlineStr">
        <is>
          <t>1:12.3</t>
        </is>
      </c>
      <c r="AH2056" t="inlineStr">
        <is>
          <t>0%</t>
        </is>
      </c>
      <c r="AI2056" t="n">
        <v>4.4</v>
      </c>
      <c r="AJ2056" t="n">
        <v>5.51</v>
      </c>
    </row>
    <row r="2057">
      <c r="A2057" t="inlineStr">
        <is>
          <t>University of Kurdistan</t>
        </is>
      </c>
      <c r="B2057" t="inlineStr">
        <is>
          <t>Iran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>
        <is>
          <t>801–1000</t>
        </is>
      </c>
      <c r="O2057" t="inlineStr">
        <is>
          <t>32.7–36.9</t>
        </is>
      </c>
      <c r="P2057" t="n">
        <v>16.8</v>
      </c>
      <c r="Q2057" t="n">
        <v>14.7</v>
      </c>
      <c r="R2057" t="n">
        <v>70.8</v>
      </c>
      <c r="S2057" t="n">
        <v>19</v>
      </c>
      <c r="T2057" t="n">
        <v>35.9</v>
      </c>
      <c r="U2057" t="inlineStr">
        <is>
          <t>12,714</t>
        </is>
      </c>
      <c r="V2057" t="n">
        <v>32.2</v>
      </c>
      <c r="W2057" t="inlineStr">
        <is>
          <t>4%</t>
        </is>
      </c>
      <c r="X2057" t="inlineStr">
        <is>
          <t>54 : 46</t>
        </is>
      </c>
      <c r="Y2057" t="inlineStr"/>
      <c r="Z2057" t="n">
        <v>801</v>
      </c>
      <c r="AA2057" t="n">
        <v>34.8</v>
      </c>
      <c r="AB2057" t="inlineStr">
        <is>
          <t>U2056</t>
        </is>
      </c>
      <c r="AC2057" t="inlineStr">
        <is>
          <t>IR</t>
        </is>
      </c>
      <c r="AD2057" t="n">
        <v>34.8</v>
      </c>
      <c r="AE2057" t="n">
        <v>70.8</v>
      </c>
      <c r="AF2057" t="n">
        <v>32.2</v>
      </c>
      <c r="AG2057" t="inlineStr">
        <is>
          <t>1:32.2</t>
        </is>
      </c>
      <c r="AH2057" t="inlineStr">
        <is>
          <t>4%</t>
        </is>
      </c>
      <c r="AI2057" t="inlineStr"/>
      <c r="AJ2057" t="n">
        <v>31.23</v>
      </c>
    </row>
    <row r="2058">
      <c r="A2058" t="inlineStr">
        <is>
          <t>University of Kwazulu-Natal</t>
        </is>
      </c>
      <c r="B2058" t="inlineStr">
        <is>
          <t>South Africa</t>
        </is>
      </c>
      <c r="C2058" t="inlineStr">
        <is>
          <t>587</t>
        </is>
      </c>
      <c r="D2058" t="n">
        <v>21.1</v>
      </c>
      <c r="E2058" t="n">
        <v>12.6</v>
      </c>
      <c r="F2058" t="n">
        <v>10.2</v>
      </c>
      <c r="G2058" t="n">
        <v>5.5</v>
      </c>
      <c r="H2058" t="n">
        <v>24.5</v>
      </c>
      <c r="I2058" t="n">
        <v>24.5</v>
      </c>
      <c r="J2058" t="n">
        <v>1.6</v>
      </c>
      <c r="K2058" t="n">
        <v>93.7</v>
      </c>
      <c r="L2058" t="n">
        <v>71.2</v>
      </c>
      <c r="M2058" t="n">
        <v>37.9</v>
      </c>
      <c r="N2058" t="inlineStr">
        <is>
          <t>501–600</t>
        </is>
      </c>
      <c r="O2058" t="inlineStr">
        <is>
          <t>41.9–45.3</t>
        </is>
      </c>
      <c r="P2058" t="n">
        <v>31.5</v>
      </c>
      <c r="Q2058" t="n">
        <v>34.8</v>
      </c>
      <c r="R2058" t="n">
        <v>63.7</v>
      </c>
      <c r="S2058" t="n">
        <v>39.7</v>
      </c>
      <c r="T2058" t="n">
        <v>55.9</v>
      </c>
      <c r="U2058" t="inlineStr">
        <is>
          <t>33,039</t>
        </is>
      </c>
      <c r="V2058" t="n">
        <v>27.6</v>
      </c>
      <c r="W2058" t="inlineStr">
        <is>
          <t>2%</t>
        </is>
      </c>
      <c r="X2058" t="inlineStr">
        <is>
          <t>60 : 40</t>
        </is>
      </c>
      <c r="Y2058" t="n">
        <v>587</v>
      </c>
      <c r="Z2058" t="n">
        <v>501</v>
      </c>
      <c r="AA2058" t="n">
        <v>43.59999999999999</v>
      </c>
      <c r="AB2058" t="inlineStr">
        <is>
          <t>U2057</t>
        </is>
      </c>
      <c r="AC2058" t="inlineStr">
        <is>
          <t>SO</t>
        </is>
      </c>
      <c r="AD2058" t="n">
        <v>21.1</v>
      </c>
      <c r="AE2058" t="n">
        <v>24.5</v>
      </c>
      <c r="AF2058" t="n">
        <v>27.6</v>
      </c>
      <c r="AG2058" t="inlineStr">
        <is>
          <t>1:27.6</t>
        </is>
      </c>
      <c r="AH2058" t="inlineStr">
        <is>
          <t>2%</t>
        </is>
      </c>
      <c r="AI2058" t="n">
        <v>12.6</v>
      </c>
      <c r="AJ2058" t="n">
        <v>32.57</v>
      </c>
    </row>
    <row r="2059">
      <c r="A2059" t="inlineStr">
        <is>
          <t>University of L’Aquila</t>
        </is>
      </c>
      <c r="B2059" t="inlineStr">
        <is>
          <t>Italy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>
        <is>
          <t>501–600</t>
        </is>
      </c>
      <c r="O2059" t="inlineStr">
        <is>
          <t>41.9–45.3</t>
        </is>
      </c>
      <c r="P2059" t="n">
        <v>32.1</v>
      </c>
      <c r="Q2059" t="n">
        <v>22.8</v>
      </c>
      <c r="R2059" t="n">
        <v>73.2</v>
      </c>
      <c r="S2059" t="n">
        <v>70.90000000000001</v>
      </c>
      <c r="T2059" t="n">
        <v>36.4</v>
      </c>
      <c r="U2059" t="inlineStr">
        <is>
          <t>18,822</t>
        </is>
      </c>
      <c r="V2059" t="n">
        <v>31.7</v>
      </c>
      <c r="W2059" t="inlineStr">
        <is>
          <t>5%</t>
        </is>
      </c>
      <c r="X2059" t="inlineStr">
        <is>
          <t>55 : 45</t>
        </is>
      </c>
      <c r="Y2059" t="inlineStr"/>
      <c r="Z2059" t="n">
        <v>501</v>
      </c>
      <c r="AA2059" t="n">
        <v>43.59999999999999</v>
      </c>
      <c r="AB2059" t="inlineStr">
        <is>
          <t>U2058</t>
        </is>
      </c>
      <c r="AC2059" t="inlineStr">
        <is>
          <t>IT</t>
        </is>
      </c>
      <c r="AD2059" t="n">
        <v>43.59999999999999</v>
      </c>
      <c r="AE2059" t="n">
        <v>73.2</v>
      </c>
      <c r="AF2059" t="n">
        <v>31.7</v>
      </c>
      <c r="AG2059" t="inlineStr">
        <is>
          <t>1:31.7</t>
        </is>
      </c>
      <c r="AH2059" t="inlineStr">
        <is>
          <t>5%</t>
        </is>
      </c>
      <c r="AI2059" t="inlineStr"/>
      <c r="AJ2059" t="n">
        <v>36.33</v>
      </c>
    </row>
    <row r="2060">
      <c r="A2060" t="inlineStr">
        <is>
          <t>University of la Costa</t>
        </is>
      </c>
      <c r="B2060" t="inlineStr">
        <is>
          <t>Colombia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>
        <is>
          <t>801–1000</t>
        </is>
      </c>
      <c r="O2060" t="inlineStr">
        <is>
          <t>32.7–36.9</t>
        </is>
      </c>
      <c r="P2060" t="n">
        <v>13.2</v>
      </c>
      <c r="Q2060" t="n">
        <v>10.7</v>
      </c>
      <c r="R2060" t="n">
        <v>74.2</v>
      </c>
      <c r="S2060" t="n">
        <v>16.3</v>
      </c>
      <c r="T2060" t="n">
        <v>54.9</v>
      </c>
      <c r="U2060" t="inlineStr">
        <is>
          <t>12,000</t>
        </is>
      </c>
      <c r="V2060" t="n">
        <v>18.1</v>
      </c>
      <c r="W2060" t="inlineStr">
        <is>
          <t>1%</t>
        </is>
      </c>
      <c r="X2060" t="inlineStr">
        <is>
          <t>42 : 58</t>
        </is>
      </c>
      <c r="Y2060" t="inlineStr"/>
      <c r="Z2060" t="n">
        <v>801</v>
      </c>
      <c r="AA2060" t="n">
        <v>34.8</v>
      </c>
      <c r="AB2060" t="inlineStr">
        <is>
          <t>U2059</t>
        </is>
      </c>
      <c r="AC2060" t="inlineStr">
        <is>
          <t>CO</t>
        </is>
      </c>
      <c r="AD2060" t="n">
        <v>34.8</v>
      </c>
      <c r="AE2060" t="n">
        <v>74.2</v>
      </c>
      <c r="AF2060" t="n">
        <v>18.1</v>
      </c>
      <c r="AG2060" t="inlineStr">
        <is>
          <t>1:18.1</t>
        </is>
      </c>
      <c r="AH2060" t="inlineStr">
        <is>
          <t>1%</t>
        </is>
      </c>
      <c r="AI2060" t="inlineStr"/>
      <c r="AJ2060" t="n">
        <v>34.76</v>
      </c>
    </row>
    <row r="2061">
      <c r="A2061" t="inlineStr">
        <is>
          <t>University of La Frontera</t>
        </is>
      </c>
      <c r="B2061" t="inlineStr">
        <is>
          <t>Chile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>
        <is>
          <t>1201–1500</t>
        </is>
      </c>
      <c r="O2061" t="inlineStr">
        <is>
          <t>22.8–28.2</t>
        </is>
      </c>
      <c r="P2061" t="n">
        <v>17.6</v>
      </c>
      <c r="Q2061" t="n">
        <v>12.3</v>
      </c>
      <c r="R2061" t="n">
        <v>32.7</v>
      </c>
      <c r="S2061" t="n">
        <v>22.8</v>
      </c>
      <c r="T2061" t="n">
        <v>51.3</v>
      </c>
      <c r="U2061" t="inlineStr">
        <is>
          <t>12,157</t>
        </is>
      </c>
      <c r="V2061" t="n">
        <v>23.2</v>
      </c>
      <c r="W2061" t="inlineStr">
        <is>
          <t>1%</t>
        </is>
      </c>
      <c r="X2061" t="inlineStr">
        <is>
          <t>51 : 49</t>
        </is>
      </c>
      <c r="Y2061" t="inlineStr"/>
      <c r="Z2061" t="n">
        <v>1201</v>
      </c>
      <c r="AA2061" t="n">
        <v>25.5</v>
      </c>
      <c r="AB2061" t="inlineStr">
        <is>
          <t>U2060</t>
        </is>
      </c>
      <c r="AC2061" t="inlineStr">
        <is>
          <t>CH</t>
        </is>
      </c>
      <c r="AD2061" t="n">
        <v>25.5</v>
      </c>
      <c r="AE2061" t="n">
        <v>32.7</v>
      </c>
      <c r="AF2061" t="n">
        <v>23.2</v>
      </c>
      <c r="AG2061" t="inlineStr">
        <is>
          <t>1:23.2</t>
        </is>
      </c>
      <c r="AH2061" t="inlineStr">
        <is>
          <t>1%</t>
        </is>
      </c>
      <c r="AI2061" t="inlineStr"/>
      <c r="AJ2061" t="n">
        <v>22.15</v>
      </c>
    </row>
    <row r="2062">
      <c r="A2062" t="inlineStr">
        <is>
          <t>University of La Laguna</t>
        </is>
      </c>
      <c r="B2062" t="inlineStr">
        <is>
          <t>Spain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>
        <is>
          <t>1001–1200</t>
        </is>
      </c>
      <c r="O2062" t="inlineStr">
        <is>
          <t>28.3–32.6</t>
        </is>
      </c>
      <c r="P2062" t="n">
        <v>21.9</v>
      </c>
      <c r="Q2062" t="n">
        <v>15.8</v>
      </c>
      <c r="R2062" t="n">
        <v>54.7</v>
      </c>
      <c r="S2062" t="n">
        <v>28.7</v>
      </c>
      <c r="T2062" t="n">
        <v>50.7</v>
      </c>
      <c r="U2062" t="inlineStr">
        <is>
          <t>19,228</t>
        </is>
      </c>
      <c r="V2062" t="n">
        <v>13.3</v>
      </c>
      <c r="W2062" t="inlineStr">
        <is>
          <t>5%</t>
        </is>
      </c>
      <c r="X2062" t="inlineStr">
        <is>
          <t>58 : 42</t>
        </is>
      </c>
      <c r="Y2062" t="inlineStr"/>
      <c r="Z2062" t="n">
        <v>1001</v>
      </c>
      <c r="AA2062" t="n">
        <v>30.45</v>
      </c>
      <c r="AB2062" t="inlineStr">
        <is>
          <t>U2061</t>
        </is>
      </c>
      <c r="AC2062" t="inlineStr">
        <is>
          <t>SP</t>
        </is>
      </c>
      <c r="AD2062" t="n">
        <v>30.45</v>
      </c>
      <c r="AE2062" t="n">
        <v>54.7</v>
      </c>
      <c r="AF2062" t="n">
        <v>13.3</v>
      </c>
      <c r="AG2062" t="inlineStr">
        <is>
          <t>1:13.3</t>
        </is>
      </c>
      <c r="AH2062" t="inlineStr">
        <is>
          <t>5%</t>
        </is>
      </c>
      <c r="AI2062" t="inlineStr"/>
      <c r="AJ2062" t="n">
        <v>30.51</v>
      </c>
    </row>
    <row r="2063">
      <c r="A2063" t="inlineStr">
        <is>
          <t>University of La Sabana</t>
        </is>
      </c>
      <c r="B2063" t="inlineStr">
        <is>
          <t>Colombia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>
        <is>
          <t>1501+</t>
        </is>
      </c>
      <c r="O2063" t="inlineStr">
        <is>
          <t>9.7–22.7</t>
        </is>
      </c>
      <c r="P2063" t="n">
        <v>17.4</v>
      </c>
      <c r="Q2063" t="n">
        <v>10.9</v>
      </c>
      <c r="R2063" t="n">
        <v>19.7</v>
      </c>
      <c r="S2063" t="n">
        <v>16.6</v>
      </c>
      <c r="T2063" t="n">
        <v>44.3</v>
      </c>
      <c r="U2063" t="inlineStr">
        <is>
          <t>11,838</t>
        </is>
      </c>
      <c r="V2063" t="n">
        <v>17.1</v>
      </c>
      <c r="W2063" t="inlineStr">
        <is>
          <t>2%</t>
        </is>
      </c>
      <c r="X2063" t="inlineStr">
        <is>
          <t>56 : 44</t>
        </is>
      </c>
      <c r="Y2063" t="inlineStr"/>
      <c r="Z2063" t="n">
        <v>1501</v>
      </c>
      <c r="AA2063" t="n">
        <v>16.2</v>
      </c>
      <c r="AB2063" t="inlineStr">
        <is>
          <t>U2062</t>
        </is>
      </c>
      <c r="AC2063" t="inlineStr">
        <is>
          <t>CO</t>
        </is>
      </c>
      <c r="AD2063" t="n">
        <v>16.2</v>
      </c>
      <c r="AE2063" t="n">
        <v>19.7</v>
      </c>
      <c r="AF2063" t="n">
        <v>17.1</v>
      </c>
      <c r="AG2063" t="inlineStr">
        <is>
          <t>1:17.1</t>
        </is>
      </c>
      <c r="AH2063" t="inlineStr">
        <is>
          <t>2%</t>
        </is>
      </c>
      <c r="AI2063" t="inlineStr"/>
      <c r="AJ2063" t="n">
        <v>15.79</v>
      </c>
    </row>
    <row r="2064">
      <c r="A2064" t="inlineStr">
        <is>
          <t>University of La Serena</t>
        </is>
      </c>
      <c r="B2064" t="inlineStr">
        <is>
          <t>Chile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>
        <is>
          <t>1201–1500</t>
        </is>
      </c>
      <c r="O2064" t="inlineStr">
        <is>
          <t>22.8–28.2</t>
        </is>
      </c>
      <c r="P2064" t="n">
        <v>12.3</v>
      </c>
      <c r="Q2064" t="n">
        <v>9.9</v>
      </c>
      <c r="R2064" t="n">
        <v>49.2</v>
      </c>
      <c r="S2064" t="n">
        <v>16.4</v>
      </c>
      <c r="T2064" t="n">
        <v>50.4</v>
      </c>
      <c r="U2064" t="inlineStr">
        <is>
          <t>8,170</t>
        </is>
      </c>
      <c r="V2064" t="n">
        <v>26.4</v>
      </c>
      <c r="W2064" t="inlineStr">
        <is>
          <t>1%</t>
        </is>
      </c>
      <c r="X2064" t="inlineStr">
        <is>
          <t>51 : 49</t>
        </is>
      </c>
      <c r="Y2064" t="inlineStr"/>
      <c r="Z2064" t="n">
        <v>1201</v>
      </c>
      <c r="AA2064" t="n">
        <v>25.5</v>
      </c>
      <c r="AB2064" t="inlineStr">
        <is>
          <t>U2063</t>
        </is>
      </c>
      <c r="AC2064" t="inlineStr">
        <is>
          <t>CH</t>
        </is>
      </c>
      <c r="AD2064" t="n">
        <v>25.5</v>
      </c>
      <c r="AE2064" t="n">
        <v>49.2</v>
      </c>
      <c r="AF2064" t="n">
        <v>26.4</v>
      </c>
      <c r="AG2064" t="inlineStr">
        <is>
          <t>1:26.4</t>
        </is>
      </c>
      <c r="AH2064" t="inlineStr">
        <is>
          <t>1%</t>
        </is>
      </c>
      <c r="AI2064" t="inlineStr"/>
      <c r="AJ2064" t="n">
        <v>25.68</v>
      </c>
    </row>
    <row r="2065">
      <c r="A2065" t="inlineStr">
        <is>
          <t>University of Laghouat</t>
        </is>
      </c>
      <c r="B2065" t="inlineStr">
        <is>
          <t>Algeria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>
        <is>
          <t>1501+</t>
        </is>
      </c>
      <c r="O2065" t="inlineStr">
        <is>
          <t>9.7–22.7</t>
        </is>
      </c>
      <c r="P2065" t="n">
        <v>14</v>
      </c>
      <c r="Q2065" t="n">
        <v>8.6</v>
      </c>
      <c r="R2065" t="n">
        <v>17.2</v>
      </c>
      <c r="S2065" t="n">
        <v>15.9</v>
      </c>
      <c r="T2065" t="n">
        <v>39.7</v>
      </c>
      <c r="U2065" t="inlineStr">
        <is>
          <t>30,088</t>
        </is>
      </c>
      <c r="V2065" t="n">
        <v>29.8</v>
      </c>
      <c r="W2065" t="inlineStr">
        <is>
          <t>0%</t>
        </is>
      </c>
      <c r="X2065" t="inlineStr">
        <is>
          <t>46 : 54</t>
        </is>
      </c>
      <c r="Y2065" t="inlineStr"/>
      <c r="Z2065" t="n">
        <v>1501</v>
      </c>
      <c r="AA2065" t="n">
        <v>16.2</v>
      </c>
      <c r="AB2065" t="inlineStr">
        <is>
          <t>U2064</t>
        </is>
      </c>
      <c r="AC2065" t="inlineStr">
        <is>
          <t>AL</t>
        </is>
      </c>
      <c r="AD2065" t="n">
        <v>16.2</v>
      </c>
      <c r="AE2065" t="n">
        <v>17.2</v>
      </c>
      <c r="AF2065" t="n">
        <v>29.8</v>
      </c>
      <c r="AG2065" t="inlineStr">
        <is>
          <t>1:29.8</t>
        </is>
      </c>
      <c r="AH2065" t="inlineStr">
        <is>
          <t>0%</t>
        </is>
      </c>
      <c r="AI2065" t="inlineStr"/>
      <c r="AJ2065" t="n">
        <v>12.71</v>
      </c>
    </row>
    <row r="2066">
      <c r="A2066" t="inlineStr">
        <is>
          <t>University of Lagos</t>
        </is>
      </c>
      <c r="B2066" t="inlineStr">
        <is>
          <t>Nigeria</t>
        </is>
      </c>
      <c r="C2066" t="inlineStr">
        <is>
          <t>1001-1200</t>
        </is>
      </c>
      <c r="D2066" t="inlineStr"/>
      <c r="E2066" t="n">
        <v>8.4</v>
      </c>
      <c r="F2066" t="n">
        <v>7.5</v>
      </c>
      <c r="G2066" t="n">
        <v>2.2</v>
      </c>
      <c r="H2066" t="n">
        <v>2.6</v>
      </c>
      <c r="I2066" t="inlineStr"/>
      <c r="J2066" t="inlineStr"/>
      <c r="K2066" t="n">
        <v>34</v>
      </c>
      <c r="L2066" t="n">
        <v>87.59999999999999</v>
      </c>
      <c r="M2066" t="n">
        <v>1.3</v>
      </c>
      <c r="N2066" t="inlineStr">
        <is>
          <t>1001–1200</t>
        </is>
      </c>
      <c r="O2066" t="inlineStr">
        <is>
          <t>28.3–32.6</t>
        </is>
      </c>
      <c r="P2066" t="n">
        <v>14.6</v>
      </c>
      <c r="Q2066" t="n">
        <v>14.4</v>
      </c>
      <c r="R2066" t="n">
        <v>65.5</v>
      </c>
      <c r="S2066" t="n">
        <v>20.9</v>
      </c>
      <c r="T2066" t="n">
        <v>41.5</v>
      </c>
      <c r="U2066" t="inlineStr">
        <is>
          <t>41,048</t>
        </is>
      </c>
      <c r="V2066" t="n">
        <v>27.5</v>
      </c>
      <c r="W2066" t="inlineStr">
        <is>
          <t>0%</t>
        </is>
      </c>
      <c r="X2066" t="inlineStr">
        <is>
          <t>51 : 49</t>
        </is>
      </c>
      <c r="Y2066" t="n">
        <v>1001</v>
      </c>
      <c r="Z2066" t="n">
        <v>1001</v>
      </c>
      <c r="AA2066" t="n">
        <v>30.45</v>
      </c>
      <c r="AB2066" t="inlineStr">
        <is>
          <t>U2065</t>
        </is>
      </c>
      <c r="AC2066" t="inlineStr">
        <is>
          <t>NI</t>
        </is>
      </c>
      <c r="AD2066" t="n">
        <v>30.45</v>
      </c>
      <c r="AE2066" t="n">
        <v>2.6</v>
      </c>
      <c r="AF2066" t="n">
        <v>27.5</v>
      </c>
      <c r="AG2066" t="inlineStr">
        <is>
          <t>1:27.5</t>
        </is>
      </c>
      <c r="AH2066" t="inlineStr">
        <is>
          <t>0%</t>
        </is>
      </c>
      <c r="AI2066" t="n">
        <v>8.4</v>
      </c>
      <c r="AJ2066" t="n">
        <v>11.76</v>
      </c>
    </row>
    <row r="2067">
      <c r="A2067" t="inlineStr">
        <is>
          <t>The University of Lahore</t>
        </is>
      </c>
      <c r="B2067" t="inlineStr">
        <is>
          <t>Pakistan</t>
        </is>
      </c>
      <c r="C2067" t="inlineStr">
        <is>
          <t>951-1000</t>
        </is>
      </c>
      <c r="D2067" t="inlineStr"/>
      <c r="E2067" t="n">
        <v>11.1</v>
      </c>
      <c r="F2067" t="n">
        <v>19.4</v>
      </c>
      <c r="G2067" t="n">
        <v>12.3</v>
      </c>
      <c r="H2067" t="n">
        <v>3.3</v>
      </c>
      <c r="I2067" t="n">
        <v>4</v>
      </c>
      <c r="J2067" t="n">
        <v>3</v>
      </c>
      <c r="K2067" t="n">
        <v>61.4</v>
      </c>
      <c r="L2067" t="n">
        <v>2.7</v>
      </c>
      <c r="M2067" t="n">
        <v>19.7</v>
      </c>
      <c r="N2067" t="inlineStr">
        <is>
          <t>801–1000</t>
        </is>
      </c>
      <c r="O2067" t="inlineStr">
        <is>
          <t>32.7–36.9</t>
        </is>
      </c>
      <c r="P2067" t="n">
        <v>17.6</v>
      </c>
      <c r="Q2067" t="n">
        <v>10.2</v>
      </c>
      <c r="R2067" t="n">
        <v>68.8</v>
      </c>
      <c r="S2067" t="n">
        <v>20.3</v>
      </c>
      <c r="T2067" t="n">
        <v>52.6</v>
      </c>
      <c r="U2067" t="inlineStr">
        <is>
          <t>26,010</t>
        </is>
      </c>
      <c r="V2067" t="n">
        <v>13.5</v>
      </c>
      <c r="W2067" t="inlineStr">
        <is>
          <t>2%</t>
        </is>
      </c>
      <c r="X2067" t="inlineStr">
        <is>
          <t>38 : 62</t>
        </is>
      </c>
      <c r="Y2067" t="n">
        <v>951</v>
      </c>
      <c r="Z2067" t="n">
        <v>801</v>
      </c>
      <c r="AA2067" t="n">
        <v>34.8</v>
      </c>
      <c r="AB2067" t="inlineStr">
        <is>
          <t>U2066</t>
        </is>
      </c>
      <c r="AC2067" t="inlineStr">
        <is>
          <t>PA</t>
        </is>
      </c>
      <c r="AD2067" t="n">
        <v>34.8</v>
      </c>
      <c r="AE2067" t="n">
        <v>3.3</v>
      </c>
      <c r="AF2067" t="n">
        <v>13.5</v>
      </c>
      <c r="AG2067" t="inlineStr">
        <is>
          <t>1:13.5</t>
        </is>
      </c>
      <c r="AH2067" t="inlineStr">
        <is>
          <t>2%</t>
        </is>
      </c>
      <c r="AI2067" t="n">
        <v>11.1</v>
      </c>
      <c r="AJ2067" t="n">
        <v>12.46</v>
      </c>
    </row>
    <row r="2068">
      <c r="A2068" t="inlineStr">
        <is>
          <t>University of Lampung</t>
        </is>
      </c>
      <c r="B2068" t="inlineStr">
        <is>
          <t>Indonesia</t>
        </is>
      </c>
      <c r="C2068" t="inlineStr">
        <is>
          <t>1401+</t>
        </is>
      </c>
      <c r="D2068" t="inlineStr"/>
      <c r="E2068" t="n">
        <v>4.7</v>
      </c>
      <c r="F2068" t="n">
        <v>2.3</v>
      </c>
      <c r="G2068" t="n">
        <v>5.1</v>
      </c>
      <c r="H2068" t="n">
        <v>1.3</v>
      </c>
      <c r="I2068" t="n">
        <v>1.2</v>
      </c>
      <c r="J2068" t="n">
        <v>1</v>
      </c>
      <c r="K2068" t="n">
        <v>3.4</v>
      </c>
      <c r="L2068" t="n">
        <v>2.2</v>
      </c>
      <c r="M2068" t="n">
        <v>1</v>
      </c>
      <c r="N2068" t="inlineStr">
        <is>
          <t>1501+</t>
        </is>
      </c>
      <c r="O2068" t="inlineStr">
        <is>
          <t>9.7–22.7</t>
        </is>
      </c>
      <c r="P2068" t="n">
        <v>17.1</v>
      </c>
      <c r="Q2068" t="n">
        <v>8.1</v>
      </c>
      <c r="R2068" t="n">
        <v>26.3</v>
      </c>
      <c r="S2068" t="n">
        <v>16.8</v>
      </c>
      <c r="T2068" t="n">
        <v>18.4</v>
      </c>
      <c r="U2068" t="inlineStr">
        <is>
          <t>34,807</t>
        </is>
      </c>
      <c r="V2068" t="n">
        <v>13.1</v>
      </c>
      <c r="W2068" t="inlineStr">
        <is>
          <t>0%</t>
        </is>
      </c>
      <c r="X2068" t="inlineStr">
        <is>
          <t>60 : 40</t>
        </is>
      </c>
      <c r="Y2068" t="n">
        <v>1401</v>
      </c>
      <c r="Z2068" t="n">
        <v>1501</v>
      </c>
      <c r="AA2068" t="n">
        <v>16.2</v>
      </c>
      <c r="AB2068" t="inlineStr">
        <is>
          <t>U2067</t>
        </is>
      </c>
      <c r="AC2068" t="inlineStr">
        <is>
          <t>IN</t>
        </is>
      </c>
      <c r="AD2068" t="n">
        <v>16.2</v>
      </c>
      <c r="AE2068" t="n">
        <v>1.3</v>
      </c>
      <c r="AF2068" t="n">
        <v>13.1</v>
      </c>
      <c r="AG2068" t="inlineStr">
        <is>
          <t>1:13.1</t>
        </is>
      </c>
      <c r="AH2068" t="inlineStr">
        <is>
          <t>0%</t>
        </is>
      </c>
      <c r="AI2068" t="n">
        <v>4.7</v>
      </c>
      <c r="AJ2068" t="n">
        <v>2.48</v>
      </c>
    </row>
    <row r="2069">
      <c r="A2069" t="inlineStr">
        <is>
          <t>University of Las Palmas de Gran Canaria</t>
        </is>
      </c>
      <c r="B2069" t="inlineStr">
        <is>
          <t>Spain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>
        <is>
          <t>1001–1200</t>
        </is>
      </c>
      <c r="O2069" t="inlineStr">
        <is>
          <t>28.3–32.6</t>
        </is>
      </c>
      <c r="P2069" t="n">
        <v>19.8</v>
      </c>
      <c r="Q2069" t="n">
        <v>16.1</v>
      </c>
      <c r="R2069" t="n">
        <v>45.6</v>
      </c>
      <c r="S2069" t="n">
        <v>25.2</v>
      </c>
      <c r="T2069" t="n">
        <v>42.1</v>
      </c>
      <c r="U2069" t="inlineStr">
        <is>
          <t>15,681</t>
        </is>
      </c>
      <c r="V2069" t="n">
        <v>17</v>
      </c>
      <c r="W2069" t="inlineStr">
        <is>
          <t>6%</t>
        </is>
      </c>
      <c r="X2069" t="inlineStr">
        <is>
          <t>57 : 43</t>
        </is>
      </c>
      <c r="Y2069" t="inlineStr"/>
      <c r="Z2069" t="n">
        <v>1001</v>
      </c>
      <c r="AA2069" t="n">
        <v>30.45</v>
      </c>
      <c r="AB2069" t="inlineStr">
        <is>
          <t>U2068</t>
        </is>
      </c>
      <c r="AC2069" t="inlineStr">
        <is>
          <t>SP</t>
        </is>
      </c>
      <c r="AD2069" t="n">
        <v>30.45</v>
      </c>
      <c r="AE2069" t="n">
        <v>45.6</v>
      </c>
      <c r="AF2069" t="n">
        <v>17</v>
      </c>
      <c r="AG2069" t="inlineStr">
        <is>
          <t>1:17.0</t>
        </is>
      </c>
      <c r="AH2069" t="inlineStr">
        <is>
          <t>6%</t>
        </is>
      </c>
      <c r="AI2069" t="inlineStr"/>
      <c r="AJ2069" t="n">
        <v>25.83</v>
      </c>
    </row>
    <row r="2070">
      <c r="A2070" t="inlineStr">
        <is>
          <t>University of Latvia</t>
        </is>
      </c>
      <c r="B2070" t="inlineStr">
        <is>
          <t>Latvia</t>
        </is>
      </c>
      <c r="C2070" t="inlineStr">
        <is>
          <t>781-790</t>
        </is>
      </c>
      <c r="D2070" t="inlineStr"/>
      <c r="E2070" t="n">
        <v>11.5</v>
      </c>
      <c r="F2070" t="n">
        <v>16.7</v>
      </c>
      <c r="G2070" t="n">
        <v>5.9</v>
      </c>
      <c r="H2070" t="n">
        <v>5.3</v>
      </c>
      <c r="I2070" t="n">
        <v>12.1</v>
      </c>
      <c r="J2070" t="n">
        <v>5.1</v>
      </c>
      <c r="K2070" t="n">
        <v>71.5</v>
      </c>
      <c r="L2070" t="n">
        <v>90.40000000000001</v>
      </c>
      <c r="M2070" t="n">
        <v>9.800000000000001</v>
      </c>
      <c r="N2070" t="inlineStr">
        <is>
          <t>1001–1200</t>
        </is>
      </c>
      <c r="O2070" t="inlineStr">
        <is>
          <t>28.3–32.6</t>
        </is>
      </c>
      <c r="P2070" t="n">
        <v>18.6</v>
      </c>
      <c r="Q2070" t="n">
        <v>27.1</v>
      </c>
      <c r="R2070" t="n">
        <v>40.3</v>
      </c>
      <c r="S2070" t="n">
        <v>42.5</v>
      </c>
      <c r="T2070" t="n">
        <v>47.6</v>
      </c>
      <c r="U2070" t="inlineStr">
        <is>
          <t>12,125</t>
        </is>
      </c>
      <c r="V2070" t="n">
        <v>30.2</v>
      </c>
      <c r="W2070" t="inlineStr">
        <is>
          <t>7%</t>
        </is>
      </c>
      <c r="X2070" t="inlineStr">
        <is>
          <t>69 : 31</t>
        </is>
      </c>
      <c r="Y2070" t="n">
        <v>781</v>
      </c>
      <c r="Z2070" t="n">
        <v>1001</v>
      </c>
      <c r="AA2070" t="n">
        <v>30.45</v>
      </c>
      <c r="AB2070" t="inlineStr">
        <is>
          <t>U2069</t>
        </is>
      </c>
      <c r="AC2070" t="inlineStr">
        <is>
          <t>LA</t>
        </is>
      </c>
      <c r="AD2070" t="n">
        <v>30.45</v>
      </c>
      <c r="AE2070" t="n">
        <v>5.3</v>
      </c>
      <c r="AF2070" t="n">
        <v>30.2</v>
      </c>
      <c r="AG2070" t="inlineStr">
        <is>
          <t>1:30.2</t>
        </is>
      </c>
      <c r="AH2070" t="inlineStr">
        <is>
          <t>7%</t>
        </is>
      </c>
      <c r="AI2070" t="n">
        <v>11.5</v>
      </c>
      <c r="AJ2070" t="n">
        <v>20.71</v>
      </c>
    </row>
    <row r="2071">
      <c r="A2071" t="inlineStr">
        <is>
          <t>University of Lausanne</t>
        </is>
      </c>
      <c r="B2071" t="inlineStr">
        <is>
          <t>Switzerland</t>
        </is>
      </c>
      <c r="C2071" t="inlineStr">
        <is>
          <t>224</t>
        </is>
      </c>
      <c r="D2071" t="n">
        <v>43.6</v>
      </c>
      <c r="E2071" t="n">
        <v>28.4</v>
      </c>
      <c r="F2071" t="n">
        <v>18.8</v>
      </c>
      <c r="G2071" t="n">
        <v>36.8</v>
      </c>
      <c r="H2071" t="n">
        <v>61</v>
      </c>
      <c r="I2071" t="n">
        <v>100</v>
      </c>
      <c r="J2071" t="n">
        <v>54.2</v>
      </c>
      <c r="K2071" t="n">
        <v>79.8</v>
      </c>
      <c r="L2071" t="n">
        <v>51.8</v>
      </c>
      <c r="M2071" t="n">
        <v>51.2</v>
      </c>
      <c r="N2071">
        <f>143</f>
        <v/>
      </c>
      <c r="O2071" t="inlineStr">
        <is>
          <t>62.7</t>
        </is>
      </c>
      <c r="P2071" t="n">
        <v>41.7</v>
      </c>
      <c r="Q2071" t="n">
        <v>46.3</v>
      </c>
      <c r="R2071" t="n">
        <v>87.3</v>
      </c>
      <c r="S2071" t="n">
        <v>99.5</v>
      </c>
      <c r="T2071" t="n">
        <v>90.40000000000001</v>
      </c>
      <c r="U2071" t="inlineStr">
        <is>
          <t>14,478</t>
        </is>
      </c>
      <c r="V2071" t="n">
        <v>10.5</v>
      </c>
      <c r="W2071" t="inlineStr">
        <is>
          <t>23%</t>
        </is>
      </c>
      <c r="X2071" t="inlineStr"/>
      <c r="Y2071" t="n">
        <v>224</v>
      </c>
      <c r="Z2071" t="n">
        <v>143</v>
      </c>
      <c r="AA2071" t="n">
        <v>62.7</v>
      </c>
      <c r="AB2071" t="inlineStr">
        <is>
          <t>U2070</t>
        </is>
      </c>
      <c r="AC2071" t="inlineStr">
        <is>
          <t>SW</t>
        </is>
      </c>
      <c r="AD2071" t="n">
        <v>43.6</v>
      </c>
      <c r="AE2071" t="n">
        <v>61</v>
      </c>
      <c r="AF2071" t="n">
        <v>10.5</v>
      </c>
      <c r="AG2071" t="inlineStr">
        <is>
          <t>1:10.5</t>
        </is>
      </c>
      <c r="AH2071" t="inlineStr">
        <is>
          <t>23%</t>
        </is>
      </c>
      <c r="AI2071" t="n">
        <v>28.4</v>
      </c>
      <c r="AJ2071" t="n">
        <v>58.01</v>
      </c>
    </row>
    <row r="2072">
      <c r="A2072" t="inlineStr">
        <is>
          <t>University of León</t>
        </is>
      </c>
      <c r="B2072" t="inlineStr">
        <is>
          <t>Spain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>
        <is>
          <t>1001–1200</t>
        </is>
      </c>
      <c r="O2072" t="inlineStr">
        <is>
          <t>28.3–32.6</t>
        </is>
      </c>
      <c r="P2072" t="n">
        <v>23.2</v>
      </c>
      <c r="Q2072" t="n">
        <v>13.6</v>
      </c>
      <c r="R2072" t="n">
        <v>46.7</v>
      </c>
      <c r="S2072" t="n">
        <v>70.3</v>
      </c>
      <c r="T2072" t="n">
        <v>36.5</v>
      </c>
      <c r="U2072" t="inlineStr">
        <is>
          <t>10,410</t>
        </is>
      </c>
      <c r="V2072" t="n">
        <v>12.1</v>
      </c>
      <c r="W2072" t="inlineStr">
        <is>
          <t>4%</t>
        </is>
      </c>
      <c r="X2072" t="inlineStr">
        <is>
          <t>53 : 47</t>
        </is>
      </c>
      <c r="Y2072" t="inlineStr"/>
      <c r="Z2072" t="n">
        <v>1001</v>
      </c>
      <c r="AA2072" t="n">
        <v>30.45</v>
      </c>
      <c r="AB2072" t="inlineStr">
        <is>
          <t>U2071</t>
        </is>
      </c>
      <c r="AC2072" t="inlineStr">
        <is>
          <t>SP</t>
        </is>
      </c>
      <c r="AD2072" t="n">
        <v>30.45</v>
      </c>
      <c r="AE2072" t="n">
        <v>46.7</v>
      </c>
      <c r="AF2072" t="n">
        <v>12.1</v>
      </c>
      <c r="AG2072" t="inlineStr">
        <is>
          <t>1:12.1</t>
        </is>
      </c>
      <c r="AH2072" t="inlineStr">
        <is>
          <t>4%</t>
        </is>
      </c>
      <c r="AI2072" t="inlineStr"/>
      <c r="AJ2072" t="n">
        <v>23.5</v>
      </c>
    </row>
    <row r="2073">
      <c r="A2073" t="inlineStr">
        <is>
          <t>University of Leeds</t>
        </is>
      </c>
      <c r="B2073" t="inlineStr">
        <is>
          <t>United Kingdom</t>
        </is>
      </c>
      <c r="C2073" t="inlineStr">
        <is>
          <t>82</t>
        </is>
      </c>
      <c r="D2073" t="n">
        <v>63.8</v>
      </c>
      <c r="E2073" t="n">
        <v>70.5</v>
      </c>
      <c r="F2073" t="n">
        <v>75.90000000000001</v>
      </c>
      <c r="G2073" t="n">
        <v>36.4</v>
      </c>
      <c r="H2073" t="n">
        <v>39.8</v>
      </c>
      <c r="I2073" t="n">
        <v>82.5</v>
      </c>
      <c r="J2073" t="n">
        <v>88.5</v>
      </c>
      <c r="K2073" t="n">
        <v>98.8</v>
      </c>
      <c r="L2073" t="n">
        <v>50.9</v>
      </c>
      <c r="M2073" t="n">
        <v>71.8</v>
      </c>
      <c r="N2073" t="inlineStr">
        <is>
          <t>129</t>
        </is>
      </c>
      <c r="O2073" t="inlineStr">
        <is>
          <t>63.9</t>
        </is>
      </c>
      <c r="P2073" t="n">
        <v>46.1</v>
      </c>
      <c r="Q2073" t="n">
        <v>49.1</v>
      </c>
      <c r="R2073" t="n">
        <v>87.3</v>
      </c>
      <c r="S2073" t="n">
        <v>68.8</v>
      </c>
      <c r="T2073" t="n">
        <v>94.59999999999999</v>
      </c>
      <c r="U2073" t="inlineStr">
        <is>
          <t>33,450</t>
        </is>
      </c>
      <c r="V2073" t="n">
        <v>14.4</v>
      </c>
      <c r="W2073" t="inlineStr">
        <is>
          <t>32%</t>
        </is>
      </c>
      <c r="X2073" t="inlineStr">
        <is>
          <t>59 : 41</t>
        </is>
      </c>
      <c r="Y2073" t="n">
        <v>82</v>
      </c>
      <c r="Z2073" t="n">
        <v>129</v>
      </c>
      <c r="AA2073" t="n">
        <v>63.9</v>
      </c>
      <c r="AB2073" t="inlineStr">
        <is>
          <t>U2072</t>
        </is>
      </c>
      <c r="AC2073" t="inlineStr">
        <is>
          <t>UN</t>
        </is>
      </c>
      <c r="AD2073" t="n">
        <v>63.8</v>
      </c>
      <c r="AE2073" t="n">
        <v>39.8</v>
      </c>
      <c r="AF2073" t="n">
        <v>14.4</v>
      </c>
      <c r="AG2073" t="inlineStr">
        <is>
          <t>1:14.4</t>
        </is>
      </c>
      <c r="AH2073" t="inlineStr">
        <is>
          <t>32%</t>
        </is>
      </c>
      <c r="AI2073" t="n">
        <v>70.5</v>
      </c>
      <c r="AJ2073" t="n">
        <v>54.06</v>
      </c>
    </row>
    <row r="2074">
      <c r="A2074" t="inlineStr">
        <is>
          <t>University of Leicester</t>
        </is>
      </c>
      <c r="B2074" t="inlineStr">
        <is>
          <t>United Kingdom</t>
        </is>
      </c>
      <c r="C2074" t="inlineStr">
        <is>
          <t>285</t>
        </is>
      </c>
      <c r="D2074" t="n">
        <v>37.2</v>
      </c>
      <c r="E2074" t="n">
        <v>19.8</v>
      </c>
      <c r="F2074" t="n">
        <v>13.7</v>
      </c>
      <c r="G2074" t="n">
        <v>30.8</v>
      </c>
      <c r="H2074" t="n">
        <v>43.4</v>
      </c>
      <c r="I2074" t="n">
        <v>80</v>
      </c>
      <c r="J2074" t="n">
        <v>95.3</v>
      </c>
      <c r="K2074" t="n">
        <v>88.8</v>
      </c>
      <c r="L2074" t="n">
        <v>22.7</v>
      </c>
      <c r="M2074" t="n">
        <v>75</v>
      </c>
      <c r="N2074" t="inlineStr">
        <is>
          <t>201–250</t>
        </is>
      </c>
      <c r="O2074" t="inlineStr">
        <is>
          <t>55.9–58.6</t>
        </is>
      </c>
      <c r="P2074" t="n">
        <v>33.4</v>
      </c>
      <c r="Q2074" t="n">
        <v>34.2</v>
      </c>
      <c r="R2074" t="n">
        <v>95.5</v>
      </c>
      <c r="S2074" t="n">
        <v>67.90000000000001</v>
      </c>
      <c r="T2074" t="n">
        <v>95.09999999999999</v>
      </c>
      <c r="U2074" t="inlineStr">
        <is>
          <t>14,000</t>
        </is>
      </c>
      <c r="V2074" t="n">
        <v>13.9</v>
      </c>
      <c r="W2074" t="inlineStr">
        <is>
          <t>31%</t>
        </is>
      </c>
      <c r="X2074" t="inlineStr">
        <is>
          <t>54 : 46</t>
        </is>
      </c>
      <c r="Y2074" t="n">
        <v>285</v>
      </c>
      <c r="Z2074" t="n">
        <v>201</v>
      </c>
      <c r="AA2074" t="n">
        <v>57.25</v>
      </c>
      <c r="AB2074" t="inlineStr">
        <is>
          <t>U2073</t>
        </is>
      </c>
      <c r="AC2074" t="inlineStr">
        <is>
          <t>UN</t>
        </is>
      </c>
      <c r="AD2074" t="n">
        <v>37.2</v>
      </c>
      <c r="AE2074" t="n">
        <v>43.4</v>
      </c>
      <c r="AF2074" t="n">
        <v>13.9</v>
      </c>
      <c r="AG2074" t="inlineStr">
        <is>
          <t>1:13.9</t>
        </is>
      </c>
      <c r="AH2074" t="inlineStr">
        <is>
          <t>31%</t>
        </is>
      </c>
      <c r="AI2074" t="n">
        <v>19.8</v>
      </c>
      <c r="AJ2074" t="n">
        <v>47.47</v>
      </c>
    </row>
    <row r="2075">
      <c r="A2075" t="inlineStr">
        <is>
          <t>University of Leoben</t>
        </is>
      </c>
      <c r="B2075" t="inlineStr">
        <is>
          <t>Austria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>
        <is>
          <t>1001–1200</t>
        </is>
      </c>
      <c r="O2075" t="inlineStr">
        <is>
          <t>28.3–32.6</t>
        </is>
      </c>
      <c r="P2075" t="n">
        <v>35.2</v>
      </c>
      <c r="Q2075" t="n">
        <v>13.7</v>
      </c>
      <c r="R2075" t="n">
        <v>31.6</v>
      </c>
      <c r="S2075" t="n">
        <v>58.8</v>
      </c>
      <c r="T2075" t="n">
        <v>77.40000000000001</v>
      </c>
      <c r="U2075" t="inlineStr">
        <is>
          <t>2,496</t>
        </is>
      </c>
      <c r="V2075" t="n">
        <v>4.2</v>
      </c>
      <c r="W2075" t="inlineStr">
        <is>
          <t>17%</t>
        </is>
      </c>
      <c r="X2075" t="inlineStr">
        <is>
          <t>26 : 74</t>
        </is>
      </c>
      <c r="Y2075" t="inlineStr"/>
      <c r="Z2075" t="n">
        <v>1001</v>
      </c>
      <c r="AA2075" t="n">
        <v>30.45</v>
      </c>
      <c r="AB2075" t="inlineStr">
        <is>
          <t>U2074</t>
        </is>
      </c>
      <c r="AC2075" t="inlineStr">
        <is>
          <t>AU</t>
        </is>
      </c>
      <c r="AD2075" t="n">
        <v>30.45</v>
      </c>
      <c r="AE2075" t="n">
        <v>31.6</v>
      </c>
      <c r="AF2075" t="n">
        <v>4.2</v>
      </c>
      <c r="AG2075" t="inlineStr">
        <is>
          <t>1:4.2</t>
        </is>
      </c>
      <c r="AH2075" t="inlineStr">
        <is>
          <t>17%</t>
        </is>
      </c>
      <c r="AI2075" t="inlineStr"/>
      <c r="AJ2075" t="n">
        <v>28.87</v>
      </c>
    </row>
    <row r="2076">
      <c r="A2076" t="inlineStr">
        <is>
          <t>University of Lethbridge</t>
        </is>
      </c>
      <c r="B2076" t="inlineStr">
        <is>
          <t>Canada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>
        <is>
          <t>1201–1500</t>
        </is>
      </c>
      <c r="O2076" t="inlineStr">
        <is>
          <t>22.8–28.2</t>
        </is>
      </c>
      <c r="P2076" t="n">
        <v>20.3</v>
      </c>
      <c r="Q2076" t="n">
        <v>14.1</v>
      </c>
      <c r="R2076" t="n">
        <v>31.2</v>
      </c>
      <c r="S2076" t="n">
        <v>34.6</v>
      </c>
      <c r="T2076" t="n">
        <v>61.4</v>
      </c>
      <c r="U2076" t="inlineStr">
        <is>
          <t>7,181</t>
        </is>
      </c>
      <c r="V2076" t="n">
        <v>13.4</v>
      </c>
      <c r="W2076" t="inlineStr">
        <is>
          <t>12%</t>
        </is>
      </c>
      <c r="X2076" t="inlineStr"/>
      <c r="Y2076" t="inlineStr"/>
      <c r="Z2076" t="n">
        <v>1201</v>
      </c>
      <c r="AA2076" t="n">
        <v>25.5</v>
      </c>
      <c r="AB2076" t="inlineStr">
        <is>
          <t>U2075</t>
        </is>
      </c>
      <c r="AC2076" t="inlineStr">
        <is>
          <t>CA</t>
        </is>
      </c>
      <c r="AD2076" t="n">
        <v>25.5</v>
      </c>
      <c r="AE2076" t="n">
        <v>31.2</v>
      </c>
      <c r="AF2076" t="n">
        <v>13.4</v>
      </c>
      <c r="AG2076" t="inlineStr">
        <is>
          <t>1:13.4</t>
        </is>
      </c>
      <c r="AH2076" t="inlineStr">
        <is>
          <t>12%</t>
        </is>
      </c>
      <c r="AI2076" t="inlineStr"/>
      <c r="AJ2076" t="n">
        <v>25.09</v>
      </c>
    </row>
    <row r="2077">
      <c r="A2077" t="inlineStr">
        <is>
          <t>University of Liège</t>
        </is>
      </c>
      <c r="B2077" t="inlineStr">
        <is>
          <t>Belgium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>
        <is>
          <t>301–350</t>
        </is>
      </c>
      <c r="O2077" t="inlineStr">
        <is>
          <t>51.1–53.0</t>
        </is>
      </c>
      <c r="P2077" t="n">
        <v>33.5</v>
      </c>
      <c r="Q2077" t="n">
        <v>38.7</v>
      </c>
      <c r="R2077" t="n">
        <v>72.7</v>
      </c>
      <c r="S2077" t="n">
        <v>95.5</v>
      </c>
      <c r="T2077" t="n">
        <v>73.59999999999999</v>
      </c>
      <c r="U2077" t="inlineStr">
        <is>
          <t>23,545</t>
        </is>
      </c>
      <c r="V2077" t="n">
        <v>29.2</v>
      </c>
      <c r="W2077" t="inlineStr">
        <is>
          <t>20%</t>
        </is>
      </c>
      <c r="X2077" t="inlineStr">
        <is>
          <t>58 : 42</t>
        </is>
      </c>
      <c r="Y2077" t="inlineStr"/>
      <c r="Z2077" t="n">
        <v>301</v>
      </c>
      <c r="AA2077" t="n">
        <v>52.05</v>
      </c>
      <c r="AB2077" t="inlineStr">
        <is>
          <t>U2076</t>
        </is>
      </c>
      <c r="AC2077" t="inlineStr">
        <is>
          <t>BE</t>
        </is>
      </c>
      <c r="AD2077" t="n">
        <v>52.05</v>
      </c>
      <c r="AE2077" t="n">
        <v>72.7</v>
      </c>
      <c r="AF2077" t="n">
        <v>29.2</v>
      </c>
      <c r="AG2077" t="inlineStr">
        <is>
          <t>1:29.2</t>
        </is>
      </c>
      <c r="AH2077" t="inlineStr">
        <is>
          <t>20%</t>
        </is>
      </c>
      <c r="AI2077" t="inlineStr"/>
      <c r="AJ2077" t="n">
        <v>53.51</v>
      </c>
    </row>
    <row r="2078">
      <c r="A2078" t="inlineStr">
        <is>
          <t>University of Life Sciences in Lublin</t>
        </is>
      </c>
      <c r="B2078" t="inlineStr">
        <is>
          <t>Poland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>
        <is>
          <t>1501+</t>
        </is>
      </c>
      <c r="O2078" t="inlineStr">
        <is>
          <t>9.7–22.7</t>
        </is>
      </c>
      <c r="P2078" t="n">
        <v>20.2</v>
      </c>
      <c r="Q2078" t="n">
        <v>11.7</v>
      </c>
      <c r="R2078" t="n">
        <v>30.3</v>
      </c>
      <c r="S2078" t="n">
        <v>19.1</v>
      </c>
      <c r="T2078" t="n">
        <v>20.7</v>
      </c>
      <c r="U2078" t="inlineStr">
        <is>
          <t>7,355</t>
        </is>
      </c>
      <c r="V2078" t="n">
        <v>11.6</v>
      </c>
      <c r="W2078" t="inlineStr">
        <is>
          <t>2%</t>
        </is>
      </c>
      <c r="X2078" t="inlineStr">
        <is>
          <t>65 : 35</t>
        </is>
      </c>
      <c r="Y2078" t="inlineStr"/>
      <c r="Z2078" t="n">
        <v>1501</v>
      </c>
      <c r="AA2078" t="n">
        <v>16.2</v>
      </c>
      <c r="AB2078" t="inlineStr">
        <is>
          <t>U2077</t>
        </is>
      </c>
      <c r="AC2078" t="inlineStr">
        <is>
          <t>PO</t>
        </is>
      </c>
      <c r="AD2078" t="n">
        <v>16.2</v>
      </c>
      <c r="AE2078" t="n">
        <v>30.3</v>
      </c>
      <c r="AF2078" t="n">
        <v>11.6</v>
      </c>
      <c r="AG2078" t="inlineStr">
        <is>
          <t>1:11.6</t>
        </is>
      </c>
      <c r="AH2078" t="inlineStr">
        <is>
          <t>2%</t>
        </is>
      </c>
      <c r="AI2078" t="inlineStr"/>
      <c r="AJ2078" t="n">
        <v>13.71</v>
      </c>
    </row>
    <row r="2079">
      <c r="A2079" t="inlineStr">
        <is>
          <t>University of Lille</t>
        </is>
      </c>
      <c r="B2079" t="inlineStr">
        <is>
          <t>France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>
        <is>
          <t>601–800</t>
        </is>
      </c>
      <c r="O2079" t="inlineStr">
        <is>
          <t>37.0–41.8</t>
        </is>
      </c>
      <c r="P2079" t="n">
        <v>32.5</v>
      </c>
      <c r="Q2079" t="n">
        <v>23.2</v>
      </c>
      <c r="R2079" t="n">
        <v>58.6</v>
      </c>
      <c r="S2079" t="n">
        <v>67.2</v>
      </c>
      <c r="T2079" t="n">
        <v>68</v>
      </c>
      <c r="U2079" t="inlineStr">
        <is>
          <t>79,372</t>
        </is>
      </c>
      <c r="V2079" t="n">
        <v>31.5</v>
      </c>
      <c r="W2079" t="inlineStr">
        <is>
          <t>13%</t>
        </is>
      </c>
      <c r="X2079" t="inlineStr">
        <is>
          <t>61 : 39</t>
        </is>
      </c>
      <c r="Y2079" t="inlineStr"/>
      <c r="Z2079" t="n">
        <v>601</v>
      </c>
      <c r="AA2079" t="n">
        <v>39.4</v>
      </c>
      <c r="AB2079" t="inlineStr">
        <is>
          <t>U2078</t>
        </is>
      </c>
      <c r="AC2079" t="inlineStr">
        <is>
          <t>FR</t>
        </is>
      </c>
      <c r="AD2079" t="n">
        <v>39.4</v>
      </c>
      <c r="AE2079" t="n">
        <v>58.6</v>
      </c>
      <c r="AF2079" t="n">
        <v>31.5</v>
      </c>
      <c r="AG2079" t="inlineStr">
        <is>
          <t>1:31.5</t>
        </is>
      </c>
      <c r="AH2079" t="inlineStr">
        <is>
          <t>13%</t>
        </is>
      </c>
      <c r="AI2079" t="inlineStr"/>
      <c r="AJ2079" t="n">
        <v>39.75</v>
      </c>
    </row>
    <row r="2080">
      <c r="A2080" t="inlineStr">
        <is>
          <t>University of Limerick</t>
        </is>
      </c>
      <c r="B2080" t="inlineStr">
        <is>
          <t>Ireland</t>
        </is>
      </c>
      <c r="C2080" t="inlineStr">
        <is>
          <t>421</t>
        </is>
      </c>
      <c r="D2080" t="n">
        <v>28.3</v>
      </c>
      <c r="E2080" t="n">
        <v>18.3</v>
      </c>
      <c r="F2080" t="n">
        <v>25.5</v>
      </c>
      <c r="G2080" t="n">
        <v>15.7</v>
      </c>
      <c r="H2080" t="n">
        <v>23</v>
      </c>
      <c r="I2080" t="n">
        <v>87.09999999999999</v>
      </c>
      <c r="J2080" t="n">
        <v>30.8</v>
      </c>
      <c r="K2080" t="n">
        <v>72.5</v>
      </c>
      <c r="L2080" t="n">
        <v>8</v>
      </c>
      <c r="M2080" t="n">
        <v>76.40000000000001</v>
      </c>
      <c r="N2080" t="inlineStr">
        <is>
          <t>401–500</t>
        </is>
      </c>
      <c r="O2080" t="inlineStr">
        <is>
          <t>45.4–49.0</t>
        </is>
      </c>
      <c r="P2080" t="n">
        <v>27.1</v>
      </c>
      <c r="Q2080" t="n">
        <v>32.6</v>
      </c>
      <c r="R2080" t="n">
        <v>64.09999999999999</v>
      </c>
      <c r="S2080" t="n">
        <v>75.90000000000001</v>
      </c>
      <c r="T2080" t="n">
        <v>76.09999999999999</v>
      </c>
      <c r="U2080" t="inlineStr">
        <is>
          <t>14,640</t>
        </is>
      </c>
      <c r="V2080" t="n">
        <v>27.1</v>
      </c>
      <c r="W2080" t="inlineStr">
        <is>
          <t>15%</t>
        </is>
      </c>
      <c r="X2080" t="inlineStr">
        <is>
          <t>50 : 50</t>
        </is>
      </c>
      <c r="Y2080" t="n">
        <v>421</v>
      </c>
      <c r="Z2080" t="n">
        <v>401</v>
      </c>
      <c r="AA2080" t="n">
        <v>47.2</v>
      </c>
      <c r="AB2080" t="inlineStr">
        <is>
          <t>U2079</t>
        </is>
      </c>
      <c r="AC2080" t="inlineStr">
        <is>
          <t>IR</t>
        </is>
      </c>
      <c r="AD2080" t="n">
        <v>28.3</v>
      </c>
      <c r="AE2080" t="n">
        <v>23</v>
      </c>
      <c r="AF2080" t="n">
        <v>27.1</v>
      </c>
      <c r="AG2080" t="inlineStr">
        <is>
          <t>1:27.1</t>
        </is>
      </c>
      <c r="AH2080" t="inlineStr">
        <is>
          <t>15%</t>
        </is>
      </c>
      <c r="AI2080" t="n">
        <v>18.3</v>
      </c>
      <c r="AJ2080" t="n">
        <v>35.85</v>
      </c>
    </row>
    <row r="2081">
      <c r="A2081" t="inlineStr">
        <is>
          <t>University of Lincoln</t>
        </is>
      </c>
      <c r="B2081" t="inlineStr">
        <is>
          <t>United Kingdom</t>
        </is>
      </c>
      <c r="C2081" t="inlineStr">
        <is>
          <t>851-900</t>
        </is>
      </c>
      <c r="D2081" t="inlineStr"/>
      <c r="E2081" t="n">
        <v>5.9</v>
      </c>
      <c r="F2081" t="n">
        <v>4.7</v>
      </c>
      <c r="G2081" t="n">
        <v>7.9</v>
      </c>
      <c r="H2081" t="n">
        <v>9.9</v>
      </c>
      <c r="I2081" t="n">
        <v>74</v>
      </c>
      <c r="J2081" t="n">
        <v>47.2</v>
      </c>
      <c r="K2081" t="n">
        <v>58.5</v>
      </c>
      <c r="L2081" t="n">
        <v>4.8</v>
      </c>
      <c r="M2081" t="n">
        <v>10.1</v>
      </c>
      <c r="N2081" t="inlineStr">
        <is>
          <t>501–600</t>
        </is>
      </c>
      <c r="O2081" t="inlineStr">
        <is>
          <t>41.9–45.3</t>
        </is>
      </c>
      <c r="P2081" t="n">
        <v>19.9</v>
      </c>
      <c r="Q2081" t="n">
        <v>18.7</v>
      </c>
      <c r="R2081" t="n">
        <v>82.2</v>
      </c>
      <c r="S2081" t="n">
        <v>24.7</v>
      </c>
      <c r="T2081" t="n">
        <v>80.2</v>
      </c>
      <c r="U2081" t="inlineStr">
        <is>
          <t>15,020</t>
        </is>
      </c>
      <c r="V2081" t="n">
        <v>16.1</v>
      </c>
      <c r="W2081" t="inlineStr">
        <is>
          <t>13%</t>
        </is>
      </c>
      <c r="X2081" t="inlineStr">
        <is>
          <t>55 : 45</t>
        </is>
      </c>
      <c r="Y2081" t="n">
        <v>851</v>
      </c>
      <c r="Z2081" t="n">
        <v>501</v>
      </c>
      <c r="AA2081" t="n">
        <v>43.59999999999999</v>
      </c>
      <c r="AB2081" t="inlineStr">
        <is>
          <t>U2080</t>
        </is>
      </c>
      <c r="AC2081" t="inlineStr">
        <is>
          <t>UN</t>
        </is>
      </c>
      <c r="AD2081" t="n">
        <v>43.59999999999999</v>
      </c>
      <c r="AE2081" t="n">
        <v>9.9</v>
      </c>
      <c r="AF2081" t="n">
        <v>16.1</v>
      </c>
      <c r="AG2081" t="inlineStr">
        <is>
          <t>1:16.1</t>
        </is>
      </c>
      <c r="AH2081" t="inlineStr">
        <is>
          <t>13%</t>
        </is>
      </c>
      <c r="AI2081" t="n">
        <v>5.9</v>
      </c>
      <c r="AJ2081" t="n">
        <v>25.59</v>
      </c>
    </row>
    <row r="2082">
      <c r="A2082" t="inlineStr">
        <is>
          <t xml:space="preserve">University of Lisbon </t>
        </is>
      </c>
      <c r="B2082" t="inlineStr">
        <is>
          <t>Portugal</t>
        </is>
      </c>
      <c r="C2082" t="inlineStr">
        <is>
          <t>260</t>
        </is>
      </c>
      <c r="D2082" t="n">
        <v>39.6</v>
      </c>
      <c r="E2082" t="n">
        <v>44</v>
      </c>
      <c r="F2082" t="n">
        <v>20.7</v>
      </c>
      <c r="G2082" t="n">
        <v>10.7</v>
      </c>
      <c r="H2082" t="n">
        <v>36.5</v>
      </c>
      <c r="I2082" t="n">
        <v>9</v>
      </c>
      <c r="J2082" t="n">
        <v>39.4</v>
      </c>
      <c r="K2082" t="n">
        <v>98.2</v>
      </c>
      <c r="L2082" t="n">
        <v>94</v>
      </c>
      <c r="M2082" t="n">
        <v>70.90000000000001</v>
      </c>
      <c r="N2082" t="inlineStr">
        <is>
          <t>401–500</t>
        </is>
      </c>
      <c r="O2082" t="inlineStr">
        <is>
          <t>45.4–49.0</t>
        </is>
      </c>
      <c r="P2082" t="n">
        <v>29.6</v>
      </c>
      <c r="Q2082" t="n">
        <v>38</v>
      </c>
      <c r="R2082" t="n">
        <v>69.90000000000001</v>
      </c>
      <c r="S2082" t="n">
        <v>64.7</v>
      </c>
      <c r="T2082" t="n">
        <v>56.9</v>
      </c>
      <c r="U2082" t="inlineStr">
        <is>
          <t>49,847</t>
        </is>
      </c>
      <c r="V2082" t="n">
        <v>18</v>
      </c>
      <c r="W2082" t="inlineStr">
        <is>
          <t>16%</t>
        </is>
      </c>
      <c r="X2082" t="inlineStr">
        <is>
          <t>53 : 47</t>
        </is>
      </c>
      <c r="Y2082" t="n">
        <v>260</v>
      </c>
      <c r="Z2082" t="n">
        <v>401</v>
      </c>
      <c r="AA2082" t="n">
        <v>47.2</v>
      </c>
      <c r="AB2082" t="inlineStr">
        <is>
          <t>U2081</t>
        </is>
      </c>
      <c r="AC2082" t="inlineStr">
        <is>
          <t>PO</t>
        </is>
      </c>
      <c r="AD2082" t="n">
        <v>39.6</v>
      </c>
      <c r="AE2082" t="n">
        <v>36.5</v>
      </c>
      <c r="AF2082" t="n">
        <v>18</v>
      </c>
      <c r="AG2082" t="inlineStr">
        <is>
          <t>1:18.0</t>
        </is>
      </c>
      <c r="AH2082" t="inlineStr">
        <is>
          <t>16%</t>
        </is>
      </c>
      <c r="AI2082" t="n">
        <v>44</v>
      </c>
      <c r="AJ2082" t="n">
        <v>38.13</v>
      </c>
    </row>
    <row r="2083">
      <c r="A2083" t="inlineStr">
        <is>
          <t>University of Liverpool</t>
        </is>
      </c>
      <c r="B2083" t="inlineStr">
        <is>
          <t>United Kingdom</t>
        </is>
      </c>
      <c r="C2083" t="inlineStr">
        <is>
          <t>165</t>
        </is>
      </c>
      <c r="D2083" t="n">
        <v>50.7</v>
      </c>
      <c r="E2083" t="n">
        <v>46.1</v>
      </c>
      <c r="F2083" t="n">
        <v>39.4</v>
      </c>
      <c r="G2083" t="n">
        <v>37.8</v>
      </c>
      <c r="H2083" t="n">
        <v>36.6</v>
      </c>
      <c r="I2083" t="n">
        <v>88.3</v>
      </c>
      <c r="J2083" t="n">
        <v>85.40000000000001</v>
      </c>
      <c r="K2083" t="n">
        <v>97.2</v>
      </c>
      <c r="L2083" t="n">
        <v>36.3</v>
      </c>
      <c r="M2083" t="n">
        <v>95.59999999999999</v>
      </c>
      <c r="N2083">
        <f>168</f>
        <v/>
      </c>
      <c r="O2083" t="inlineStr">
        <is>
          <t>60.8</t>
        </is>
      </c>
      <c r="P2083" t="n">
        <v>38.4</v>
      </c>
      <c r="Q2083" t="n">
        <v>40.2</v>
      </c>
      <c r="R2083" t="n">
        <v>93.40000000000001</v>
      </c>
      <c r="S2083" t="n">
        <v>64.90000000000001</v>
      </c>
      <c r="T2083" t="n">
        <v>96.40000000000001</v>
      </c>
      <c r="U2083" t="inlineStr">
        <is>
          <t>25,955</t>
        </is>
      </c>
      <c r="V2083" t="n">
        <v>14.2</v>
      </c>
      <c r="W2083" t="inlineStr">
        <is>
          <t>32%</t>
        </is>
      </c>
      <c r="X2083" t="inlineStr">
        <is>
          <t>54 : 46</t>
        </is>
      </c>
      <c r="Y2083" t="n">
        <v>165</v>
      </c>
      <c r="Z2083" t="n">
        <v>168</v>
      </c>
      <c r="AA2083" t="n">
        <v>60.8</v>
      </c>
      <c r="AB2083" t="inlineStr">
        <is>
          <t>U2082</t>
        </is>
      </c>
      <c r="AC2083" t="inlineStr">
        <is>
          <t>UN</t>
        </is>
      </c>
      <c r="AD2083" t="n">
        <v>50.7</v>
      </c>
      <c r="AE2083" t="n">
        <v>36.6</v>
      </c>
      <c r="AF2083" t="n">
        <v>14.2</v>
      </c>
      <c r="AG2083" t="inlineStr">
        <is>
          <t>1:14.2</t>
        </is>
      </c>
      <c r="AH2083" t="inlineStr">
        <is>
          <t>32%</t>
        </is>
      </c>
      <c r="AI2083" t="n">
        <v>46.1</v>
      </c>
      <c r="AJ2083" t="n">
        <v>48.87</v>
      </c>
    </row>
    <row r="2084">
      <c r="A2084" t="inlineStr">
        <is>
          <t>University of Ljubljana</t>
        </is>
      </c>
      <c r="B2084" t="inlineStr">
        <is>
          <t>Slovenia</t>
        </is>
      </c>
      <c r="C2084" t="inlineStr">
        <is>
          <t>596</t>
        </is>
      </c>
      <c r="D2084" t="n">
        <v>20.8</v>
      </c>
      <c r="E2084" t="n">
        <v>19.9</v>
      </c>
      <c r="F2084" t="n">
        <v>9.199999999999999</v>
      </c>
      <c r="G2084" t="n">
        <v>33.3</v>
      </c>
      <c r="H2084" t="n">
        <v>5.9</v>
      </c>
      <c r="I2084" t="n">
        <v>4.2</v>
      </c>
      <c r="J2084" t="n">
        <v>9.699999999999999</v>
      </c>
      <c r="K2084" t="n">
        <v>84.8</v>
      </c>
      <c r="L2084" t="n">
        <v>97.59999999999999</v>
      </c>
      <c r="M2084" t="n">
        <v>4.9</v>
      </c>
      <c r="N2084" t="inlineStr">
        <is>
          <t>801–1000</t>
        </is>
      </c>
      <c r="O2084" t="inlineStr">
        <is>
          <t>32.7–36.9</t>
        </is>
      </c>
      <c r="P2084" t="n">
        <v>24.5</v>
      </c>
      <c r="Q2084" t="n">
        <v>20.1</v>
      </c>
      <c r="R2084" t="n">
        <v>54.6</v>
      </c>
      <c r="S2084" t="n">
        <v>69.8</v>
      </c>
      <c r="T2084" t="n">
        <v>42.4</v>
      </c>
      <c r="U2084" t="inlineStr">
        <is>
          <t>40,607</t>
        </is>
      </c>
      <c r="V2084" t="n">
        <v>13.8</v>
      </c>
      <c r="W2084" t="inlineStr">
        <is>
          <t>9%</t>
        </is>
      </c>
      <c r="X2084" t="inlineStr">
        <is>
          <t>60 : 40</t>
        </is>
      </c>
      <c r="Y2084" t="n">
        <v>596</v>
      </c>
      <c r="Z2084" t="n">
        <v>801</v>
      </c>
      <c r="AA2084" t="n">
        <v>34.8</v>
      </c>
      <c r="AB2084" t="inlineStr">
        <is>
          <t>U2083</t>
        </is>
      </c>
      <c r="AC2084" t="inlineStr">
        <is>
          <t>SL</t>
        </is>
      </c>
      <c r="AD2084" t="n">
        <v>20.8</v>
      </c>
      <c r="AE2084" t="n">
        <v>5.9</v>
      </c>
      <c r="AF2084" t="n">
        <v>13.8</v>
      </c>
      <c r="AG2084" t="inlineStr">
        <is>
          <t>1:13.8</t>
        </is>
      </c>
      <c r="AH2084" t="inlineStr">
        <is>
          <t>9%</t>
        </is>
      </c>
      <c r="AI2084" t="n">
        <v>19.9</v>
      </c>
      <c r="AJ2084" t="n">
        <v>15.97</v>
      </c>
    </row>
    <row r="2085">
      <c r="A2085" t="inlineStr">
        <is>
          <t>University of Lleida</t>
        </is>
      </c>
      <c r="B2085" t="inlineStr">
        <is>
          <t>Spain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>
        <is>
          <t>801–1000</t>
        </is>
      </c>
      <c r="O2085" t="inlineStr">
        <is>
          <t>32.7–36.9</t>
        </is>
      </c>
      <c r="P2085" t="n">
        <v>23.5</v>
      </c>
      <c r="Q2085" t="n">
        <v>20.1</v>
      </c>
      <c r="R2085" t="n">
        <v>58.2</v>
      </c>
      <c r="S2085" t="n">
        <v>57.3</v>
      </c>
      <c r="T2085" t="n">
        <v>45.4</v>
      </c>
      <c r="U2085" t="inlineStr">
        <is>
          <t>9,474</t>
        </is>
      </c>
      <c r="V2085" t="n">
        <v>16.1</v>
      </c>
      <c r="W2085" t="inlineStr">
        <is>
          <t>10%</t>
        </is>
      </c>
      <c r="X2085" t="inlineStr">
        <is>
          <t>59 : 41</t>
        </is>
      </c>
      <c r="Y2085" t="inlineStr"/>
      <c r="Z2085" t="n">
        <v>801</v>
      </c>
      <c r="AA2085" t="n">
        <v>34.8</v>
      </c>
      <c r="AB2085" t="inlineStr">
        <is>
          <t>U2084</t>
        </is>
      </c>
      <c r="AC2085" t="inlineStr">
        <is>
          <t>SP</t>
        </is>
      </c>
      <c r="AD2085" t="n">
        <v>34.8</v>
      </c>
      <c r="AE2085" t="n">
        <v>58.2</v>
      </c>
      <c r="AF2085" t="n">
        <v>16.1</v>
      </c>
      <c r="AG2085" t="inlineStr">
        <is>
          <t>1:16.1</t>
        </is>
      </c>
      <c r="AH2085" t="inlineStr">
        <is>
          <t>10%</t>
        </is>
      </c>
      <c r="AI2085" t="inlineStr"/>
      <c r="AJ2085" t="n">
        <v>32.54</v>
      </c>
    </row>
    <row r="2086">
      <c r="A2086" t="inlineStr">
        <is>
          <t>University of Lodz</t>
        </is>
      </c>
      <c r="B2086" t="inlineStr">
        <is>
          <t>Poland</t>
        </is>
      </c>
      <c r="C2086" t="inlineStr">
        <is>
          <t>901-950</t>
        </is>
      </c>
      <c r="D2086" t="inlineStr"/>
      <c r="E2086" t="n">
        <v>11.5</v>
      </c>
      <c r="F2086" t="n">
        <v>4.1</v>
      </c>
      <c r="G2086" t="n">
        <v>39.5</v>
      </c>
      <c r="H2086" t="n">
        <v>3.4</v>
      </c>
      <c r="I2086" t="n">
        <v>4</v>
      </c>
      <c r="J2086" t="n">
        <v>11.3</v>
      </c>
      <c r="K2086" t="n">
        <v>70.90000000000001</v>
      </c>
      <c r="L2086" t="n">
        <v>16.3</v>
      </c>
      <c r="M2086" t="n">
        <v>1.9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n">
        <v>901</v>
      </c>
      <c r="Z2086" t="inlineStr"/>
      <c r="AA2086" t="inlineStr"/>
      <c r="AB2086" t="inlineStr">
        <is>
          <t>U2085</t>
        </is>
      </c>
      <c r="AC2086" t="inlineStr">
        <is>
          <t>PO</t>
        </is>
      </c>
      <c r="AD2086" t="inlineStr"/>
      <c r="AE2086" t="n">
        <v>3.4</v>
      </c>
      <c r="AF2086" t="inlineStr"/>
      <c r="AG2086" t="inlineStr"/>
      <c r="AH2086" t="inlineStr"/>
      <c r="AI2086" t="n">
        <v>11.5</v>
      </c>
      <c r="AJ2086" t="n">
        <v>14.42</v>
      </c>
    </row>
    <row r="2087">
      <c r="A2087" t="inlineStr">
        <is>
          <t>University of Lorraine</t>
        </is>
      </c>
      <c r="B2087" t="inlineStr">
        <is>
          <t>France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>
        <is>
          <t>601–800</t>
        </is>
      </c>
      <c r="O2087" t="inlineStr">
        <is>
          <t>37.0–41.8</t>
        </is>
      </c>
      <c r="P2087" t="n">
        <v>27.3</v>
      </c>
      <c r="Q2087" t="n">
        <v>18.9</v>
      </c>
      <c r="R2087" t="n">
        <v>58</v>
      </c>
      <c r="S2087" t="n">
        <v>60.6</v>
      </c>
      <c r="T2087" t="n">
        <v>72.90000000000001</v>
      </c>
      <c r="U2087" t="inlineStr">
        <is>
          <t>63,803</t>
        </is>
      </c>
      <c r="V2087" t="n">
        <v>20</v>
      </c>
      <c r="W2087" t="inlineStr">
        <is>
          <t>16%</t>
        </is>
      </c>
      <c r="X2087" t="inlineStr">
        <is>
          <t>53 : 47</t>
        </is>
      </c>
      <c r="Y2087" t="inlineStr"/>
      <c r="Z2087" t="n">
        <v>601</v>
      </c>
      <c r="AA2087" t="n">
        <v>39.4</v>
      </c>
      <c r="AB2087" t="inlineStr">
        <is>
          <t>U2086</t>
        </is>
      </c>
      <c r="AC2087" t="inlineStr">
        <is>
          <t>FR</t>
        </is>
      </c>
      <c r="AD2087" t="n">
        <v>39.4</v>
      </c>
      <c r="AE2087" t="n">
        <v>58</v>
      </c>
      <c r="AF2087" t="n">
        <v>20</v>
      </c>
      <c r="AG2087" t="inlineStr">
        <is>
          <t>1:20.0</t>
        </is>
      </c>
      <c r="AH2087" t="inlineStr">
        <is>
          <t>16%</t>
        </is>
      </c>
      <c r="AI2087" t="inlineStr"/>
      <c r="AJ2087" t="n">
        <v>38.5</v>
      </c>
    </row>
    <row r="2088">
      <c r="A2088" t="inlineStr">
        <is>
          <t>University of Los Lagos</t>
        </is>
      </c>
      <c r="B2088" t="inlineStr">
        <is>
          <t>Chile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>
        <is>
          <t>1501+</t>
        </is>
      </c>
      <c r="O2088" t="inlineStr">
        <is>
          <t>9.7–22.7</t>
        </is>
      </c>
      <c r="P2088" t="n">
        <v>15.9</v>
      </c>
      <c r="Q2088" t="n">
        <v>14.1</v>
      </c>
      <c r="R2088" t="n">
        <v>25.8</v>
      </c>
      <c r="S2088" t="n">
        <v>16</v>
      </c>
      <c r="T2088" t="n">
        <v>49.5</v>
      </c>
      <c r="U2088" t="inlineStr">
        <is>
          <t>5,995</t>
        </is>
      </c>
      <c r="V2088" t="n">
        <v>17.4</v>
      </c>
      <c r="W2088" t="inlineStr">
        <is>
          <t>0%</t>
        </is>
      </c>
      <c r="X2088" t="inlineStr">
        <is>
          <t>60 : 40</t>
        </is>
      </c>
      <c r="Y2088" t="inlineStr"/>
      <c r="Z2088" t="n">
        <v>1501</v>
      </c>
      <c r="AA2088" t="n">
        <v>16.2</v>
      </c>
      <c r="AB2088" t="inlineStr">
        <is>
          <t>U2087</t>
        </is>
      </c>
      <c r="AC2088" t="inlineStr">
        <is>
          <t>CH</t>
        </is>
      </c>
      <c r="AD2088" t="n">
        <v>16.2</v>
      </c>
      <c r="AE2088" t="n">
        <v>25.8</v>
      </c>
      <c r="AF2088" t="n">
        <v>17.4</v>
      </c>
      <c r="AG2088" t="inlineStr">
        <is>
          <t>1:17.4</t>
        </is>
      </c>
      <c r="AH2088" t="inlineStr">
        <is>
          <t>0%</t>
        </is>
      </c>
      <c r="AI2088" t="inlineStr"/>
      <c r="AJ2088" t="n">
        <v>20.57</v>
      </c>
    </row>
    <row r="2089">
      <c r="A2089" t="inlineStr">
        <is>
          <t>University of Louisville</t>
        </is>
      </c>
      <c r="B2089" t="inlineStr">
        <is>
          <t>United States</t>
        </is>
      </c>
      <c r="C2089" t="inlineStr">
        <is>
          <t>1001-1200</t>
        </is>
      </c>
      <c r="D2089" t="inlineStr"/>
      <c r="E2089" t="n">
        <v>3.5</v>
      </c>
      <c r="F2089" t="n">
        <v>3.2</v>
      </c>
      <c r="G2089" t="n">
        <v>30.5</v>
      </c>
      <c r="H2089" t="n">
        <v>7.7</v>
      </c>
      <c r="I2089" t="n">
        <v>24.8</v>
      </c>
      <c r="J2089" t="n">
        <v>3.2</v>
      </c>
      <c r="K2089" t="n">
        <v>59</v>
      </c>
      <c r="L2089" t="n">
        <v>5.1</v>
      </c>
      <c r="M2089" t="n">
        <v>2.4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n">
        <v>1001</v>
      </c>
      <c r="Z2089" t="inlineStr"/>
      <c r="AA2089" t="inlineStr"/>
      <c r="AB2089" t="inlineStr">
        <is>
          <t>U2088</t>
        </is>
      </c>
      <c r="AC2089" t="inlineStr">
        <is>
          <t>UN</t>
        </is>
      </c>
      <c r="AD2089" t="inlineStr"/>
      <c r="AE2089" t="n">
        <v>7.7</v>
      </c>
      <c r="AF2089" t="inlineStr"/>
      <c r="AG2089" t="inlineStr"/>
      <c r="AH2089" t="inlineStr"/>
      <c r="AI2089" t="n">
        <v>3.5</v>
      </c>
      <c r="AJ2089" t="n">
        <v>15.72</v>
      </c>
    </row>
    <row r="2090">
      <c r="A2090" t="inlineStr">
        <is>
          <t>University of Lucknow</t>
        </is>
      </c>
      <c r="B2090" t="inlineStr">
        <is>
          <t>India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>
        <is>
          <t>1501+</t>
        </is>
      </c>
      <c r="O2090" t="inlineStr">
        <is>
          <t>9.7–22.7</t>
        </is>
      </c>
      <c r="P2090" t="n">
        <v>28.4</v>
      </c>
      <c r="Q2090" t="n">
        <v>10.3</v>
      </c>
      <c r="R2090" t="n">
        <v>26.5</v>
      </c>
      <c r="S2090" t="n">
        <v>18</v>
      </c>
      <c r="T2090" t="n">
        <v>23.1</v>
      </c>
      <c r="U2090" t="inlineStr">
        <is>
          <t>18,173</t>
        </is>
      </c>
      <c r="V2090" t="n">
        <v>29.4</v>
      </c>
      <c r="W2090" t="inlineStr">
        <is>
          <t>2%</t>
        </is>
      </c>
      <c r="X2090" t="inlineStr">
        <is>
          <t>45 : 55</t>
        </is>
      </c>
      <c r="Y2090" t="inlineStr"/>
      <c r="Z2090" t="n">
        <v>1501</v>
      </c>
      <c r="AA2090" t="n">
        <v>16.2</v>
      </c>
      <c r="AB2090" t="inlineStr">
        <is>
          <t>U2089</t>
        </is>
      </c>
      <c r="AC2090" t="inlineStr">
        <is>
          <t>IN</t>
        </is>
      </c>
      <c r="AD2090" t="n">
        <v>16.2</v>
      </c>
      <c r="AE2090" t="n">
        <v>26.5</v>
      </c>
      <c r="AF2090" t="n">
        <v>29.4</v>
      </c>
      <c r="AG2090" t="inlineStr">
        <is>
          <t>1:29.4</t>
        </is>
      </c>
      <c r="AH2090" t="inlineStr">
        <is>
          <t>2%</t>
        </is>
      </c>
      <c r="AI2090" t="inlineStr"/>
      <c r="AJ2090" t="n">
        <v>12.41</v>
      </c>
    </row>
    <row r="2091">
      <c r="A2091" t="inlineStr">
        <is>
          <t>University of Luxembourg</t>
        </is>
      </c>
      <c r="B2091" t="inlineStr">
        <is>
          <t>Luxembourg</t>
        </is>
      </c>
      <c r="C2091" t="inlineStr">
        <is>
          <t>355</t>
        </is>
      </c>
      <c r="D2091" t="n">
        <v>32.1</v>
      </c>
      <c r="E2091" t="n">
        <v>9.199999999999999</v>
      </c>
      <c r="F2091" t="n">
        <v>4.5</v>
      </c>
      <c r="G2091" t="n">
        <v>80.8</v>
      </c>
      <c r="H2091" t="n">
        <v>25.2</v>
      </c>
      <c r="I2091" t="n">
        <v>100</v>
      </c>
      <c r="J2091" t="n">
        <v>100</v>
      </c>
      <c r="K2091" t="n">
        <v>70.09999999999999</v>
      </c>
      <c r="L2091" t="n">
        <v>52.8</v>
      </c>
      <c r="M2091" t="n">
        <v>3.1</v>
      </c>
      <c r="N2091" t="inlineStr">
        <is>
          <t>201–250</t>
        </is>
      </c>
      <c r="O2091" t="inlineStr">
        <is>
          <t>55.9–58.6</t>
        </is>
      </c>
      <c r="P2091" t="n">
        <v>39.6</v>
      </c>
      <c r="Q2091" t="n">
        <v>39.4</v>
      </c>
      <c r="R2091" t="n">
        <v>78.09999999999999</v>
      </c>
      <c r="S2091" t="n">
        <v>63</v>
      </c>
      <c r="T2091" t="n">
        <v>93.2</v>
      </c>
      <c r="U2091" t="inlineStr">
        <is>
          <t>5,599</t>
        </is>
      </c>
      <c r="V2091" t="n">
        <v>21.3</v>
      </c>
      <c r="W2091" t="inlineStr">
        <is>
          <t>49%</t>
        </is>
      </c>
      <c r="X2091" t="inlineStr">
        <is>
          <t>53 : 47</t>
        </is>
      </c>
      <c r="Y2091" t="n">
        <v>355</v>
      </c>
      <c r="Z2091" t="n">
        <v>201</v>
      </c>
      <c r="AA2091" t="n">
        <v>57.25</v>
      </c>
      <c r="AB2091" t="inlineStr">
        <is>
          <t>U2090</t>
        </is>
      </c>
      <c r="AC2091" t="inlineStr">
        <is>
          <t>LU</t>
        </is>
      </c>
      <c r="AD2091" t="n">
        <v>32.1</v>
      </c>
      <c r="AE2091" t="n">
        <v>25.2</v>
      </c>
      <c r="AF2091" t="n">
        <v>21.3</v>
      </c>
      <c r="AG2091" t="inlineStr">
        <is>
          <t>1:21.3</t>
        </is>
      </c>
      <c r="AH2091" t="inlineStr">
        <is>
          <t>49%</t>
        </is>
      </c>
      <c r="AI2091" t="n">
        <v>9.199999999999999</v>
      </c>
      <c r="AJ2091" t="n">
        <v>44.22</v>
      </c>
    </row>
    <row r="2092">
      <c r="A2092" t="inlineStr">
        <is>
          <t>University of Münster</t>
        </is>
      </c>
      <c r="B2092" t="inlineStr">
        <is>
          <t>Germany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>
        <f>193</f>
        <v/>
      </c>
      <c r="O2092" t="inlineStr">
        <is>
          <t>59.0</t>
        </is>
      </c>
      <c r="P2092" t="n">
        <v>43.8</v>
      </c>
      <c r="Q2092" t="n">
        <v>47.3</v>
      </c>
      <c r="R2092" t="n">
        <v>83.7</v>
      </c>
      <c r="S2092" t="n">
        <v>81.5</v>
      </c>
      <c r="T2092" t="n">
        <v>53.5</v>
      </c>
      <c r="U2092" t="inlineStr">
        <is>
          <t>27,529</t>
        </is>
      </c>
      <c r="V2092" t="n">
        <v>25.1</v>
      </c>
      <c r="W2092" t="inlineStr">
        <is>
          <t>5%</t>
        </is>
      </c>
      <c r="X2092" t="inlineStr"/>
      <c r="Y2092" t="inlineStr"/>
      <c r="Z2092" t="n">
        <v>193</v>
      </c>
      <c r="AA2092" t="n">
        <v>59</v>
      </c>
      <c r="AB2092" t="inlineStr">
        <is>
          <t>U2091</t>
        </is>
      </c>
      <c r="AC2092" t="inlineStr">
        <is>
          <t>GE</t>
        </is>
      </c>
      <c r="AD2092" t="n">
        <v>59</v>
      </c>
      <c r="AE2092" t="n">
        <v>83.7</v>
      </c>
      <c r="AF2092" t="n">
        <v>25.1</v>
      </c>
      <c r="AG2092" t="inlineStr">
        <is>
          <t>1:25.1</t>
        </is>
      </c>
      <c r="AH2092" t="inlineStr">
        <is>
          <t>5%</t>
        </is>
      </c>
      <c r="AI2092" t="inlineStr"/>
      <c r="AJ2092" t="n">
        <v>56.48</v>
      </c>
    </row>
    <row r="2093">
      <c r="A2093" t="inlineStr">
        <is>
          <t>University of Macau</t>
        </is>
      </c>
      <c r="B2093" t="inlineStr">
        <is>
          <t>Macao</t>
        </is>
      </c>
      <c r="C2093" t="inlineStr">
        <is>
          <t>245</t>
        </is>
      </c>
      <c r="D2093" t="n">
        <v>41.1</v>
      </c>
      <c r="E2093" t="n">
        <v>11.9</v>
      </c>
      <c r="F2093" t="n">
        <v>10.5</v>
      </c>
      <c r="G2093" t="n">
        <v>9.800000000000001</v>
      </c>
      <c r="H2093" t="n">
        <v>99.09999999999999</v>
      </c>
      <c r="I2093" t="n">
        <v>100</v>
      </c>
      <c r="J2093" t="n">
        <v>99.90000000000001</v>
      </c>
      <c r="K2093" t="n">
        <v>57</v>
      </c>
      <c r="L2093" t="n">
        <v>50.3</v>
      </c>
      <c r="M2093" t="n">
        <v>7.7</v>
      </c>
      <c r="N2093">
        <f>193</f>
        <v/>
      </c>
      <c r="O2093" t="inlineStr">
        <is>
          <t>59.0</t>
        </is>
      </c>
      <c r="P2093" t="n">
        <v>38.4</v>
      </c>
      <c r="Q2093" t="n">
        <v>38.1</v>
      </c>
      <c r="R2093" t="n">
        <v>90.3</v>
      </c>
      <c r="S2093" t="n">
        <v>61.9</v>
      </c>
      <c r="T2093" t="n">
        <v>93.7</v>
      </c>
      <c r="U2093" t="inlineStr">
        <is>
          <t>10,908</t>
        </is>
      </c>
      <c r="V2093" t="n">
        <v>18.6</v>
      </c>
      <c r="W2093" t="inlineStr">
        <is>
          <t>41%</t>
        </is>
      </c>
      <c r="X2093" t="inlineStr">
        <is>
          <t>54 : 46</t>
        </is>
      </c>
      <c r="Y2093" t="n">
        <v>245</v>
      </c>
      <c r="Z2093" t="n">
        <v>193</v>
      </c>
      <c r="AA2093" t="n">
        <v>59</v>
      </c>
      <c r="AB2093" t="inlineStr">
        <is>
          <t>U2092</t>
        </is>
      </c>
      <c r="AC2093" t="inlineStr">
        <is>
          <t>MA</t>
        </is>
      </c>
      <c r="AD2093" t="n">
        <v>41.1</v>
      </c>
      <c r="AE2093" t="n">
        <v>99.09999999999999</v>
      </c>
      <c r="AF2093" t="n">
        <v>18.6</v>
      </c>
      <c r="AG2093" t="inlineStr">
        <is>
          <t>1:18.6</t>
        </is>
      </c>
      <c r="AH2093" t="inlineStr">
        <is>
          <t>41%</t>
        </is>
      </c>
      <c r="AI2093" t="n">
        <v>11.9</v>
      </c>
      <c r="AJ2093" t="n">
        <v>66.05</v>
      </c>
    </row>
    <row r="2094">
      <c r="A2094" t="inlineStr">
        <is>
          <t>University of Macerata (UNIMC)</t>
        </is>
      </c>
      <c r="B2094" t="inlineStr">
        <is>
          <t>Italy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>
        <is>
          <t>1501+</t>
        </is>
      </c>
      <c r="O2094" t="inlineStr">
        <is>
          <t>9.7–22.7</t>
        </is>
      </c>
      <c r="P2094" t="n">
        <v>16.2</v>
      </c>
      <c r="Q2094" t="n">
        <v>18.1</v>
      </c>
      <c r="R2094" t="n">
        <v>24.6</v>
      </c>
      <c r="S2094" t="n">
        <v>15.6</v>
      </c>
      <c r="T2094" t="n">
        <v>37.3</v>
      </c>
      <c r="U2094" t="inlineStr">
        <is>
          <t>12,042</t>
        </is>
      </c>
      <c r="V2094" t="n">
        <v>27</v>
      </c>
      <c r="W2094" t="inlineStr">
        <is>
          <t>4%</t>
        </is>
      </c>
      <c r="X2094" t="inlineStr">
        <is>
          <t>75 : 25</t>
        </is>
      </c>
      <c r="Y2094" t="inlineStr"/>
      <c r="Z2094" t="n">
        <v>1501</v>
      </c>
      <c r="AA2094" t="n">
        <v>16.2</v>
      </c>
      <c r="AB2094" t="inlineStr">
        <is>
          <t>U2093</t>
        </is>
      </c>
      <c r="AC2094" t="inlineStr">
        <is>
          <t>IT</t>
        </is>
      </c>
      <c r="AD2094" t="n">
        <v>16.2</v>
      </c>
      <c r="AE2094" t="n">
        <v>24.6</v>
      </c>
      <c r="AF2094" t="n">
        <v>27</v>
      </c>
      <c r="AG2094" t="inlineStr">
        <is>
          <t>1:27.0</t>
        </is>
      </c>
      <c r="AH2094" t="inlineStr">
        <is>
          <t>4%</t>
        </is>
      </c>
      <c r="AI2094" t="inlineStr"/>
      <c r="AJ2094" t="n">
        <v>19.35</v>
      </c>
    </row>
    <row r="2095">
      <c r="A2095" t="inlineStr">
        <is>
          <t>University of Malaga</t>
        </is>
      </c>
      <c r="B2095" t="inlineStr">
        <is>
          <t>Spain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>
        <is>
          <t>1001–1200</t>
        </is>
      </c>
      <c r="O2095" t="inlineStr">
        <is>
          <t>28.3–32.6</t>
        </is>
      </c>
      <c r="P2095" t="n">
        <v>21.5</v>
      </c>
      <c r="Q2095" t="n">
        <v>16</v>
      </c>
      <c r="R2095" t="n">
        <v>43.2</v>
      </c>
      <c r="S2095" t="n">
        <v>51.5</v>
      </c>
      <c r="T2095" t="n">
        <v>42.2</v>
      </c>
      <c r="U2095" t="inlineStr">
        <is>
          <t>35,595</t>
        </is>
      </c>
      <c r="V2095" t="n">
        <v>13.3</v>
      </c>
      <c r="W2095" t="inlineStr">
        <is>
          <t>6%</t>
        </is>
      </c>
      <c r="X2095" t="inlineStr">
        <is>
          <t>54 : 46</t>
        </is>
      </c>
      <c r="Y2095" t="inlineStr"/>
      <c r="Z2095" t="n">
        <v>1001</v>
      </c>
      <c r="AA2095" t="n">
        <v>30.45</v>
      </c>
      <c r="AB2095" t="inlineStr">
        <is>
          <t>U2094</t>
        </is>
      </c>
      <c r="AC2095" t="inlineStr">
        <is>
          <t>SP</t>
        </is>
      </c>
      <c r="AD2095" t="n">
        <v>30.45</v>
      </c>
      <c r="AE2095" t="n">
        <v>43.2</v>
      </c>
      <c r="AF2095" t="n">
        <v>13.3</v>
      </c>
      <c r="AG2095" t="inlineStr">
        <is>
          <t>1:13.3</t>
        </is>
      </c>
      <c r="AH2095" t="inlineStr">
        <is>
          <t>6%</t>
        </is>
      </c>
      <c r="AI2095" t="inlineStr"/>
      <c r="AJ2095" t="n">
        <v>25.07</v>
      </c>
    </row>
    <row r="2096">
      <c r="A2096" t="inlineStr">
        <is>
          <t>University of Malakand</t>
        </is>
      </c>
      <c r="B2096" t="inlineStr">
        <is>
          <t>Pakistan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>
        <is>
          <t>801–1000</t>
        </is>
      </c>
      <c r="O2096" t="inlineStr">
        <is>
          <t>32.7–36.9</t>
        </is>
      </c>
      <c r="P2096" t="n">
        <v>16.8</v>
      </c>
      <c r="Q2096" t="n">
        <v>14</v>
      </c>
      <c r="R2096" t="n">
        <v>74.09999999999999</v>
      </c>
      <c r="S2096" t="n">
        <v>26.7</v>
      </c>
      <c r="T2096" t="n">
        <v>49.2</v>
      </c>
      <c r="U2096" t="inlineStr">
        <is>
          <t>8,339</t>
        </is>
      </c>
      <c r="V2096" t="n">
        <v>32.1</v>
      </c>
      <c r="W2096" t="inlineStr">
        <is>
          <t>1%</t>
        </is>
      </c>
      <c r="X2096" t="inlineStr">
        <is>
          <t>26 : 74</t>
        </is>
      </c>
      <c r="Y2096" t="inlineStr"/>
      <c r="Z2096" t="n">
        <v>801</v>
      </c>
      <c r="AA2096" t="n">
        <v>34.8</v>
      </c>
      <c r="AB2096" t="inlineStr">
        <is>
          <t>U2095</t>
        </is>
      </c>
      <c r="AC2096" t="inlineStr">
        <is>
          <t>PA</t>
        </is>
      </c>
      <c r="AD2096" t="n">
        <v>34.8</v>
      </c>
      <c r="AE2096" t="n">
        <v>74.09999999999999</v>
      </c>
      <c r="AF2096" t="n">
        <v>32.1</v>
      </c>
      <c r="AG2096" t="inlineStr">
        <is>
          <t>1:32.1</t>
        </is>
      </c>
      <c r="AH2096" t="inlineStr">
        <is>
          <t>1%</t>
        </is>
      </c>
      <c r="AI2096" t="inlineStr"/>
      <c r="AJ2096" t="n">
        <v>35.08</v>
      </c>
    </row>
    <row r="2097">
      <c r="A2097" t="inlineStr">
        <is>
          <t>University of Malaya</t>
        </is>
      </c>
      <c r="B2097" t="inlineStr">
        <is>
          <t>Malaysia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>
        <is>
          <t>251–300</t>
        </is>
      </c>
      <c r="O2097" t="inlineStr">
        <is>
          <t>53.1–55.8</t>
        </is>
      </c>
      <c r="P2097" t="n">
        <v>43.4</v>
      </c>
      <c r="Q2097" t="n">
        <v>35.4</v>
      </c>
      <c r="R2097" t="n">
        <v>72.59999999999999</v>
      </c>
      <c r="S2097" t="n">
        <v>52.5</v>
      </c>
      <c r="T2097" t="n">
        <v>84.7</v>
      </c>
      <c r="U2097" t="inlineStr">
        <is>
          <t>19,346</t>
        </is>
      </c>
      <c r="V2097" t="n">
        <v>10.2</v>
      </c>
      <c r="W2097" t="inlineStr">
        <is>
          <t>22%</t>
        </is>
      </c>
      <c r="X2097" t="inlineStr">
        <is>
          <t>55 : 45</t>
        </is>
      </c>
      <c r="Y2097" t="inlineStr"/>
      <c r="Z2097" t="n">
        <v>251</v>
      </c>
      <c r="AA2097" t="n">
        <v>54.45</v>
      </c>
      <c r="AB2097" t="inlineStr">
        <is>
          <t>U2096</t>
        </is>
      </c>
      <c r="AC2097" t="inlineStr">
        <is>
          <t>MA</t>
        </is>
      </c>
      <c r="AD2097" t="n">
        <v>54.45</v>
      </c>
      <c r="AE2097" t="n">
        <v>72.59999999999999</v>
      </c>
      <c r="AF2097" t="n">
        <v>10.2</v>
      </c>
      <c r="AG2097" t="inlineStr">
        <is>
          <t>1:10.2</t>
        </is>
      </c>
      <c r="AH2097" t="inlineStr">
        <is>
          <t>22%</t>
        </is>
      </c>
      <c r="AI2097" t="inlineStr"/>
      <c r="AJ2097" t="n">
        <v>54.43</v>
      </c>
    </row>
    <row r="2098">
      <c r="A2098" t="inlineStr">
        <is>
          <t>University of Malta</t>
        </is>
      </c>
      <c r="B2098" t="inlineStr">
        <is>
          <t>Malta</t>
        </is>
      </c>
      <c r="C2098" t="inlineStr">
        <is>
          <t>751-760</t>
        </is>
      </c>
      <c r="D2098" t="inlineStr"/>
      <c r="E2098" t="n">
        <v>6.1</v>
      </c>
      <c r="F2098" t="n">
        <v>4.6</v>
      </c>
      <c r="G2098" t="n">
        <v>31.7</v>
      </c>
      <c r="H2098" t="n">
        <v>7.2</v>
      </c>
      <c r="I2098" t="n">
        <v>18</v>
      </c>
      <c r="J2098" t="n">
        <v>19.2</v>
      </c>
      <c r="K2098" t="n">
        <v>75.90000000000001</v>
      </c>
      <c r="L2098" t="n">
        <v>95.90000000000001</v>
      </c>
      <c r="M2098" t="n">
        <v>1.9</v>
      </c>
      <c r="N2098" t="inlineStr">
        <is>
          <t>801–1000</t>
        </is>
      </c>
      <c r="O2098" t="inlineStr">
        <is>
          <t>32.7–36.9</t>
        </is>
      </c>
      <c r="P2098" t="n">
        <v>23.4</v>
      </c>
      <c r="Q2098" t="n">
        <v>16.2</v>
      </c>
      <c r="R2098" t="n">
        <v>60.6</v>
      </c>
      <c r="S2098" t="n">
        <v>20.5</v>
      </c>
      <c r="T2098" t="n">
        <v>53.8</v>
      </c>
      <c r="U2098" t="inlineStr">
        <is>
          <t>10,056</t>
        </is>
      </c>
      <c r="V2098" t="n">
        <v>12.3</v>
      </c>
      <c r="W2098" t="inlineStr">
        <is>
          <t>14%</t>
        </is>
      </c>
      <c r="X2098" t="inlineStr">
        <is>
          <t>59 : 41</t>
        </is>
      </c>
      <c r="Y2098" t="n">
        <v>751</v>
      </c>
      <c r="Z2098" t="n">
        <v>801</v>
      </c>
      <c r="AA2098" t="n">
        <v>34.8</v>
      </c>
      <c r="AB2098" t="inlineStr">
        <is>
          <t>U2097</t>
        </is>
      </c>
      <c r="AC2098" t="inlineStr">
        <is>
          <t>MA</t>
        </is>
      </c>
      <c r="AD2098" t="n">
        <v>34.8</v>
      </c>
      <c r="AE2098" t="n">
        <v>7.2</v>
      </c>
      <c r="AF2098" t="n">
        <v>12.3</v>
      </c>
      <c r="AG2098" t="inlineStr">
        <is>
          <t>1:12.3</t>
        </is>
      </c>
      <c r="AH2098" t="inlineStr">
        <is>
          <t>14%</t>
        </is>
      </c>
      <c r="AI2098" t="n">
        <v>6.1</v>
      </c>
      <c r="AJ2098" t="n">
        <v>17.08</v>
      </c>
    </row>
    <row r="2099">
      <c r="A2099" t="inlineStr">
        <is>
          <t>University of Management and Technology</t>
        </is>
      </c>
      <c r="B2099" t="inlineStr">
        <is>
          <t>Pakistan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>
        <is>
          <t>801–1000</t>
        </is>
      </c>
      <c r="O2099" t="inlineStr">
        <is>
          <t>32.7–36.9</t>
        </is>
      </c>
      <c r="P2099" t="n">
        <v>13.8</v>
      </c>
      <c r="Q2099" t="n">
        <v>10.4</v>
      </c>
      <c r="R2099" t="n">
        <v>80.40000000000001</v>
      </c>
      <c r="S2099" t="n">
        <v>19.1</v>
      </c>
      <c r="T2099" t="n">
        <v>51.3</v>
      </c>
      <c r="U2099" t="inlineStr">
        <is>
          <t>23,418</t>
        </is>
      </c>
      <c r="V2099" t="n">
        <v>22.4</v>
      </c>
      <c r="W2099" t="inlineStr">
        <is>
          <t>2%</t>
        </is>
      </c>
      <c r="X2099" t="inlineStr">
        <is>
          <t>50 : 50</t>
        </is>
      </c>
      <c r="Y2099" t="inlineStr"/>
      <c r="Z2099" t="n">
        <v>801</v>
      </c>
      <c r="AA2099" t="n">
        <v>34.8</v>
      </c>
      <c r="AB2099" t="inlineStr">
        <is>
          <t>U2098</t>
        </is>
      </c>
      <c r="AC2099" t="inlineStr">
        <is>
          <t>PA</t>
        </is>
      </c>
      <c r="AD2099" t="n">
        <v>34.8</v>
      </c>
      <c r="AE2099" t="n">
        <v>80.40000000000001</v>
      </c>
      <c r="AF2099" t="n">
        <v>22.4</v>
      </c>
      <c r="AG2099" t="inlineStr">
        <is>
          <t>1:22.4</t>
        </is>
      </c>
      <c r="AH2099" t="inlineStr">
        <is>
          <t>2%</t>
        </is>
      </c>
      <c r="AI2099" t="inlineStr"/>
      <c r="AJ2099" t="n">
        <v>35.61</v>
      </c>
    </row>
    <row r="2100">
      <c r="A2100" t="inlineStr">
        <is>
          <t>The University of Manchester</t>
        </is>
      </c>
      <c r="B2100" t="inlineStr">
        <is>
          <t>United Kingdom</t>
        </is>
      </c>
      <c r="C2100" t="inlineStr">
        <is>
          <t>34</t>
        </is>
      </c>
      <c r="D2100" t="n">
        <v>82</v>
      </c>
      <c r="E2100" t="n">
        <v>95.59999999999999</v>
      </c>
      <c r="F2100" t="n">
        <v>98.09999999999999</v>
      </c>
      <c r="G2100" t="n">
        <v>51.3</v>
      </c>
      <c r="H2100" t="n">
        <v>45.1</v>
      </c>
      <c r="I2100" t="n">
        <v>93.09999999999999</v>
      </c>
      <c r="J2100" t="n">
        <v>99.2</v>
      </c>
      <c r="K2100" t="n">
        <v>99.2</v>
      </c>
      <c r="L2100" t="n">
        <v>87.59999999999999</v>
      </c>
      <c r="M2100" t="n">
        <v>99.8</v>
      </c>
      <c r="N2100" t="inlineStr">
        <is>
          <t>51</t>
        </is>
      </c>
      <c r="O2100" t="inlineStr">
        <is>
          <t>75.6</t>
        </is>
      </c>
      <c r="P2100" t="n">
        <v>61.4</v>
      </c>
      <c r="Q2100" t="n">
        <v>67.09999999999999</v>
      </c>
      <c r="R2100" t="n">
        <v>93.09999999999999</v>
      </c>
      <c r="S2100" t="n">
        <v>73.09999999999999</v>
      </c>
      <c r="T2100" t="n">
        <v>95.59999999999999</v>
      </c>
      <c r="U2100" t="inlineStr">
        <is>
          <t>40,725</t>
        </is>
      </c>
      <c r="V2100" t="n">
        <v>15.6</v>
      </c>
      <c r="W2100" t="inlineStr">
        <is>
          <t>45%</t>
        </is>
      </c>
      <c r="X2100" t="inlineStr">
        <is>
          <t>56 : 44</t>
        </is>
      </c>
      <c r="Y2100" t="n">
        <v>34</v>
      </c>
      <c r="Z2100" t="n">
        <v>51</v>
      </c>
      <c r="AA2100" t="n">
        <v>75.59999999999999</v>
      </c>
      <c r="AB2100" t="inlineStr">
        <is>
          <t>U2099</t>
        </is>
      </c>
      <c r="AC2100" t="inlineStr">
        <is>
          <t>UN</t>
        </is>
      </c>
      <c r="AD2100" t="n">
        <v>82</v>
      </c>
      <c r="AE2100" t="n">
        <v>45.1</v>
      </c>
      <c r="AF2100" t="n">
        <v>15.6</v>
      </c>
      <c r="AG2100" t="inlineStr">
        <is>
          <t>1:15.6</t>
        </is>
      </c>
      <c r="AH2100" t="inlineStr">
        <is>
          <t>45%</t>
        </is>
      </c>
      <c r="AI2100" t="n">
        <v>95.59999999999999</v>
      </c>
      <c r="AJ2100" t="n">
        <v>65.34999999999999</v>
      </c>
    </row>
    <row r="2101">
      <c r="A2101" t="inlineStr">
        <is>
          <t>University of Manitoba</t>
        </is>
      </c>
      <c r="B2101" t="inlineStr">
        <is>
          <t>Canada</t>
        </is>
      </c>
      <c r="C2101" t="inlineStr">
        <is>
          <t>661-670</t>
        </is>
      </c>
      <c r="D2101" t="inlineStr"/>
      <c r="E2101" t="n">
        <v>13.6</v>
      </c>
      <c r="F2101" t="n">
        <v>15.9</v>
      </c>
      <c r="G2101" t="n">
        <v>29.6</v>
      </c>
      <c r="H2101" t="n">
        <v>12</v>
      </c>
      <c r="I2101" t="inlineStr"/>
      <c r="J2101" t="n">
        <v>43.2</v>
      </c>
      <c r="K2101" t="n">
        <v>73.09999999999999</v>
      </c>
      <c r="L2101" t="n">
        <v>32.8</v>
      </c>
      <c r="M2101" t="n">
        <v>16.3</v>
      </c>
      <c r="N2101" t="inlineStr">
        <is>
          <t>351–400</t>
        </is>
      </c>
      <c r="O2101" t="inlineStr">
        <is>
          <t>49.1–51.0</t>
        </is>
      </c>
      <c r="P2101" t="n">
        <v>31.8</v>
      </c>
      <c r="Q2101" t="n">
        <v>34.7</v>
      </c>
      <c r="R2101" t="n">
        <v>76.3</v>
      </c>
      <c r="S2101" t="n">
        <v>62.3</v>
      </c>
      <c r="T2101" t="n">
        <v>59.1</v>
      </c>
      <c r="U2101" t="inlineStr">
        <is>
          <t>30,316</t>
        </is>
      </c>
      <c r="V2101" t="n">
        <v>30</v>
      </c>
      <c r="W2101" t="inlineStr">
        <is>
          <t>21%</t>
        </is>
      </c>
      <c r="X2101" t="inlineStr">
        <is>
          <t>54 : 46</t>
        </is>
      </c>
      <c r="Y2101" t="n">
        <v>661</v>
      </c>
      <c r="Z2101" t="n">
        <v>351</v>
      </c>
      <c r="AA2101" t="n">
        <v>50.05</v>
      </c>
      <c r="AB2101" t="inlineStr">
        <is>
          <t>U2100</t>
        </is>
      </c>
      <c r="AC2101" t="inlineStr">
        <is>
          <t>CA</t>
        </is>
      </c>
      <c r="AD2101" t="n">
        <v>50.05</v>
      </c>
      <c r="AE2101" t="n">
        <v>12</v>
      </c>
      <c r="AF2101" t="n">
        <v>30</v>
      </c>
      <c r="AG2101" t="inlineStr">
        <is>
          <t>1:30.0</t>
        </is>
      </c>
      <c r="AH2101" t="inlineStr">
        <is>
          <t>21%</t>
        </is>
      </c>
      <c r="AI2101" t="n">
        <v>13.6</v>
      </c>
      <c r="AJ2101" t="n">
        <v>29.51</v>
      </c>
    </row>
    <row r="2102">
      <c r="A2102" t="inlineStr">
        <is>
          <t>University of Mannheim</t>
        </is>
      </c>
      <c r="B2102" t="inlineStr">
        <is>
          <t>Germany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>
        <f>187</f>
        <v/>
      </c>
      <c r="O2102" t="inlineStr">
        <is>
          <t>59.5</t>
        </is>
      </c>
      <c r="P2102" t="n">
        <v>36.5</v>
      </c>
      <c r="Q2102" t="n">
        <v>45.4</v>
      </c>
      <c r="R2102" t="n">
        <v>90.2</v>
      </c>
      <c r="S2102" t="n">
        <v>93.59999999999999</v>
      </c>
      <c r="T2102" t="n">
        <v>63.7</v>
      </c>
      <c r="U2102" t="inlineStr">
        <is>
          <t>7,475</t>
        </is>
      </c>
      <c r="V2102" t="n">
        <v>57.1</v>
      </c>
      <c r="W2102" t="inlineStr">
        <is>
          <t>14%</t>
        </is>
      </c>
      <c r="X2102" t="inlineStr">
        <is>
          <t>52 : 48</t>
        </is>
      </c>
      <c r="Y2102" t="inlineStr"/>
      <c r="Z2102" t="n">
        <v>187</v>
      </c>
      <c r="AA2102" t="n">
        <v>59.5</v>
      </c>
      <c r="AB2102" t="inlineStr">
        <is>
          <t>U2101</t>
        </is>
      </c>
      <c r="AC2102" t="inlineStr">
        <is>
          <t>GE</t>
        </is>
      </c>
      <c r="AD2102" t="n">
        <v>59.5</v>
      </c>
      <c r="AE2102" t="n">
        <v>90.2</v>
      </c>
      <c r="AF2102" t="n">
        <v>57.1</v>
      </c>
      <c r="AG2102" t="inlineStr">
        <is>
          <t>1:57.1</t>
        </is>
      </c>
      <c r="AH2102" t="inlineStr">
        <is>
          <t>14%</t>
        </is>
      </c>
      <c r="AI2102" t="inlineStr"/>
      <c r="AJ2102" t="n">
        <v>59.93</v>
      </c>
    </row>
    <row r="2103">
      <c r="A2103" t="inlineStr">
        <is>
          <t>University of Manouba</t>
        </is>
      </c>
      <c r="B2103" t="inlineStr">
        <is>
          <t>Tunisia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>
        <is>
          <t>1201–1500</t>
        </is>
      </c>
      <c r="O2103" t="inlineStr">
        <is>
          <t>22.8–28.2</t>
        </is>
      </c>
      <c r="P2103" t="n">
        <v>21.8</v>
      </c>
      <c r="Q2103" t="n">
        <v>9.199999999999999</v>
      </c>
      <c r="R2103" t="n">
        <v>44.2</v>
      </c>
      <c r="S2103" t="n">
        <v>19.4</v>
      </c>
      <c r="T2103" t="n">
        <v>45.8</v>
      </c>
      <c r="U2103" t="inlineStr">
        <is>
          <t>17,175</t>
        </is>
      </c>
      <c r="V2103" t="n">
        <v>14.5</v>
      </c>
      <c r="W2103" t="inlineStr">
        <is>
          <t>2%</t>
        </is>
      </c>
      <c r="X2103" t="inlineStr">
        <is>
          <t>64 : 36</t>
        </is>
      </c>
      <c r="Y2103" t="inlineStr"/>
      <c r="Z2103" t="n">
        <v>1201</v>
      </c>
      <c r="AA2103" t="n">
        <v>25.5</v>
      </c>
      <c r="AB2103" t="inlineStr">
        <is>
          <t>U2102</t>
        </is>
      </c>
      <c r="AC2103" t="inlineStr">
        <is>
          <t>TU</t>
        </is>
      </c>
      <c r="AD2103" t="n">
        <v>25.5</v>
      </c>
      <c r="AE2103" t="n">
        <v>44.2</v>
      </c>
      <c r="AF2103" t="n">
        <v>14.5</v>
      </c>
      <c r="AG2103" t="inlineStr">
        <is>
          <t>1:14.5</t>
        </is>
      </c>
      <c r="AH2103" t="inlineStr">
        <is>
          <t>2%</t>
        </is>
      </c>
      <c r="AI2103" t="inlineStr"/>
      <c r="AJ2103" t="n">
        <v>22.68</v>
      </c>
    </row>
    <row r="2104">
      <c r="A2104" t="inlineStr">
        <is>
          <t>University of Maragheh</t>
        </is>
      </c>
      <c r="B2104" t="inlineStr">
        <is>
          <t>Iran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>
        <is>
          <t>1001–1200</t>
        </is>
      </c>
      <c r="O2104" t="inlineStr">
        <is>
          <t>28.3–32.6</t>
        </is>
      </c>
      <c r="P2104" t="n">
        <v>12.1</v>
      </c>
      <c r="Q2104" t="n">
        <v>16.6</v>
      </c>
      <c r="R2104" t="n">
        <v>55.7</v>
      </c>
      <c r="S2104" t="n">
        <v>17.5</v>
      </c>
      <c r="T2104" t="n">
        <v>34</v>
      </c>
      <c r="U2104" t="inlineStr">
        <is>
          <t>3,452</t>
        </is>
      </c>
      <c r="V2104" t="n">
        <v>23.6</v>
      </c>
      <c r="W2104" t="inlineStr">
        <is>
          <t>0%</t>
        </is>
      </c>
      <c r="X2104" t="inlineStr">
        <is>
          <t>55 : 45</t>
        </is>
      </c>
      <c r="Y2104" t="inlineStr"/>
      <c r="Z2104" t="n">
        <v>1001</v>
      </c>
      <c r="AA2104" t="n">
        <v>30.45</v>
      </c>
      <c r="AB2104" t="inlineStr">
        <is>
          <t>U2103</t>
        </is>
      </c>
      <c r="AC2104" t="inlineStr">
        <is>
          <t>IR</t>
        </is>
      </c>
      <c r="AD2104" t="n">
        <v>30.45</v>
      </c>
      <c r="AE2104" t="n">
        <v>55.7</v>
      </c>
      <c r="AF2104" t="n">
        <v>23.6</v>
      </c>
      <c r="AG2104" t="inlineStr">
        <is>
          <t>1:23.6</t>
        </is>
      </c>
      <c r="AH2104" t="inlineStr">
        <is>
          <t>0%</t>
        </is>
      </c>
      <c r="AI2104" t="inlineStr"/>
      <c r="AJ2104" t="n">
        <v>27.19</v>
      </c>
    </row>
    <row r="2105">
      <c r="A2105" t="inlineStr">
        <is>
          <t>University of Marburg</t>
        </is>
      </c>
      <c r="B2105" t="inlineStr">
        <is>
          <t>Germany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>
        <is>
          <t>401–500</t>
        </is>
      </c>
      <c r="O2105" t="inlineStr">
        <is>
          <t>45.4–49.0</t>
        </is>
      </c>
      <c r="P2105" t="n">
        <v>36.7</v>
      </c>
      <c r="Q2105" t="n">
        <v>31.4</v>
      </c>
      <c r="R2105" t="n">
        <v>68.8</v>
      </c>
      <c r="S2105" t="n">
        <v>63.1</v>
      </c>
      <c r="T2105" t="n">
        <v>62.3</v>
      </c>
      <c r="U2105" t="inlineStr">
        <is>
          <t>24,644</t>
        </is>
      </c>
      <c r="V2105" t="n">
        <v>32.7</v>
      </c>
      <c r="W2105" t="inlineStr">
        <is>
          <t>14%</t>
        </is>
      </c>
      <c r="X2105" t="inlineStr">
        <is>
          <t>56 : 44</t>
        </is>
      </c>
      <c r="Y2105" t="inlineStr"/>
      <c r="Z2105" t="n">
        <v>401</v>
      </c>
      <c r="AA2105" t="n">
        <v>47.2</v>
      </c>
      <c r="AB2105" t="inlineStr">
        <is>
          <t>U2104</t>
        </is>
      </c>
      <c r="AC2105" t="inlineStr">
        <is>
          <t>GE</t>
        </is>
      </c>
      <c r="AD2105" t="n">
        <v>47.2</v>
      </c>
      <c r="AE2105" t="n">
        <v>68.8</v>
      </c>
      <c r="AF2105" t="n">
        <v>32.7</v>
      </c>
      <c r="AG2105" t="inlineStr">
        <is>
          <t>1:32.7</t>
        </is>
      </c>
      <c r="AH2105" t="inlineStr">
        <is>
          <t>14%</t>
        </is>
      </c>
      <c r="AI2105" t="inlineStr"/>
      <c r="AJ2105" t="n">
        <v>45.76</v>
      </c>
    </row>
    <row r="2106">
      <c r="A2106" t="inlineStr">
        <is>
          <t>University of Maribor</t>
        </is>
      </c>
      <c r="B2106" t="inlineStr">
        <is>
          <t>Slovenia</t>
        </is>
      </c>
      <c r="C2106" t="inlineStr">
        <is>
          <t>901-950</t>
        </is>
      </c>
      <c r="D2106" t="inlineStr"/>
      <c r="E2106" t="n">
        <v>8</v>
      </c>
      <c r="F2106" t="n">
        <v>6.6</v>
      </c>
      <c r="G2106" t="n">
        <v>29.2</v>
      </c>
      <c r="H2106" t="n">
        <v>6.8</v>
      </c>
      <c r="I2106" t="n">
        <v>1.8</v>
      </c>
      <c r="J2106" t="n">
        <v>13</v>
      </c>
      <c r="K2106" t="n">
        <v>61</v>
      </c>
      <c r="L2106" t="n">
        <v>33.4</v>
      </c>
      <c r="M2106" t="n">
        <v>9.1</v>
      </c>
      <c r="N2106" t="inlineStr">
        <is>
          <t>1201–1500</t>
        </is>
      </c>
      <c r="O2106" t="inlineStr">
        <is>
          <t>22.8–28.2</t>
        </is>
      </c>
      <c r="P2106" t="n">
        <v>20.1</v>
      </c>
      <c r="Q2106" t="n">
        <v>16.9</v>
      </c>
      <c r="R2106" t="n">
        <v>40.8</v>
      </c>
      <c r="S2106" t="n">
        <v>36.5</v>
      </c>
      <c r="T2106" t="n">
        <v>38.9</v>
      </c>
      <c r="U2106" t="inlineStr">
        <is>
          <t>12,919</t>
        </is>
      </c>
      <c r="V2106" t="n">
        <v>14.4</v>
      </c>
      <c r="W2106" t="inlineStr">
        <is>
          <t>11%</t>
        </is>
      </c>
      <c r="X2106" t="inlineStr">
        <is>
          <t>54 : 46</t>
        </is>
      </c>
      <c r="Y2106" t="n">
        <v>901</v>
      </c>
      <c r="Z2106" t="n">
        <v>1201</v>
      </c>
      <c r="AA2106" t="n">
        <v>25.5</v>
      </c>
      <c r="AB2106" t="inlineStr">
        <is>
          <t>U2105</t>
        </is>
      </c>
      <c r="AC2106" t="inlineStr">
        <is>
          <t>SL</t>
        </is>
      </c>
      <c r="AD2106" t="n">
        <v>25.5</v>
      </c>
      <c r="AE2106" t="n">
        <v>6.8</v>
      </c>
      <c r="AF2106" t="n">
        <v>14.4</v>
      </c>
      <c r="AG2106" t="inlineStr">
        <is>
          <t>1:14.4</t>
        </is>
      </c>
      <c r="AH2106" t="inlineStr">
        <is>
          <t>11%</t>
        </is>
      </c>
      <c r="AI2106" t="n">
        <v>8</v>
      </c>
      <c r="AJ2106" t="n">
        <v>13.72</v>
      </c>
    </row>
    <row r="2107">
      <c r="A2107" t="inlineStr">
        <is>
          <t>University of Marrakech Cadi Ayyad</t>
        </is>
      </c>
      <c r="B2107" t="inlineStr">
        <is>
          <t>Morocco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>
        <is>
          <t>1201–1500</t>
        </is>
      </c>
      <c r="O2107" t="inlineStr">
        <is>
          <t>22.8–28.2</t>
        </is>
      </c>
      <c r="P2107" t="n">
        <v>20.5</v>
      </c>
      <c r="Q2107" t="n">
        <v>11.5</v>
      </c>
      <c r="R2107" t="n">
        <v>36.5</v>
      </c>
      <c r="S2107" t="n">
        <v>21.6</v>
      </c>
      <c r="T2107" t="n">
        <v>40.2</v>
      </c>
      <c r="U2107" t="inlineStr">
        <is>
          <t>115,156</t>
        </is>
      </c>
      <c r="V2107" t="n">
        <v>45.9</v>
      </c>
      <c r="W2107" t="inlineStr">
        <is>
          <t>1%</t>
        </is>
      </c>
      <c r="X2107" t="inlineStr">
        <is>
          <t>51 : 49</t>
        </is>
      </c>
      <c r="Y2107" t="inlineStr"/>
      <c r="Z2107" t="n">
        <v>1201</v>
      </c>
      <c r="AA2107" t="n">
        <v>25.5</v>
      </c>
      <c r="AB2107" t="inlineStr">
        <is>
          <t>U2106</t>
        </is>
      </c>
      <c r="AC2107" t="inlineStr">
        <is>
          <t>MO</t>
        </is>
      </c>
      <c r="AD2107" t="n">
        <v>25.5</v>
      </c>
      <c r="AE2107" t="n">
        <v>36.5</v>
      </c>
      <c r="AF2107" t="n">
        <v>45.9</v>
      </c>
      <c r="AG2107" t="inlineStr">
        <is>
          <t>1:45.9</t>
        </is>
      </c>
      <c r="AH2107" t="inlineStr">
        <is>
          <t>1%</t>
        </is>
      </c>
      <c r="AI2107" t="inlineStr"/>
      <c r="AJ2107" t="n">
        <v>20.2</v>
      </c>
    </row>
    <row r="2108">
      <c r="A2108" t="inlineStr">
        <is>
          <t>University of Maryland, Baltimore County</t>
        </is>
      </c>
      <c r="B2108" t="inlineStr">
        <is>
          <t>United States</t>
        </is>
      </c>
      <c r="C2108" t="inlineStr">
        <is>
          <t>771-780</t>
        </is>
      </c>
      <c r="D2108" t="inlineStr"/>
      <c r="E2108" t="n">
        <v>10.2</v>
      </c>
      <c r="F2108" t="n">
        <v>6.8</v>
      </c>
      <c r="G2108" t="n">
        <v>14.1</v>
      </c>
      <c r="H2108" t="n">
        <v>13.5</v>
      </c>
      <c r="I2108" t="n">
        <v>49.8</v>
      </c>
      <c r="J2108" t="n">
        <v>25.8</v>
      </c>
      <c r="K2108" t="n">
        <v>45</v>
      </c>
      <c r="L2108" t="n">
        <v>4.5</v>
      </c>
      <c r="M2108" t="n">
        <v>57.7</v>
      </c>
      <c r="N2108" t="inlineStr">
        <is>
          <t>601–800</t>
        </is>
      </c>
      <c r="O2108" t="inlineStr">
        <is>
          <t>37.0–41.8</t>
        </is>
      </c>
      <c r="P2108" t="n">
        <v>28.8</v>
      </c>
      <c r="Q2108" t="n">
        <v>24.6</v>
      </c>
      <c r="R2108" t="n">
        <v>61.5</v>
      </c>
      <c r="S2108" t="n">
        <v>66.8</v>
      </c>
      <c r="T2108" t="n">
        <v>50.1</v>
      </c>
      <c r="U2108" t="inlineStr">
        <is>
          <t>11,668</t>
        </is>
      </c>
      <c r="V2108" t="n">
        <v>17.2</v>
      </c>
      <c r="W2108" t="inlineStr">
        <is>
          <t>11%</t>
        </is>
      </c>
      <c r="X2108" t="inlineStr">
        <is>
          <t>46 : 54</t>
        </is>
      </c>
      <c r="Y2108" t="n">
        <v>771</v>
      </c>
      <c r="Z2108" t="n">
        <v>601</v>
      </c>
      <c r="AA2108" t="n">
        <v>39.4</v>
      </c>
      <c r="AB2108" t="inlineStr">
        <is>
          <t>U2107</t>
        </is>
      </c>
      <c r="AC2108" t="inlineStr">
        <is>
          <t>UN</t>
        </is>
      </c>
      <c r="AD2108" t="n">
        <v>39.4</v>
      </c>
      <c r="AE2108" t="n">
        <v>13.5</v>
      </c>
      <c r="AF2108" t="n">
        <v>17.2</v>
      </c>
      <c r="AG2108" t="inlineStr">
        <is>
          <t>1:17.2</t>
        </is>
      </c>
      <c r="AH2108" t="inlineStr">
        <is>
          <t>11%</t>
        </is>
      </c>
      <c r="AI2108" t="n">
        <v>10.2</v>
      </c>
      <c r="AJ2108" t="n">
        <v>22.49</v>
      </c>
    </row>
    <row r="2109">
      <c r="A2109" t="inlineStr">
        <is>
          <t>University of Maryland, College Park</t>
        </is>
      </c>
      <c r="B2109" t="inlineStr">
        <is>
          <t>United States</t>
        </is>
      </c>
      <c r="C2109" t="inlineStr">
        <is>
          <t>218</t>
        </is>
      </c>
      <c r="D2109" t="n">
        <v>44</v>
      </c>
      <c r="E2109" t="n">
        <v>48.6</v>
      </c>
      <c r="F2109" t="n">
        <v>29.4</v>
      </c>
      <c r="G2109" t="n">
        <v>32.5</v>
      </c>
      <c r="H2109" t="n">
        <v>55</v>
      </c>
      <c r="I2109" t="n">
        <v>20.9</v>
      </c>
      <c r="J2109" t="n">
        <v>16.2</v>
      </c>
      <c r="K2109" t="n">
        <v>92.3</v>
      </c>
      <c r="L2109" t="n">
        <v>41.2</v>
      </c>
      <c r="M2109" t="n">
        <v>54.4</v>
      </c>
      <c r="N2109" t="inlineStr">
        <is>
          <t>114</t>
        </is>
      </c>
      <c r="O2109" t="inlineStr">
        <is>
          <t>65.7</t>
        </is>
      </c>
      <c r="P2109" t="n">
        <v>49.4</v>
      </c>
      <c r="Q2109" t="n">
        <v>58.1</v>
      </c>
      <c r="R2109" t="n">
        <v>92.8</v>
      </c>
      <c r="S2109" t="n">
        <v>70.2</v>
      </c>
      <c r="T2109" t="n">
        <v>48.6</v>
      </c>
      <c r="U2109" t="inlineStr">
        <is>
          <t>33,988</t>
        </is>
      </c>
      <c r="V2109" t="n">
        <v>17</v>
      </c>
      <c r="W2109" t="inlineStr">
        <is>
          <t>9%</t>
        </is>
      </c>
      <c r="X2109" t="inlineStr">
        <is>
          <t>49 : 51</t>
        </is>
      </c>
      <c r="Y2109" t="n">
        <v>218</v>
      </c>
      <c r="Z2109" t="n">
        <v>114</v>
      </c>
      <c r="AA2109" t="n">
        <v>65.7</v>
      </c>
      <c r="AB2109" t="inlineStr">
        <is>
          <t>U2108</t>
        </is>
      </c>
      <c r="AC2109" t="inlineStr">
        <is>
          <t>UN</t>
        </is>
      </c>
      <c r="AD2109" t="n">
        <v>44</v>
      </c>
      <c r="AE2109" t="n">
        <v>55</v>
      </c>
      <c r="AF2109" t="n">
        <v>17</v>
      </c>
      <c r="AG2109" t="inlineStr">
        <is>
          <t>1:17.0</t>
        </is>
      </c>
      <c r="AH2109" t="inlineStr">
        <is>
          <t>9%</t>
        </is>
      </c>
      <c r="AI2109" t="n">
        <v>48.6</v>
      </c>
      <c r="AJ2109" t="n">
        <v>52.26</v>
      </c>
    </row>
    <row r="2110">
      <c r="A2110" t="inlineStr">
        <is>
          <t>University of Mascara</t>
        </is>
      </c>
      <c r="B2110" t="inlineStr">
        <is>
          <t>Algeria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>
        <is>
          <t>1501+</t>
        </is>
      </c>
      <c r="O2110" t="inlineStr">
        <is>
          <t>9.7–22.7</t>
        </is>
      </c>
      <c r="P2110" t="n">
        <v>13.7</v>
      </c>
      <c r="Q2110" t="n">
        <v>7.5</v>
      </c>
      <c r="R2110" t="n">
        <v>31.4</v>
      </c>
      <c r="S2110" t="n">
        <v>16.1</v>
      </c>
      <c r="T2110" t="n">
        <v>43.2</v>
      </c>
      <c r="U2110" t="inlineStr">
        <is>
          <t>21,663</t>
        </is>
      </c>
      <c r="V2110" t="n">
        <v>23.8</v>
      </c>
      <c r="W2110" t="inlineStr">
        <is>
          <t>0%</t>
        </is>
      </c>
      <c r="X2110" t="inlineStr">
        <is>
          <t>62 : 38</t>
        </is>
      </c>
      <c r="Y2110" t="inlineStr"/>
      <c r="Z2110" t="n">
        <v>1501</v>
      </c>
      <c r="AA2110" t="n">
        <v>16.2</v>
      </c>
      <c r="AB2110" t="inlineStr">
        <is>
          <t>U2109</t>
        </is>
      </c>
      <c r="AC2110" t="inlineStr">
        <is>
          <t>AL</t>
        </is>
      </c>
      <c r="AD2110" t="n">
        <v>16.2</v>
      </c>
      <c r="AE2110" t="n">
        <v>31.4</v>
      </c>
      <c r="AF2110" t="n">
        <v>23.8</v>
      </c>
      <c r="AG2110" t="inlineStr">
        <is>
          <t>1:23.8</t>
        </is>
      </c>
      <c r="AH2110" t="inlineStr">
        <is>
          <t>0%</t>
        </is>
      </c>
      <c r="AI2110" t="inlineStr"/>
      <c r="AJ2110" t="n">
        <v>17.29</v>
      </c>
    </row>
    <row r="2111">
      <c r="A2111" t="inlineStr">
        <is>
          <t>University of Massachusetts</t>
        </is>
      </c>
      <c r="B2111" t="inlineStr">
        <is>
          <t>United States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>
        <f>123</f>
        <v/>
      </c>
      <c r="O2111" t="inlineStr">
        <is>
          <t>64.9</t>
        </is>
      </c>
      <c r="P2111" t="n">
        <v>54</v>
      </c>
      <c r="Q2111" t="n">
        <v>46.9</v>
      </c>
      <c r="R2111" t="n">
        <v>87.3</v>
      </c>
      <c r="S2111" t="n">
        <v>85.59999999999999</v>
      </c>
      <c r="T2111" t="n">
        <v>77.3</v>
      </c>
      <c r="U2111" t="inlineStr">
        <is>
          <t>63,500</t>
        </is>
      </c>
      <c r="V2111" t="n">
        <v>13.3</v>
      </c>
      <c r="W2111" t="inlineStr">
        <is>
          <t>14%</t>
        </is>
      </c>
      <c r="X2111" t="inlineStr">
        <is>
          <t>50 : 50</t>
        </is>
      </c>
      <c r="Y2111" t="inlineStr"/>
      <c r="Z2111" t="n">
        <v>123</v>
      </c>
      <c r="AA2111" t="n">
        <v>64.90000000000001</v>
      </c>
      <c r="AB2111" t="inlineStr">
        <is>
          <t>U2110</t>
        </is>
      </c>
      <c r="AC2111" t="inlineStr">
        <is>
          <t>UN</t>
        </is>
      </c>
      <c r="AD2111" t="n">
        <v>64.90000000000001</v>
      </c>
      <c r="AE2111" t="n">
        <v>87.3</v>
      </c>
      <c r="AF2111" t="n">
        <v>13.3</v>
      </c>
      <c r="AG2111" t="inlineStr">
        <is>
          <t>1:13.3</t>
        </is>
      </c>
      <c r="AH2111" t="inlineStr">
        <is>
          <t>14%</t>
        </is>
      </c>
      <c r="AI2111" t="inlineStr"/>
      <c r="AJ2111" t="n">
        <v>63.12</v>
      </c>
    </row>
    <row r="2112">
      <c r="A2112" t="inlineStr">
        <is>
          <t>University of Massachusetts Amherst</t>
        </is>
      </c>
      <c r="B2112" t="inlineStr">
        <is>
          <t>United States</t>
        </is>
      </c>
      <c r="C2112" t="inlineStr">
        <is>
          <t>275</t>
        </is>
      </c>
      <c r="D2112" t="n">
        <v>38.2</v>
      </c>
      <c r="E2112" t="n">
        <v>38.2</v>
      </c>
      <c r="F2112" t="n">
        <v>17.2</v>
      </c>
      <c r="G2112" t="n">
        <v>10</v>
      </c>
      <c r="H2112" t="n">
        <v>48.8</v>
      </c>
      <c r="I2112" t="n">
        <v>61</v>
      </c>
      <c r="J2112" t="n">
        <v>25.3</v>
      </c>
      <c r="K2112" t="n">
        <v>79.8</v>
      </c>
      <c r="L2112" t="n">
        <v>30.6</v>
      </c>
      <c r="M2112" t="n">
        <v>83.40000000000001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n">
        <v>275</v>
      </c>
      <c r="Z2112" t="inlineStr"/>
      <c r="AA2112" t="inlineStr"/>
      <c r="AB2112" t="inlineStr">
        <is>
          <t>U2111</t>
        </is>
      </c>
      <c r="AC2112" t="inlineStr">
        <is>
          <t>UN</t>
        </is>
      </c>
      <c r="AD2112" t="n">
        <v>38.2</v>
      </c>
      <c r="AE2112" t="n">
        <v>48.8</v>
      </c>
      <c r="AF2112" t="inlineStr"/>
      <c r="AG2112" t="inlineStr"/>
      <c r="AH2112" t="inlineStr"/>
      <c r="AI2112" t="n">
        <v>38.2</v>
      </c>
      <c r="AJ2112" t="n">
        <v>28.18</v>
      </c>
    </row>
    <row r="2113">
      <c r="A2113" t="inlineStr">
        <is>
          <t>University of Massachusetts Boston</t>
        </is>
      </c>
      <c r="B2113" t="inlineStr">
        <is>
          <t>United States</t>
        </is>
      </c>
      <c r="C2113" t="inlineStr">
        <is>
          <t>1001-1200</t>
        </is>
      </c>
      <c r="D2113" t="inlineStr"/>
      <c r="E2113" t="n">
        <v>11</v>
      </c>
      <c r="F2113" t="n">
        <v>7.7</v>
      </c>
      <c r="G2113" t="n">
        <v>9.800000000000001</v>
      </c>
      <c r="H2113" t="n">
        <v>19.7</v>
      </c>
      <c r="I2113" t="n">
        <v>4.5</v>
      </c>
      <c r="J2113" t="n">
        <v>14.8</v>
      </c>
      <c r="K2113" t="n">
        <v>32.2</v>
      </c>
      <c r="L2113" t="n">
        <v>2.9</v>
      </c>
      <c r="M2113" t="n">
        <v>8.4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n">
        <v>1001</v>
      </c>
      <c r="Z2113" t="inlineStr"/>
      <c r="AA2113" t="inlineStr"/>
      <c r="AB2113" t="inlineStr">
        <is>
          <t>U2112</t>
        </is>
      </c>
      <c r="AC2113" t="inlineStr">
        <is>
          <t>UN</t>
        </is>
      </c>
      <c r="AD2113" t="inlineStr"/>
      <c r="AE2113" t="n">
        <v>19.7</v>
      </c>
      <c r="AF2113" t="inlineStr"/>
      <c r="AG2113" t="inlineStr"/>
      <c r="AH2113" t="inlineStr"/>
      <c r="AI2113" t="n">
        <v>11</v>
      </c>
      <c r="AJ2113" t="n">
        <v>19.36</v>
      </c>
    </row>
    <row r="2114">
      <c r="A2114" t="inlineStr">
        <is>
          <t>University of Mataram</t>
        </is>
      </c>
      <c r="B2114" t="inlineStr">
        <is>
          <t>Indonesia</t>
        </is>
      </c>
      <c r="C2114" t="inlineStr">
        <is>
          <t>1401+</t>
        </is>
      </c>
      <c r="D2114" t="inlineStr"/>
      <c r="E2114" t="n">
        <v>6.4</v>
      </c>
      <c r="F2114" t="n">
        <v>1.7</v>
      </c>
      <c r="G2114" t="n">
        <v>3.8</v>
      </c>
      <c r="H2114" t="n">
        <v>1.1</v>
      </c>
      <c r="I2114" t="n">
        <v>1.5</v>
      </c>
      <c r="J2114" t="n">
        <v>1</v>
      </c>
      <c r="K2114" t="n">
        <v>3.7</v>
      </c>
      <c r="L2114" t="n">
        <v>2.2</v>
      </c>
      <c r="M2114" t="n">
        <v>1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n">
        <v>1401</v>
      </c>
      <c r="Z2114" t="inlineStr"/>
      <c r="AA2114" t="inlineStr"/>
      <c r="AB2114" t="inlineStr">
        <is>
          <t>U2113</t>
        </is>
      </c>
      <c r="AC2114" t="inlineStr">
        <is>
          <t>IN</t>
        </is>
      </c>
      <c r="AD2114" t="inlineStr"/>
      <c r="AE2114" t="n">
        <v>1.1</v>
      </c>
      <c r="AF2114" t="inlineStr"/>
      <c r="AG2114" t="inlineStr"/>
      <c r="AH2114" t="inlineStr"/>
      <c r="AI2114" t="n">
        <v>6.4</v>
      </c>
      <c r="AJ2114" t="n">
        <v>13.72</v>
      </c>
    </row>
    <row r="2115">
      <c r="A2115" t="inlineStr">
        <is>
          <t>University of Mauritius</t>
        </is>
      </c>
      <c r="B2115" t="inlineStr">
        <is>
          <t>Mauritius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>
        <is>
          <t>1201–1500</t>
        </is>
      </c>
      <c r="O2115" t="inlineStr">
        <is>
          <t>22.8–28.2</t>
        </is>
      </c>
      <c r="P2115" t="n">
        <v>17.6</v>
      </c>
      <c r="Q2115" t="n">
        <v>13.4</v>
      </c>
      <c r="R2115" t="n">
        <v>45.3</v>
      </c>
      <c r="S2115" t="n">
        <v>40.3</v>
      </c>
      <c r="T2115" t="n">
        <v>35.4</v>
      </c>
      <c r="U2115" t="inlineStr">
        <is>
          <t>8,167</t>
        </is>
      </c>
      <c r="V2115" t="n">
        <v>22.8</v>
      </c>
      <c r="W2115" t="inlineStr">
        <is>
          <t>1%</t>
        </is>
      </c>
      <c r="X2115" t="inlineStr">
        <is>
          <t>54 : 46</t>
        </is>
      </c>
      <c r="Y2115" t="inlineStr"/>
      <c r="Z2115" t="n">
        <v>1201</v>
      </c>
      <c r="AA2115" t="n">
        <v>25.5</v>
      </c>
      <c r="AB2115" t="inlineStr">
        <is>
          <t>U2114</t>
        </is>
      </c>
      <c r="AC2115" t="inlineStr">
        <is>
          <t>MA</t>
        </is>
      </c>
      <c r="AD2115" t="n">
        <v>25.5</v>
      </c>
      <c r="AE2115" t="n">
        <v>45.3</v>
      </c>
      <c r="AF2115" t="n">
        <v>22.8</v>
      </c>
      <c r="AG2115" t="inlineStr">
        <is>
          <t>1:22.8</t>
        </is>
      </c>
      <c r="AH2115" t="inlineStr">
        <is>
          <t>1%</t>
        </is>
      </c>
      <c r="AI2115" t="inlineStr"/>
      <c r="AJ2115" t="n">
        <v>22.7</v>
      </c>
    </row>
    <row r="2116">
      <c r="A2116" t="inlineStr">
        <is>
          <t>University of Mazandaran</t>
        </is>
      </c>
      <c r="B2116" t="inlineStr">
        <is>
          <t>Iran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>
        <is>
          <t>1001–1200</t>
        </is>
      </c>
      <c r="O2116" t="inlineStr">
        <is>
          <t>28.3–32.6</t>
        </is>
      </c>
      <c r="P2116" t="n">
        <v>27.5</v>
      </c>
      <c r="Q2116" t="n">
        <v>18.9</v>
      </c>
      <c r="R2116" t="n">
        <v>39.1</v>
      </c>
      <c r="S2116" t="n">
        <v>24.7</v>
      </c>
      <c r="T2116" t="n">
        <v>32.1</v>
      </c>
      <c r="U2116" t="inlineStr">
        <is>
          <t>13,164</t>
        </is>
      </c>
      <c r="V2116" t="n">
        <v>32.3</v>
      </c>
      <c r="W2116" t="inlineStr">
        <is>
          <t>7%</t>
        </is>
      </c>
      <c r="X2116" t="inlineStr">
        <is>
          <t>62 : 38</t>
        </is>
      </c>
      <c r="Y2116" t="inlineStr"/>
      <c r="Z2116" t="n">
        <v>1001</v>
      </c>
      <c r="AA2116" t="n">
        <v>30.45</v>
      </c>
      <c r="AB2116" t="inlineStr">
        <is>
          <t>U2115</t>
        </is>
      </c>
      <c r="AC2116" t="inlineStr">
        <is>
          <t>IR</t>
        </is>
      </c>
      <c r="AD2116" t="n">
        <v>30.45</v>
      </c>
      <c r="AE2116" t="n">
        <v>39.1</v>
      </c>
      <c r="AF2116" t="n">
        <v>32.3</v>
      </c>
      <c r="AG2116" t="inlineStr">
        <is>
          <t>1:32.3</t>
        </is>
      </c>
      <c r="AH2116" t="inlineStr">
        <is>
          <t>7%</t>
        </is>
      </c>
      <c r="AI2116" t="inlineStr"/>
      <c r="AJ2116" t="n">
        <v>22.91</v>
      </c>
    </row>
    <row r="2117">
      <c r="A2117" t="inlineStr">
        <is>
          <t>University of Medicine and Pharmacy Carol Davila</t>
        </is>
      </c>
      <c r="B2117" t="inlineStr">
        <is>
          <t>Romania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>
        <is>
          <t>801–1000</t>
        </is>
      </c>
      <c r="O2117" t="inlineStr">
        <is>
          <t>32.7–36.9</t>
        </is>
      </c>
      <c r="P2117" t="n">
        <v>26.3</v>
      </c>
      <c r="Q2117" t="n">
        <v>11</v>
      </c>
      <c r="R2117" t="n">
        <v>62.6</v>
      </c>
      <c r="S2117" t="n">
        <v>24.6</v>
      </c>
      <c r="T2117" t="n">
        <v>38.8</v>
      </c>
      <c r="U2117" t="inlineStr">
        <is>
          <t>12,069</t>
        </is>
      </c>
      <c r="V2117" t="n">
        <v>8.6</v>
      </c>
      <c r="W2117" t="inlineStr">
        <is>
          <t>16%</t>
        </is>
      </c>
      <c r="X2117" t="inlineStr">
        <is>
          <t>68 : 32</t>
        </is>
      </c>
      <c r="Y2117" t="inlineStr"/>
      <c r="Z2117" t="n">
        <v>801</v>
      </c>
      <c r="AA2117" t="n">
        <v>34.8</v>
      </c>
      <c r="AB2117" t="inlineStr">
        <is>
          <t>U2116</t>
        </is>
      </c>
      <c r="AC2117" t="inlineStr">
        <is>
          <t>RO</t>
        </is>
      </c>
      <c r="AD2117" t="n">
        <v>34.8</v>
      </c>
      <c r="AE2117" t="n">
        <v>62.6</v>
      </c>
      <c r="AF2117" t="n">
        <v>8.6</v>
      </c>
      <c r="AG2117" t="inlineStr">
        <is>
          <t>1:8.6</t>
        </is>
      </c>
      <c r="AH2117" t="inlineStr">
        <is>
          <t>16%</t>
        </is>
      </c>
      <c r="AI2117" t="inlineStr"/>
      <c r="AJ2117" t="n">
        <v>27.51</v>
      </c>
    </row>
    <row r="2118">
      <c r="A2118" t="inlineStr">
        <is>
          <t>University of Medicine and Pharmacy of Craiova</t>
        </is>
      </c>
      <c r="B2118" t="inlineStr">
        <is>
          <t>Romania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>
        <is>
          <t>1201–1500</t>
        </is>
      </c>
      <c r="O2118" t="inlineStr">
        <is>
          <t>22.8–28.2</t>
        </is>
      </c>
      <c r="P2118" t="n">
        <v>24.3</v>
      </c>
      <c r="Q2118" t="n">
        <v>9.9</v>
      </c>
      <c r="R2118" t="n">
        <v>37.2</v>
      </c>
      <c r="S2118" t="n">
        <v>19.2</v>
      </c>
      <c r="T2118" t="n">
        <v>40.5</v>
      </c>
      <c r="U2118" t="inlineStr">
        <is>
          <t>4,298</t>
        </is>
      </c>
      <c r="V2118" t="n">
        <v>9.800000000000001</v>
      </c>
      <c r="W2118" t="inlineStr">
        <is>
          <t>14%</t>
        </is>
      </c>
      <c r="X2118" t="inlineStr">
        <is>
          <t>63 : 37</t>
        </is>
      </c>
      <c r="Y2118" t="inlineStr"/>
      <c r="Z2118" t="n">
        <v>1201</v>
      </c>
      <c r="AA2118" t="n">
        <v>25.5</v>
      </c>
      <c r="AB2118" t="inlineStr">
        <is>
          <t>U2117</t>
        </is>
      </c>
      <c r="AC2118" t="inlineStr">
        <is>
          <t>RO</t>
        </is>
      </c>
      <c r="AD2118" t="n">
        <v>25.5</v>
      </c>
      <c r="AE2118" t="n">
        <v>37.2</v>
      </c>
      <c r="AF2118" t="n">
        <v>9.800000000000001</v>
      </c>
      <c r="AG2118" t="inlineStr">
        <is>
          <t>1:9.8</t>
        </is>
      </c>
      <c r="AH2118" t="inlineStr">
        <is>
          <t>14%</t>
        </is>
      </c>
      <c r="AI2118" t="inlineStr"/>
      <c r="AJ2118" t="n">
        <v>19.65</v>
      </c>
    </row>
    <row r="2119">
      <c r="A2119" t="inlineStr">
        <is>
          <t>The University of Melbourne</t>
        </is>
      </c>
      <c r="B2119" t="inlineStr">
        <is>
          <t>Australia</t>
        </is>
      </c>
      <c r="C2119" t="inlineStr">
        <is>
          <t>13</t>
        </is>
      </c>
      <c r="D2119" t="n">
        <v>88.90000000000001</v>
      </c>
      <c r="E2119" t="n">
        <v>98.5</v>
      </c>
      <c r="F2119" t="n">
        <v>93.90000000000001</v>
      </c>
      <c r="G2119" t="n">
        <v>15.4</v>
      </c>
      <c r="H2119" t="n">
        <v>93</v>
      </c>
      <c r="I2119" t="n">
        <v>95.09999999999999</v>
      </c>
      <c r="J2119" t="n">
        <v>99.8</v>
      </c>
      <c r="K2119" t="n">
        <v>97.40000000000001</v>
      </c>
      <c r="L2119" t="n">
        <v>96.5</v>
      </c>
      <c r="M2119" t="n">
        <v>99.59999999999999</v>
      </c>
      <c r="N2119" t="inlineStr">
        <is>
          <t>37</t>
        </is>
      </c>
      <c r="O2119" t="inlineStr">
        <is>
          <t>79.2</t>
        </is>
      </c>
      <c r="P2119" t="n">
        <v>64.8</v>
      </c>
      <c r="Q2119" t="n">
        <v>76.40000000000001</v>
      </c>
      <c r="R2119" t="n">
        <v>90.09999999999999</v>
      </c>
      <c r="S2119" t="n">
        <v>98.3</v>
      </c>
      <c r="T2119" t="n">
        <v>92.7</v>
      </c>
      <c r="U2119" t="inlineStr">
        <is>
          <t>51,307</t>
        </is>
      </c>
      <c r="V2119" t="n">
        <v>25.1</v>
      </c>
      <c r="W2119" t="inlineStr">
        <is>
          <t>47%</t>
        </is>
      </c>
      <c r="X2119" t="inlineStr">
        <is>
          <t>58 : 42</t>
        </is>
      </c>
      <c r="Y2119" t="n">
        <v>13</v>
      </c>
      <c r="Z2119" t="n">
        <v>37</v>
      </c>
      <c r="AA2119" t="n">
        <v>79.2</v>
      </c>
      <c r="AB2119" t="inlineStr">
        <is>
          <t>U2118</t>
        </is>
      </c>
      <c r="AC2119" t="inlineStr">
        <is>
          <t>AU</t>
        </is>
      </c>
      <c r="AD2119" t="n">
        <v>88.90000000000001</v>
      </c>
      <c r="AE2119" t="n">
        <v>93</v>
      </c>
      <c r="AF2119" t="n">
        <v>25.1</v>
      </c>
      <c r="AG2119" t="inlineStr">
        <is>
          <t>1:25.1</t>
        </is>
      </c>
      <c r="AH2119" t="inlineStr">
        <is>
          <t>47%</t>
        </is>
      </c>
      <c r="AI2119" t="n">
        <v>98.5</v>
      </c>
      <c r="AJ2119" t="n">
        <v>84.03</v>
      </c>
    </row>
    <row r="2120">
      <c r="A2120" t="inlineStr">
        <is>
          <t>University of Memphis</t>
        </is>
      </c>
      <c r="B2120" t="inlineStr">
        <is>
          <t>United States</t>
        </is>
      </c>
      <c r="C2120" t="inlineStr">
        <is>
          <t>1201-1400</t>
        </is>
      </c>
      <c r="D2120" t="inlineStr"/>
      <c r="E2120" t="n">
        <v>3.1</v>
      </c>
      <c r="F2120" t="n">
        <v>2.5</v>
      </c>
      <c r="G2120" t="n">
        <v>12.1</v>
      </c>
      <c r="H2120" t="n">
        <v>8</v>
      </c>
      <c r="I2120" t="n">
        <v>2.2</v>
      </c>
      <c r="J2120" t="n">
        <v>8.300000000000001</v>
      </c>
      <c r="K2120" t="n">
        <v>39.4</v>
      </c>
      <c r="L2120" t="n">
        <v>7.6</v>
      </c>
      <c r="M2120" t="n">
        <v>2.1</v>
      </c>
      <c r="N2120" t="inlineStr">
        <is>
          <t>801–1000</t>
        </is>
      </c>
      <c r="O2120" t="inlineStr">
        <is>
          <t>32.7–36.9</t>
        </is>
      </c>
      <c r="P2120" t="n">
        <v>27.5</v>
      </c>
      <c r="Q2120" t="n">
        <v>19</v>
      </c>
      <c r="R2120" t="n">
        <v>55</v>
      </c>
      <c r="S2120" t="n">
        <v>63</v>
      </c>
      <c r="T2120" t="n">
        <v>35</v>
      </c>
      <c r="U2120" t="inlineStr">
        <is>
          <t>16,549</t>
        </is>
      </c>
      <c r="V2120" t="n">
        <v>14.9</v>
      </c>
      <c r="W2120" t="inlineStr">
        <is>
          <t>5%</t>
        </is>
      </c>
      <c r="X2120" t="inlineStr">
        <is>
          <t>62 : 38</t>
        </is>
      </c>
      <c r="Y2120" t="n">
        <v>1201</v>
      </c>
      <c r="Z2120" t="n">
        <v>801</v>
      </c>
      <c r="AA2120" t="n">
        <v>34.8</v>
      </c>
      <c r="AB2120" t="inlineStr">
        <is>
          <t>U2119</t>
        </is>
      </c>
      <c r="AC2120" t="inlineStr">
        <is>
          <t>UN</t>
        </is>
      </c>
      <c r="AD2120" t="n">
        <v>34.8</v>
      </c>
      <c r="AE2120" t="n">
        <v>8</v>
      </c>
      <c r="AF2120" t="n">
        <v>14.9</v>
      </c>
      <c r="AG2120" t="inlineStr">
        <is>
          <t>1:14.9</t>
        </is>
      </c>
      <c r="AH2120" t="inlineStr">
        <is>
          <t>5%</t>
        </is>
      </c>
      <c r="AI2120" t="n">
        <v>3.1</v>
      </c>
      <c r="AJ2120" t="n">
        <v>14.24</v>
      </c>
    </row>
    <row r="2121">
      <c r="A2121" t="inlineStr">
        <is>
          <t>University of Messina (UniME)</t>
        </is>
      </c>
      <c r="B2121" t="inlineStr">
        <is>
          <t>Italy</t>
        </is>
      </c>
      <c r="C2121" t="inlineStr">
        <is>
          <t>751-760</t>
        </is>
      </c>
      <c r="D2121" t="inlineStr"/>
      <c r="E2121" t="n">
        <v>8.4</v>
      </c>
      <c r="F2121" t="n">
        <v>2.3</v>
      </c>
      <c r="G2121" t="n">
        <v>14.2</v>
      </c>
      <c r="H2121" t="n">
        <v>36.7</v>
      </c>
      <c r="I2121" t="n">
        <v>1.3</v>
      </c>
      <c r="J2121" t="n">
        <v>6</v>
      </c>
      <c r="K2121" t="n">
        <v>75.59999999999999</v>
      </c>
      <c r="L2121" t="n">
        <v>1.6</v>
      </c>
      <c r="M2121" t="n">
        <v>36.6</v>
      </c>
      <c r="N2121" t="inlineStr">
        <is>
          <t>501–600</t>
        </is>
      </c>
      <c r="O2121" t="inlineStr">
        <is>
          <t>41.9–45.3</t>
        </is>
      </c>
      <c r="P2121" t="n">
        <v>30.5</v>
      </c>
      <c r="Q2121" t="n">
        <v>25.3</v>
      </c>
      <c r="R2121" t="n">
        <v>79.09999999999999</v>
      </c>
      <c r="S2121" t="n">
        <v>59.5</v>
      </c>
      <c r="T2121" t="n">
        <v>34.1</v>
      </c>
      <c r="U2121" t="inlineStr">
        <is>
          <t>13,509</t>
        </is>
      </c>
      <c r="V2121" t="n">
        <v>21.1</v>
      </c>
      <c r="W2121" t="inlineStr">
        <is>
          <t>3%</t>
        </is>
      </c>
      <c r="X2121" t="inlineStr">
        <is>
          <t>63 : 37</t>
        </is>
      </c>
      <c r="Y2121" t="n">
        <v>751</v>
      </c>
      <c r="Z2121" t="n">
        <v>501</v>
      </c>
      <c r="AA2121" t="n">
        <v>43.59999999999999</v>
      </c>
      <c r="AB2121" t="inlineStr">
        <is>
          <t>U2120</t>
        </is>
      </c>
      <c r="AC2121" t="inlineStr">
        <is>
          <t>IT</t>
        </is>
      </c>
      <c r="AD2121" t="n">
        <v>43.59999999999999</v>
      </c>
      <c r="AE2121" t="n">
        <v>36.7</v>
      </c>
      <c r="AF2121" t="n">
        <v>21.1</v>
      </c>
      <c r="AG2121" t="inlineStr">
        <is>
          <t>1:21.1</t>
        </is>
      </c>
      <c r="AH2121" t="inlineStr">
        <is>
          <t>3%</t>
        </is>
      </c>
      <c r="AI2121" t="n">
        <v>8.4</v>
      </c>
      <c r="AJ2121" t="n">
        <v>26.02</v>
      </c>
    </row>
    <row r="2122">
      <c r="A2122" t="inlineStr">
        <is>
          <t>University of Miami</t>
        </is>
      </c>
      <c r="B2122" t="inlineStr">
        <is>
          <t>United States</t>
        </is>
      </c>
      <c r="C2122" t="inlineStr">
        <is>
          <t>324</t>
        </is>
      </c>
      <c r="D2122" t="n">
        <v>34.1</v>
      </c>
      <c r="E2122" t="n">
        <v>19</v>
      </c>
      <c r="F2122" t="n">
        <v>29.5</v>
      </c>
      <c r="G2122" t="n">
        <v>50</v>
      </c>
      <c r="H2122" t="n">
        <v>39.3</v>
      </c>
      <c r="I2122" t="n">
        <v>66.7</v>
      </c>
      <c r="J2122" t="n">
        <v>16.9</v>
      </c>
      <c r="K2122" t="n">
        <v>81.59999999999999</v>
      </c>
      <c r="L2122" t="n">
        <v>43.8</v>
      </c>
      <c r="M2122" t="n">
        <v>27.9</v>
      </c>
      <c r="N2122" t="inlineStr">
        <is>
          <t>201–250</t>
        </is>
      </c>
      <c r="O2122" t="inlineStr">
        <is>
          <t>55.9–58.6</t>
        </is>
      </c>
      <c r="P2122" t="n">
        <v>48.5</v>
      </c>
      <c r="Q2122" t="n">
        <v>34.7</v>
      </c>
      <c r="R2122" t="n">
        <v>83.2</v>
      </c>
      <c r="S2122" t="n">
        <v>80.40000000000001</v>
      </c>
      <c r="T2122" t="n">
        <v>67.5</v>
      </c>
      <c r="U2122" t="inlineStr">
        <is>
          <t>17,060</t>
        </is>
      </c>
      <c r="V2122" t="n">
        <v>10.4</v>
      </c>
      <c r="W2122" t="inlineStr">
        <is>
          <t>14%</t>
        </is>
      </c>
      <c r="X2122" t="inlineStr">
        <is>
          <t>54 : 46</t>
        </is>
      </c>
      <c r="Y2122" t="n">
        <v>324</v>
      </c>
      <c r="Z2122" t="n">
        <v>201</v>
      </c>
      <c r="AA2122" t="n">
        <v>57.25</v>
      </c>
      <c r="AB2122" t="inlineStr">
        <is>
          <t>U2121</t>
        </is>
      </c>
      <c r="AC2122" t="inlineStr">
        <is>
          <t>UN</t>
        </is>
      </c>
      <c r="AD2122" t="n">
        <v>34.1</v>
      </c>
      <c r="AE2122" t="n">
        <v>39.3</v>
      </c>
      <c r="AF2122" t="n">
        <v>10.4</v>
      </c>
      <c r="AG2122" t="inlineStr">
        <is>
          <t>1:10.4</t>
        </is>
      </c>
      <c r="AH2122" t="inlineStr">
        <is>
          <t>14%</t>
        </is>
      </c>
      <c r="AI2122" t="n">
        <v>19</v>
      </c>
      <c r="AJ2122" t="n">
        <v>39.81</v>
      </c>
    </row>
    <row r="2123">
      <c r="A2123" t="inlineStr">
        <is>
          <t>University of Michigan-Ann Arbor</t>
        </is>
      </c>
      <c r="B2123" t="inlineStr">
        <is>
          <t>United States</t>
        </is>
      </c>
      <c r="C2123" t="inlineStr">
        <is>
          <t>44</t>
        </is>
      </c>
      <c r="D2123" t="n">
        <v>79</v>
      </c>
      <c r="E2123" t="n">
        <v>97.90000000000001</v>
      </c>
      <c r="F2123" t="n">
        <v>92.09999999999999</v>
      </c>
      <c r="G2123" t="n">
        <v>80.3</v>
      </c>
      <c r="H2123" t="n">
        <v>47.6</v>
      </c>
      <c r="I2123" t="n">
        <v>65.5</v>
      </c>
      <c r="J2123" t="n">
        <v>39.2</v>
      </c>
      <c r="K2123" t="n">
        <v>95.8</v>
      </c>
      <c r="L2123" t="n">
        <v>94.5</v>
      </c>
      <c r="M2123" t="n">
        <v>62.2</v>
      </c>
      <c r="N2123" t="inlineStr">
        <is>
          <t>23</t>
        </is>
      </c>
      <c r="O2123" t="inlineStr">
        <is>
          <t>87.4</t>
        </is>
      </c>
      <c r="P2123" t="n">
        <v>84.7</v>
      </c>
      <c r="Q2123" t="n">
        <v>87.40000000000001</v>
      </c>
      <c r="R2123" t="n">
        <v>95.5</v>
      </c>
      <c r="S2123" t="n">
        <v>80.7</v>
      </c>
      <c r="T2123" t="n">
        <v>69</v>
      </c>
      <c r="U2123" t="inlineStr">
        <is>
          <t>45,783</t>
        </is>
      </c>
      <c r="V2123" t="n">
        <v>8.1</v>
      </c>
      <c r="W2123" t="inlineStr">
        <is>
          <t>16%</t>
        </is>
      </c>
      <c r="X2123" t="inlineStr">
        <is>
          <t>51 : 49</t>
        </is>
      </c>
      <c r="Y2123" t="n">
        <v>44</v>
      </c>
      <c r="Z2123" t="n">
        <v>23</v>
      </c>
      <c r="AA2123" t="n">
        <v>87.40000000000001</v>
      </c>
      <c r="AB2123" t="inlineStr">
        <is>
          <t>U2122</t>
        </is>
      </c>
      <c r="AC2123" t="inlineStr">
        <is>
          <t>UN</t>
        </is>
      </c>
      <c r="AD2123" t="n">
        <v>79</v>
      </c>
      <c r="AE2123" t="n">
        <v>47.6</v>
      </c>
      <c r="AF2123" t="n">
        <v>8.1</v>
      </c>
      <c r="AG2123" t="inlineStr">
        <is>
          <t>1:8.1</t>
        </is>
      </c>
      <c r="AH2123" t="inlineStr">
        <is>
          <t>16%</t>
        </is>
      </c>
      <c r="AI2123" t="n">
        <v>97.90000000000001</v>
      </c>
      <c r="AJ2123" t="n">
        <v>70.31</v>
      </c>
    </row>
    <row r="2124">
      <c r="A2124" t="inlineStr">
        <is>
          <t>University of Milan</t>
        </is>
      </c>
      <c r="B2124" t="inlineStr">
        <is>
          <t>Italy</t>
        </is>
      </c>
      <c r="C2124" t="inlineStr">
        <is>
          <t>285</t>
        </is>
      </c>
      <c r="D2124" t="n">
        <v>37.2</v>
      </c>
      <c r="E2124" t="n">
        <v>52.8</v>
      </c>
      <c r="F2124" t="n">
        <v>17</v>
      </c>
      <c r="G2124" t="n">
        <v>6.4</v>
      </c>
      <c r="H2124" t="n">
        <v>39.6</v>
      </c>
      <c r="I2124" t="n">
        <v>6.5</v>
      </c>
      <c r="J2124" t="n">
        <v>6.8</v>
      </c>
      <c r="K2124" t="n">
        <v>85.5</v>
      </c>
      <c r="L2124" t="n">
        <v>44.1</v>
      </c>
      <c r="M2124" t="n">
        <v>74.8</v>
      </c>
      <c r="N2124" t="inlineStr">
        <is>
          <t>351–400</t>
        </is>
      </c>
      <c r="O2124" t="inlineStr">
        <is>
          <t>49.1–51.0</t>
        </is>
      </c>
      <c r="P2124" t="n">
        <v>31.3</v>
      </c>
      <c r="Q2124" t="n">
        <v>31.8</v>
      </c>
      <c r="R2124" t="n">
        <v>87.3</v>
      </c>
      <c r="S2124" t="n">
        <v>69.5</v>
      </c>
      <c r="T2124" t="n">
        <v>47.2</v>
      </c>
      <c r="U2124" t="inlineStr">
        <is>
          <t>50,995</t>
        </is>
      </c>
      <c r="V2124" t="n">
        <v>21.8</v>
      </c>
      <c r="W2124" t="inlineStr">
        <is>
          <t>7%</t>
        </is>
      </c>
      <c r="X2124" t="inlineStr">
        <is>
          <t>60 : 40</t>
        </is>
      </c>
      <c r="Y2124" t="n">
        <v>285</v>
      </c>
      <c r="Z2124" t="n">
        <v>351</v>
      </c>
      <c r="AA2124" t="n">
        <v>50.05</v>
      </c>
      <c r="AB2124" t="inlineStr">
        <is>
          <t>U2123</t>
        </is>
      </c>
      <c r="AC2124" t="inlineStr">
        <is>
          <t>IT</t>
        </is>
      </c>
      <c r="AD2124" t="n">
        <v>37.2</v>
      </c>
      <c r="AE2124" t="n">
        <v>39.6</v>
      </c>
      <c r="AF2124" t="n">
        <v>21.8</v>
      </c>
      <c r="AG2124" t="inlineStr">
        <is>
          <t>1:21.8</t>
        </is>
      </c>
      <c r="AH2124" t="inlineStr">
        <is>
          <t>7%</t>
        </is>
      </c>
      <c r="AI2124" t="n">
        <v>52.8</v>
      </c>
      <c r="AJ2124" t="n">
        <v>33.47</v>
      </c>
    </row>
    <row r="2125">
      <c r="A2125" t="inlineStr">
        <is>
          <t>University of Milan-Bicocca</t>
        </is>
      </c>
      <c r="B2125" t="inlineStr">
        <is>
          <t>Italy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>
        <is>
          <t>351–400</t>
        </is>
      </c>
      <c r="O2125" t="inlineStr">
        <is>
          <t>49.1–51.0</t>
        </is>
      </c>
      <c r="P2125" t="n">
        <v>27.8</v>
      </c>
      <c r="Q2125" t="n">
        <v>26</v>
      </c>
      <c r="R2125" t="n">
        <v>91.09999999999999</v>
      </c>
      <c r="S2125" t="n">
        <v>66.7</v>
      </c>
      <c r="T2125" t="n">
        <v>47</v>
      </c>
      <c r="U2125" t="inlineStr">
        <is>
          <t>29,943</t>
        </is>
      </c>
      <c r="V2125" t="n">
        <v>29.8</v>
      </c>
      <c r="W2125" t="inlineStr">
        <is>
          <t>5%</t>
        </is>
      </c>
      <c r="X2125" t="inlineStr">
        <is>
          <t>62 : 38</t>
        </is>
      </c>
      <c r="Y2125" t="inlineStr"/>
      <c r="Z2125" t="n">
        <v>351</v>
      </c>
      <c r="AA2125" t="n">
        <v>50.05</v>
      </c>
      <c r="AB2125" t="inlineStr">
        <is>
          <t>U2124</t>
        </is>
      </c>
      <c r="AC2125" t="inlineStr">
        <is>
          <t>IT</t>
        </is>
      </c>
      <c r="AD2125" t="n">
        <v>50.05</v>
      </c>
      <c r="AE2125" t="n">
        <v>91.09999999999999</v>
      </c>
      <c r="AF2125" t="n">
        <v>29.8</v>
      </c>
      <c r="AG2125" t="inlineStr">
        <is>
          <t>1:29.8</t>
        </is>
      </c>
      <c r="AH2125" t="inlineStr">
        <is>
          <t>5%</t>
        </is>
      </c>
      <c r="AI2125" t="inlineStr"/>
      <c r="AJ2125" t="n">
        <v>45.99</v>
      </c>
    </row>
    <row r="2126">
      <c r="A2126" t="inlineStr">
        <is>
          <t xml:space="preserve">University of Milano-Bicocca </t>
        </is>
      </c>
      <c r="B2126" t="inlineStr">
        <is>
          <t>Italy</t>
        </is>
      </c>
      <c r="C2126" t="inlineStr">
        <is>
          <t>513</t>
        </is>
      </c>
      <c r="D2126" t="n">
        <v>23.7</v>
      </c>
      <c r="E2126" t="n">
        <v>20.4</v>
      </c>
      <c r="F2126" t="n">
        <v>10.9</v>
      </c>
      <c r="G2126" t="n">
        <v>3.3</v>
      </c>
      <c r="H2126" t="n">
        <v>54.1</v>
      </c>
      <c r="I2126" t="n">
        <v>3.5</v>
      </c>
      <c r="J2126" t="n">
        <v>4.3</v>
      </c>
      <c r="K2126" t="n">
        <v>81.09999999999999</v>
      </c>
      <c r="L2126" t="n">
        <v>11.5</v>
      </c>
      <c r="M2126" t="n">
        <v>14.8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n">
        <v>513</v>
      </c>
      <c r="Z2126" t="inlineStr"/>
      <c r="AA2126" t="inlineStr"/>
      <c r="AB2126" t="inlineStr">
        <is>
          <t>U2125</t>
        </is>
      </c>
      <c r="AC2126" t="inlineStr">
        <is>
          <t>IT</t>
        </is>
      </c>
      <c r="AD2126" t="n">
        <v>23.7</v>
      </c>
      <c r="AE2126" t="n">
        <v>54.1</v>
      </c>
      <c r="AF2126" t="inlineStr"/>
      <c r="AG2126" t="inlineStr"/>
      <c r="AH2126" t="inlineStr"/>
      <c r="AI2126" t="n">
        <v>20.4</v>
      </c>
      <c r="AJ2126" t="n">
        <v>29.78</v>
      </c>
    </row>
    <row r="2127">
      <c r="A2127" t="inlineStr">
        <is>
          <t>University of Minho</t>
        </is>
      </c>
      <c r="B2127" t="inlineStr">
        <is>
          <t>Portugal</t>
        </is>
      </c>
      <c r="C2127" t="inlineStr">
        <is>
          <t>611-620</t>
        </is>
      </c>
      <c r="D2127" t="inlineStr"/>
      <c r="E2127" t="n">
        <v>15.6</v>
      </c>
      <c r="F2127" t="n">
        <v>7.1</v>
      </c>
      <c r="G2127" t="n">
        <v>26.5</v>
      </c>
      <c r="H2127" t="n">
        <v>21</v>
      </c>
      <c r="I2127" t="n">
        <v>15.9</v>
      </c>
      <c r="J2127" t="n">
        <v>14.9</v>
      </c>
      <c r="K2127" t="n">
        <v>83.7</v>
      </c>
      <c r="L2127" t="n">
        <v>8.6</v>
      </c>
      <c r="M2127" t="n">
        <v>52.1</v>
      </c>
      <c r="N2127" t="inlineStr">
        <is>
          <t>601–800</t>
        </is>
      </c>
      <c r="O2127" t="inlineStr">
        <is>
          <t>37.0–41.8</t>
        </is>
      </c>
      <c r="P2127" t="n">
        <v>26.3</v>
      </c>
      <c r="Q2127" t="n">
        <v>30.3</v>
      </c>
      <c r="R2127" t="n">
        <v>59.3</v>
      </c>
      <c r="S2127" t="n">
        <v>74.7</v>
      </c>
      <c r="T2127" t="n">
        <v>51.9</v>
      </c>
      <c r="U2127" t="inlineStr">
        <is>
          <t>20,001</t>
        </is>
      </c>
      <c r="V2127" t="n">
        <v>19.5</v>
      </c>
      <c r="W2127" t="inlineStr">
        <is>
          <t>13%</t>
        </is>
      </c>
      <c r="X2127" t="inlineStr">
        <is>
          <t>56 : 44</t>
        </is>
      </c>
      <c r="Y2127" t="n">
        <v>611</v>
      </c>
      <c r="Z2127" t="n">
        <v>601</v>
      </c>
      <c r="AA2127" t="n">
        <v>39.4</v>
      </c>
      <c r="AB2127" t="inlineStr">
        <is>
          <t>U2126</t>
        </is>
      </c>
      <c r="AC2127" t="inlineStr">
        <is>
          <t>PO</t>
        </is>
      </c>
      <c r="AD2127" t="n">
        <v>39.4</v>
      </c>
      <c r="AE2127" t="n">
        <v>21</v>
      </c>
      <c r="AF2127" t="n">
        <v>19.5</v>
      </c>
      <c r="AG2127" t="inlineStr">
        <is>
          <t>1:19.5</t>
        </is>
      </c>
      <c r="AH2127" t="inlineStr">
        <is>
          <t>13%</t>
        </is>
      </c>
      <c r="AI2127" t="n">
        <v>15.6</v>
      </c>
      <c r="AJ2127" t="n">
        <v>28.19</v>
      </c>
    </row>
    <row r="2128">
      <c r="A2128" t="inlineStr">
        <is>
          <t>University of Minnesota</t>
        </is>
      </c>
      <c r="B2128" t="inlineStr">
        <is>
          <t>United States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>
        <is>
          <t>85</t>
        </is>
      </c>
      <c r="O2128" t="inlineStr">
        <is>
          <t>68.7</t>
        </is>
      </c>
      <c r="P2128" t="n">
        <v>61</v>
      </c>
      <c r="Q2128" t="n">
        <v>58.5</v>
      </c>
      <c r="R2128" t="n">
        <v>87.2</v>
      </c>
      <c r="S2128" t="n">
        <v>99.8</v>
      </c>
      <c r="T2128" t="n">
        <v>48.3</v>
      </c>
      <c r="U2128" t="inlineStr">
        <is>
          <t>59,556</t>
        </is>
      </c>
      <c r="V2128" t="n">
        <v>11.8</v>
      </c>
      <c r="W2128" t="inlineStr">
        <is>
          <t>9%</t>
        </is>
      </c>
      <c r="X2128" t="inlineStr">
        <is>
          <t>55 : 45</t>
        </is>
      </c>
      <c r="Y2128" t="inlineStr"/>
      <c r="Z2128" t="n">
        <v>85</v>
      </c>
      <c r="AA2128" t="n">
        <v>68.7</v>
      </c>
      <c r="AB2128" t="inlineStr">
        <is>
          <t>U2127</t>
        </is>
      </c>
      <c r="AC2128" t="inlineStr">
        <is>
          <t>UN</t>
        </is>
      </c>
      <c r="AD2128" t="n">
        <v>68.7</v>
      </c>
      <c r="AE2128" t="n">
        <v>87.2</v>
      </c>
      <c r="AF2128" t="n">
        <v>11.8</v>
      </c>
      <c r="AG2128" t="inlineStr">
        <is>
          <t>1:11.8</t>
        </is>
      </c>
      <c r="AH2128" t="inlineStr">
        <is>
          <t>9%</t>
        </is>
      </c>
      <c r="AI2128" t="inlineStr"/>
      <c r="AJ2128" t="n">
        <v>62.16</v>
      </c>
    </row>
    <row r="2129">
      <c r="A2129" t="inlineStr">
        <is>
          <t>University of Minnesota Twin Cities</t>
        </is>
      </c>
      <c r="B2129" t="inlineStr">
        <is>
          <t>United States</t>
        </is>
      </c>
      <c r="C2129" t="inlineStr">
        <is>
          <t>203</t>
        </is>
      </c>
      <c r="D2129" t="n">
        <v>46</v>
      </c>
      <c r="E2129" t="n">
        <v>56.8</v>
      </c>
      <c r="F2129" t="n">
        <v>33.1</v>
      </c>
      <c r="G2129" t="n">
        <v>32.4</v>
      </c>
      <c r="H2129" t="n">
        <v>41.9</v>
      </c>
      <c r="I2129" t="n">
        <v>7.7</v>
      </c>
      <c r="J2129" t="n">
        <v>8.699999999999999</v>
      </c>
      <c r="K2129" t="n">
        <v>91.7</v>
      </c>
      <c r="L2129" t="n">
        <v>52.5</v>
      </c>
      <c r="M2129" t="n">
        <v>96.5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n">
        <v>203</v>
      </c>
      <c r="Z2129" t="inlineStr"/>
      <c r="AA2129" t="inlineStr"/>
      <c r="AB2129" t="inlineStr">
        <is>
          <t>U2128</t>
        </is>
      </c>
      <c r="AC2129" t="inlineStr">
        <is>
          <t>UN</t>
        </is>
      </c>
      <c r="AD2129" t="n">
        <v>46</v>
      </c>
      <c r="AE2129" t="n">
        <v>41.9</v>
      </c>
      <c r="AF2129" t="inlineStr"/>
      <c r="AG2129" t="inlineStr"/>
      <c r="AH2129" t="inlineStr"/>
      <c r="AI2129" t="n">
        <v>56.8</v>
      </c>
      <c r="AJ2129" t="n">
        <v>26.09</v>
      </c>
    </row>
    <row r="2130">
      <c r="A2130" t="inlineStr">
        <is>
          <t xml:space="preserve">University of Miskolc </t>
        </is>
      </c>
      <c r="B2130" t="inlineStr">
        <is>
          <t>Hungary</t>
        </is>
      </c>
      <c r="C2130" t="inlineStr">
        <is>
          <t>1201-1400</t>
        </is>
      </c>
      <c r="D2130" t="inlineStr"/>
      <c r="E2130" t="n">
        <v>6.6</v>
      </c>
      <c r="F2130" t="n">
        <v>5.7</v>
      </c>
      <c r="G2130" t="n">
        <v>18.6</v>
      </c>
      <c r="H2130" t="n">
        <v>2.4</v>
      </c>
      <c r="I2130" t="n">
        <v>3.1</v>
      </c>
      <c r="J2130" t="n">
        <v>3.8</v>
      </c>
      <c r="K2130" t="n">
        <v>19.2</v>
      </c>
      <c r="L2130" t="n">
        <v>13</v>
      </c>
      <c r="M2130" t="n">
        <v>1</v>
      </c>
      <c r="N2130" t="inlineStr">
        <is>
          <t>1501+</t>
        </is>
      </c>
      <c r="O2130" t="inlineStr">
        <is>
          <t>9.7–22.7</t>
        </is>
      </c>
      <c r="P2130" t="n">
        <v>25.6</v>
      </c>
      <c r="Q2130" t="n">
        <v>13.4</v>
      </c>
      <c r="R2130" t="n">
        <v>16.1</v>
      </c>
      <c r="S2130" t="n">
        <v>21.7</v>
      </c>
      <c r="T2130" t="n">
        <v>31.7</v>
      </c>
      <c r="U2130" t="inlineStr">
        <is>
          <t>7,808</t>
        </is>
      </c>
      <c r="V2130" t="n">
        <v>14.9</v>
      </c>
      <c r="W2130" t="inlineStr">
        <is>
          <t>5%</t>
        </is>
      </c>
      <c r="X2130" t="inlineStr">
        <is>
          <t>48 : 52</t>
        </is>
      </c>
      <c r="Y2130" t="n">
        <v>1201</v>
      </c>
      <c r="Z2130" t="n">
        <v>1501</v>
      </c>
      <c r="AA2130" t="n">
        <v>16.2</v>
      </c>
      <c r="AB2130" t="inlineStr">
        <is>
          <t>U2129</t>
        </is>
      </c>
      <c r="AC2130" t="inlineStr">
        <is>
          <t>HU</t>
        </is>
      </c>
      <c r="AD2130" t="n">
        <v>16.2</v>
      </c>
      <c r="AE2130" t="n">
        <v>2.4</v>
      </c>
      <c r="AF2130" t="n">
        <v>14.9</v>
      </c>
      <c r="AG2130" t="inlineStr">
        <is>
          <t>1:14.9</t>
        </is>
      </c>
      <c r="AH2130" t="inlineStr">
        <is>
          <t>5%</t>
        </is>
      </c>
      <c r="AI2130" t="n">
        <v>6.6</v>
      </c>
      <c r="AJ2130" t="n">
        <v>8.81</v>
      </c>
    </row>
    <row r="2131">
      <c r="A2131" t="inlineStr">
        <is>
          <t>University of Mississippi</t>
        </is>
      </c>
      <c r="B2131" t="inlineStr">
        <is>
          <t>United States</t>
        </is>
      </c>
      <c r="C2131" t="inlineStr">
        <is>
          <t>851-900</t>
        </is>
      </c>
      <c r="D2131" t="inlineStr"/>
      <c r="E2131" t="n">
        <v>4.2</v>
      </c>
      <c r="F2131" t="n">
        <v>2</v>
      </c>
      <c r="G2131" t="n">
        <v>83</v>
      </c>
      <c r="H2131" t="n">
        <v>5.5</v>
      </c>
      <c r="I2131" t="n">
        <v>6.1</v>
      </c>
      <c r="J2131" t="n">
        <v>2.9</v>
      </c>
      <c r="K2131" t="n">
        <v>58</v>
      </c>
      <c r="L2131" t="n">
        <v>3.6</v>
      </c>
      <c r="M2131" t="n">
        <v>1.7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n">
        <v>851</v>
      </c>
      <c r="Z2131" t="inlineStr"/>
      <c r="AA2131" t="inlineStr"/>
      <c r="AB2131" t="inlineStr">
        <is>
          <t>U2130</t>
        </is>
      </c>
      <c r="AC2131" t="inlineStr">
        <is>
          <t>UN</t>
        </is>
      </c>
      <c r="AD2131" t="inlineStr"/>
      <c r="AE2131" t="n">
        <v>5.5</v>
      </c>
      <c r="AF2131" t="inlineStr"/>
      <c r="AG2131" t="inlineStr"/>
      <c r="AH2131" t="inlineStr"/>
      <c r="AI2131" t="n">
        <v>4.2</v>
      </c>
      <c r="AJ2131" t="n">
        <v>15.06</v>
      </c>
    </row>
    <row r="2132">
      <c r="A2132" t="inlineStr">
        <is>
          <t>University of Missouri, Columbia</t>
        </is>
      </c>
      <c r="B2132" t="inlineStr">
        <is>
          <t>United States</t>
        </is>
      </c>
      <c r="C2132" t="inlineStr">
        <is>
          <t>641-650</t>
        </is>
      </c>
      <c r="D2132" t="inlineStr"/>
      <c r="E2132" t="n">
        <v>14.3</v>
      </c>
      <c r="F2132" t="n">
        <v>8</v>
      </c>
      <c r="G2132" t="n">
        <v>37.8</v>
      </c>
      <c r="H2132" t="n">
        <v>16.5</v>
      </c>
      <c r="I2132" t="n">
        <v>46.7</v>
      </c>
      <c r="J2132" t="n">
        <v>3.3</v>
      </c>
      <c r="K2132" t="n">
        <v>66.5</v>
      </c>
      <c r="L2132" t="n">
        <v>30.5</v>
      </c>
      <c r="M2132" t="n">
        <v>12.3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n">
        <v>641</v>
      </c>
      <c r="Z2132" t="inlineStr"/>
      <c r="AA2132" t="inlineStr"/>
      <c r="AB2132" t="inlineStr">
        <is>
          <t>U2131</t>
        </is>
      </c>
      <c r="AC2132" t="inlineStr">
        <is>
          <t>UN</t>
        </is>
      </c>
      <c r="AD2132" t="inlineStr"/>
      <c r="AE2132" t="n">
        <v>16.5</v>
      </c>
      <c r="AF2132" t="inlineStr"/>
      <c r="AG2132" t="inlineStr"/>
      <c r="AH2132" t="inlineStr"/>
      <c r="AI2132" t="n">
        <v>14.3</v>
      </c>
      <c r="AJ2132" t="n">
        <v>18.39</v>
      </c>
    </row>
    <row r="2133">
      <c r="A2133" t="inlineStr">
        <is>
          <t>University of Missouri, Kansas City</t>
        </is>
      </c>
      <c r="B2133" t="inlineStr">
        <is>
          <t>United States</t>
        </is>
      </c>
      <c r="C2133" t="inlineStr">
        <is>
          <t>1001-1200</t>
        </is>
      </c>
      <c r="D2133" t="inlineStr"/>
      <c r="E2133" t="n">
        <v>4.4</v>
      </c>
      <c r="F2133" t="n">
        <v>4.4</v>
      </c>
      <c r="G2133" t="n">
        <v>14.3</v>
      </c>
      <c r="H2133" t="n">
        <v>16.9</v>
      </c>
      <c r="I2133" t="n">
        <v>4.1</v>
      </c>
      <c r="J2133" t="n">
        <v>20</v>
      </c>
      <c r="K2133" t="n">
        <v>29.3</v>
      </c>
      <c r="L2133" t="n">
        <v>6.6</v>
      </c>
      <c r="M2133" t="n">
        <v>1.8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n">
        <v>1001</v>
      </c>
      <c r="Z2133" t="inlineStr"/>
      <c r="AA2133" t="inlineStr"/>
      <c r="AB2133" t="inlineStr">
        <is>
          <t>U2132</t>
        </is>
      </c>
      <c r="AC2133" t="inlineStr">
        <is>
          <t>UN</t>
        </is>
      </c>
      <c r="AD2133" t="inlineStr"/>
      <c r="AE2133" t="n">
        <v>16.9</v>
      </c>
      <c r="AF2133" t="inlineStr"/>
      <c r="AG2133" t="inlineStr"/>
      <c r="AH2133" t="inlineStr"/>
      <c r="AI2133" t="n">
        <v>4.4</v>
      </c>
      <c r="AJ2133" t="n">
        <v>18.51</v>
      </c>
    </row>
    <row r="2134">
      <c r="A2134" t="inlineStr">
        <is>
          <t>University of Missouri Saint Louis</t>
        </is>
      </c>
      <c r="B2134" t="inlineStr">
        <is>
          <t>United States</t>
        </is>
      </c>
      <c r="C2134" t="inlineStr">
        <is>
          <t>1201-1400</t>
        </is>
      </c>
      <c r="D2134" t="inlineStr"/>
      <c r="E2134" t="n">
        <v>4.2</v>
      </c>
      <c r="F2134" t="n">
        <v>4.2</v>
      </c>
      <c r="G2134" t="n">
        <v>12.3</v>
      </c>
      <c r="H2134" t="n">
        <v>10.5</v>
      </c>
      <c r="I2134" t="n">
        <v>3.4</v>
      </c>
      <c r="J2134" t="n">
        <v>3.1</v>
      </c>
      <c r="K2134" t="n">
        <v>9.800000000000001</v>
      </c>
      <c r="L2134" t="n">
        <v>7.7</v>
      </c>
      <c r="M2134" t="n">
        <v>1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n">
        <v>1201</v>
      </c>
      <c r="Z2134" t="inlineStr"/>
      <c r="AA2134" t="inlineStr"/>
      <c r="AB2134" t="inlineStr">
        <is>
          <t>U2133</t>
        </is>
      </c>
      <c r="AC2134" t="inlineStr">
        <is>
          <t>UN</t>
        </is>
      </c>
      <c r="AD2134" t="inlineStr"/>
      <c r="AE2134" t="n">
        <v>10.5</v>
      </c>
      <c r="AF2134" t="inlineStr"/>
      <c r="AG2134" t="inlineStr"/>
      <c r="AH2134" t="inlineStr"/>
      <c r="AI2134" t="n">
        <v>4.2</v>
      </c>
      <c r="AJ2134" t="n">
        <v>16.57</v>
      </c>
    </row>
    <row r="2135">
      <c r="A2135" t="inlineStr">
        <is>
          <t>University of Miyazaki</t>
        </is>
      </c>
      <c r="B2135" t="inlineStr">
        <is>
          <t>Japan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>
        <is>
          <t>1501+</t>
        </is>
      </c>
      <c r="O2135" t="inlineStr">
        <is>
          <t>9.7–22.7</t>
        </is>
      </c>
      <c r="P2135" t="n">
        <v>27.4</v>
      </c>
      <c r="Q2135" t="n">
        <v>11.8</v>
      </c>
      <c r="R2135" t="n">
        <v>24.3</v>
      </c>
      <c r="S2135" t="n">
        <v>44</v>
      </c>
      <c r="T2135" t="n">
        <v>27.8</v>
      </c>
      <c r="U2135" t="inlineStr">
        <is>
          <t>5,447</t>
        </is>
      </c>
      <c r="V2135" t="n">
        <v>7.4</v>
      </c>
      <c r="W2135" t="inlineStr">
        <is>
          <t>3%</t>
        </is>
      </c>
      <c r="X2135" t="inlineStr">
        <is>
          <t>36 : 64</t>
        </is>
      </c>
      <c r="Y2135" t="inlineStr"/>
      <c r="Z2135" t="n">
        <v>1501</v>
      </c>
      <c r="AA2135" t="n">
        <v>16.2</v>
      </c>
      <c r="AB2135" t="inlineStr">
        <is>
          <t>U2134</t>
        </is>
      </c>
      <c r="AC2135" t="inlineStr">
        <is>
          <t>JA</t>
        </is>
      </c>
      <c r="AD2135" t="n">
        <v>16.2</v>
      </c>
      <c r="AE2135" t="n">
        <v>24.3</v>
      </c>
      <c r="AF2135" t="n">
        <v>7.4</v>
      </c>
      <c r="AG2135" t="inlineStr">
        <is>
          <t>1:7.4</t>
        </is>
      </c>
      <c r="AH2135" t="inlineStr">
        <is>
          <t>3%</t>
        </is>
      </c>
      <c r="AI2135" t="inlineStr"/>
      <c r="AJ2135" t="n">
        <v>13.66</v>
      </c>
    </row>
    <row r="2136">
      <c r="A2136" t="inlineStr">
        <is>
          <t>University of Modena and Reggio Emilia</t>
        </is>
      </c>
      <c r="B2136" t="inlineStr">
        <is>
          <t>Italy</t>
        </is>
      </c>
      <c r="C2136" t="inlineStr">
        <is>
          <t>721-730</t>
        </is>
      </c>
      <c r="D2136" t="inlineStr"/>
      <c r="E2136" t="n">
        <v>8.6</v>
      </c>
      <c r="F2136" t="n">
        <v>4</v>
      </c>
      <c r="G2136" t="n">
        <v>2.9</v>
      </c>
      <c r="H2136" t="n">
        <v>49.7</v>
      </c>
      <c r="I2136" t="n">
        <v>4</v>
      </c>
      <c r="J2136" t="n">
        <v>3.6</v>
      </c>
      <c r="K2136" t="n">
        <v>53.3</v>
      </c>
      <c r="L2136" t="n">
        <v>15.2</v>
      </c>
      <c r="M2136" t="n">
        <v>23.2</v>
      </c>
      <c r="N2136" t="inlineStr">
        <is>
          <t>401–500</t>
        </is>
      </c>
      <c r="O2136" t="inlineStr">
        <is>
          <t>45.4–49.0</t>
        </is>
      </c>
      <c r="P2136" t="n">
        <v>32</v>
      </c>
      <c r="Q2136" t="n">
        <v>24.6</v>
      </c>
      <c r="R2136" t="n">
        <v>79.59999999999999</v>
      </c>
      <c r="S2136" t="n">
        <v>80.3</v>
      </c>
      <c r="T2136" t="n">
        <v>40.2</v>
      </c>
      <c r="U2136" t="inlineStr">
        <is>
          <t>21,836</t>
        </is>
      </c>
      <c r="V2136" t="n">
        <v>27</v>
      </c>
      <c r="W2136" t="inlineStr">
        <is>
          <t>5%</t>
        </is>
      </c>
      <c r="X2136" t="inlineStr">
        <is>
          <t>54 : 46</t>
        </is>
      </c>
      <c r="Y2136" t="n">
        <v>721</v>
      </c>
      <c r="Z2136" t="n">
        <v>401</v>
      </c>
      <c r="AA2136" t="n">
        <v>47.2</v>
      </c>
      <c r="AB2136" t="inlineStr">
        <is>
          <t>U2135</t>
        </is>
      </c>
      <c r="AC2136" t="inlineStr">
        <is>
          <t>IT</t>
        </is>
      </c>
      <c r="AD2136" t="n">
        <v>47.2</v>
      </c>
      <c r="AE2136" t="n">
        <v>49.7</v>
      </c>
      <c r="AF2136" t="n">
        <v>27</v>
      </c>
      <c r="AG2136" t="inlineStr">
        <is>
          <t>1:27.0</t>
        </is>
      </c>
      <c r="AH2136" t="inlineStr">
        <is>
          <t>5%</t>
        </is>
      </c>
      <c r="AI2136" t="n">
        <v>8.6</v>
      </c>
      <c r="AJ2136" t="n">
        <v>31.07</v>
      </c>
    </row>
    <row r="2137">
      <c r="A2137" t="inlineStr">
        <is>
          <t>University of Mohaghegh Ardabili</t>
        </is>
      </c>
      <c r="B2137" t="inlineStr">
        <is>
          <t>Iran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>
        <is>
          <t>801–1000</t>
        </is>
      </c>
      <c r="O2137" t="inlineStr">
        <is>
          <t>32.7–36.9</t>
        </is>
      </c>
      <c r="P2137" t="n">
        <v>19.3</v>
      </c>
      <c r="Q2137" t="n">
        <v>17.3</v>
      </c>
      <c r="R2137" t="n">
        <v>71.5</v>
      </c>
      <c r="S2137" t="n">
        <v>19.7</v>
      </c>
      <c r="T2137" t="n">
        <v>32.9</v>
      </c>
      <c r="U2137" t="inlineStr">
        <is>
          <t>11,773</t>
        </is>
      </c>
      <c r="V2137" t="n">
        <v>29.7</v>
      </c>
      <c r="W2137" t="inlineStr">
        <is>
          <t>0%</t>
        </is>
      </c>
      <c r="X2137" t="inlineStr">
        <is>
          <t>55 : 45</t>
        </is>
      </c>
      <c r="Y2137" t="inlineStr"/>
      <c r="Z2137" t="n">
        <v>801</v>
      </c>
      <c r="AA2137" t="n">
        <v>34.8</v>
      </c>
      <c r="AB2137" t="inlineStr">
        <is>
          <t>U2136</t>
        </is>
      </c>
      <c r="AC2137" t="inlineStr">
        <is>
          <t>IR</t>
        </is>
      </c>
      <c r="AD2137" t="n">
        <v>34.8</v>
      </c>
      <c r="AE2137" t="n">
        <v>71.5</v>
      </c>
      <c r="AF2137" t="n">
        <v>29.7</v>
      </c>
      <c r="AG2137" t="inlineStr">
        <is>
          <t>1:29.7</t>
        </is>
      </c>
      <c r="AH2137" t="inlineStr">
        <is>
          <t>0%</t>
        </is>
      </c>
      <c r="AI2137" t="inlineStr"/>
      <c r="AJ2137" t="n">
        <v>32.08</v>
      </c>
    </row>
    <row r="2138">
      <c r="A2138" t="inlineStr">
        <is>
          <t>University of Monastir</t>
        </is>
      </c>
      <c r="B2138" t="inlineStr">
        <is>
          <t>Tunisia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>
        <is>
          <t>1201–1500</t>
        </is>
      </c>
      <c r="O2138" t="inlineStr">
        <is>
          <t>22.8–28.2</t>
        </is>
      </c>
      <c r="P2138" t="n">
        <v>25.7</v>
      </c>
      <c r="Q2138" t="n">
        <v>10.1</v>
      </c>
      <c r="R2138" t="n">
        <v>36.2</v>
      </c>
      <c r="S2138" t="n">
        <v>28.1</v>
      </c>
      <c r="T2138" t="n">
        <v>46</v>
      </c>
      <c r="U2138" t="inlineStr">
        <is>
          <t>18,846</t>
        </is>
      </c>
      <c r="V2138" t="n">
        <v>8.5</v>
      </c>
      <c r="W2138" t="inlineStr">
        <is>
          <t>2%</t>
        </is>
      </c>
      <c r="X2138" t="inlineStr">
        <is>
          <t>69 : 31</t>
        </is>
      </c>
      <c r="Y2138" t="inlineStr"/>
      <c r="Z2138" t="n">
        <v>1201</v>
      </c>
      <c r="AA2138" t="n">
        <v>25.5</v>
      </c>
      <c r="AB2138" t="inlineStr">
        <is>
          <t>U2137</t>
        </is>
      </c>
      <c r="AC2138" t="inlineStr">
        <is>
          <t>TU</t>
        </is>
      </c>
      <c r="AD2138" t="n">
        <v>25.5</v>
      </c>
      <c r="AE2138" t="n">
        <v>36.2</v>
      </c>
      <c r="AF2138" t="n">
        <v>8.5</v>
      </c>
      <c r="AG2138" t="inlineStr">
        <is>
          <t>1:8.5</t>
        </is>
      </c>
      <c r="AH2138" t="inlineStr">
        <is>
          <t>2%</t>
        </is>
      </c>
      <c r="AI2138" t="inlineStr"/>
      <c r="AJ2138" t="n">
        <v>20.78</v>
      </c>
    </row>
    <row r="2139">
      <c r="A2139" t="inlineStr">
        <is>
          <t xml:space="preserve">University of Mons </t>
        </is>
      </c>
      <c r="B2139" t="inlineStr">
        <is>
          <t>Belgium</t>
        </is>
      </c>
      <c r="C2139" t="inlineStr">
        <is>
          <t>781-790</t>
        </is>
      </c>
      <c r="D2139" t="inlineStr"/>
      <c r="E2139" t="n">
        <v>7.1</v>
      </c>
      <c r="F2139" t="n">
        <v>7</v>
      </c>
      <c r="G2139" t="n">
        <v>3.4</v>
      </c>
      <c r="H2139" t="n">
        <v>37.3</v>
      </c>
      <c r="I2139" t="n">
        <v>35</v>
      </c>
      <c r="J2139" t="n">
        <v>33.7</v>
      </c>
      <c r="K2139" t="n">
        <v>43.7</v>
      </c>
      <c r="L2139" t="n">
        <v>6.1</v>
      </c>
      <c r="M2139" t="n">
        <v>1.6</v>
      </c>
      <c r="N2139" t="inlineStr">
        <is>
          <t>501–600</t>
        </is>
      </c>
      <c r="O2139" t="inlineStr">
        <is>
          <t>41.9–45.3</t>
        </is>
      </c>
      <c r="P2139" t="n">
        <v>24.8</v>
      </c>
      <c r="Q2139" t="n">
        <v>32.5</v>
      </c>
      <c r="R2139" t="n">
        <v>63.9</v>
      </c>
      <c r="S2139" t="n">
        <v>64</v>
      </c>
      <c r="T2139" t="n">
        <v>71.5</v>
      </c>
      <c r="U2139" t="inlineStr">
        <is>
          <t>8,132</t>
        </is>
      </c>
      <c r="V2139" t="n">
        <v>28.1</v>
      </c>
      <c r="W2139" t="inlineStr">
        <is>
          <t>18%</t>
        </is>
      </c>
      <c r="X2139" t="inlineStr">
        <is>
          <t>56 : 44</t>
        </is>
      </c>
      <c r="Y2139" t="n">
        <v>781</v>
      </c>
      <c r="Z2139" t="n">
        <v>501</v>
      </c>
      <c r="AA2139" t="n">
        <v>43.59999999999999</v>
      </c>
      <c r="AB2139" t="inlineStr">
        <is>
          <t>U2138</t>
        </is>
      </c>
      <c r="AC2139" t="inlineStr">
        <is>
          <t>BE</t>
        </is>
      </c>
      <c r="AD2139" t="n">
        <v>43.59999999999999</v>
      </c>
      <c r="AE2139" t="n">
        <v>37.3</v>
      </c>
      <c r="AF2139" t="n">
        <v>28.1</v>
      </c>
      <c r="AG2139" t="inlineStr">
        <is>
          <t>1:28.1</t>
        </is>
      </c>
      <c r="AH2139" t="inlineStr">
        <is>
          <t>18%</t>
        </is>
      </c>
      <c r="AI2139" t="n">
        <v>7.1</v>
      </c>
      <c r="AJ2139" t="n">
        <v>39.02</v>
      </c>
    </row>
    <row r="2140">
      <c r="A2140" t="inlineStr">
        <is>
          <t xml:space="preserve">University of Montana Missoula </t>
        </is>
      </c>
      <c r="B2140" t="inlineStr">
        <is>
          <t>United States</t>
        </is>
      </c>
      <c r="C2140" t="inlineStr">
        <is>
          <t>1401+</t>
        </is>
      </c>
      <c r="D2140" t="inlineStr"/>
      <c r="E2140" t="n">
        <v>3</v>
      </c>
      <c r="F2140" t="n">
        <v>2.2</v>
      </c>
      <c r="G2140" t="n">
        <v>10.6</v>
      </c>
      <c r="H2140" t="n">
        <v>6.1</v>
      </c>
      <c r="I2140" t="n">
        <v>1.3</v>
      </c>
      <c r="J2140" t="n">
        <v>1.9</v>
      </c>
      <c r="K2140" t="n">
        <v>6.5</v>
      </c>
      <c r="L2140" t="n">
        <v>3.1</v>
      </c>
      <c r="M2140" t="n">
        <v>1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n">
        <v>1401</v>
      </c>
      <c r="Z2140" t="inlineStr"/>
      <c r="AA2140" t="inlineStr"/>
      <c r="AB2140" t="inlineStr">
        <is>
          <t>U2139</t>
        </is>
      </c>
      <c r="AC2140" t="inlineStr">
        <is>
          <t>UN</t>
        </is>
      </c>
      <c r="AD2140" t="inlineStr"/>
      <c r="AE2140" t="n">
        <v>6.1</v>
      </c>
      <c r="AF2140" t="inlineStr"/>
      <c r="AG2140" t="inlineStr"/>
      <c r="AH2140" t="inlineStr"/>
      <c r="AI2140" t="n">
        <v>3</v>
      </c>
      <c r="AJ2140" t="n">
        <v>15.24</v>
      </c>
    </row>
    <row r="2141">
      <c r="A2141" t="inlineStr">
        <is>
          <t>University of Montenegro</t>
        </is>
      </c>
      <c r="B2141" t="inlineStr">
        <is>
          <t>Montenegro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>
        <is>
          <t>1501+</t>
        </is>
      </c>
      <c r="O2141" t="inlineStr">
        <is>
          <t>9.7–22.7</t>
        </is>
      </c>
      <c r="P2141" t="n">
        <v>13</v>
      </c>
      <c r="Q2141" t="n">
        <v>12.6</v>
      </c>
      <c r="R2141" t="n">
        <v>23.8</v>
      </c>
      <c r="S2141" t="n">
        <v>25.4</v>
      </c>
      <c r="T2141" t="n">
        <v>41.8</v>
      </c>
      <c r="U2141" t="inlineStr">
        <is>
          <t>15,618</t>
        </is>
      </c>
      <c r="V2141" t="n">
        <v>20.3</v>
      </c>
      <c r="W2141" t="inlineStr">
        <is>
          <t>2%</t>
        </is>
      </c>
      <c r="X2141" t="inlineStr">
        <is>
          <t>68 : 32</t>
        </is>
      </c>
      <c r="Y2141" t="inlineStr"/>
      <c r="Z2141" t="n">
        <v>1501</v>
      </c>
      <c r="AA2141" t="n">
        <v>16.2</v>
      </c>
      <c r="AB2141" t="inlineStr">
        <is>
          <t>U2140</t>
        </is>
      </c>
      <c r="AC2141" t="inlineStr">
        <is>
          <t>MO</t>
        </is>
      </c>
      <c r="AD2141" t="n">
        <v>16.2</v>
      </c>
      <c r="AE2141" t="n">
        <v>23.8</v>
      </c>
      <c r="AF2141" t="n">
        <v>20.3</v>
      </c>
      <c r="AG2141" t="inlineStr">
        <is>
          <t>1:20.3</t>
        </is>
      </c>
      <c r="AH2141" t="inlineStr">
        <is>
          <t>2%</t>
        </is>
      </c>
      <c r="AI2141" t="inlineStr"/>
      <c r="AJ2141" t="n">
        <v>17.32</v>
      </c>
    </row>
    <row r="2142">
      <c r="A2142" t="inlineStr">
        <is>
          <t>University of Montreal</t>
        </is>
      </c>
      <c r="B2142" t="inlineStr">
        <is>
          <t>Canada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>
        <f>111</f>
        <v/>
      </c>
      <c r="O2142" t="inlineStr">
        <is>
          <t>65.8</t>
        </is>
      </c>
      <c r="P2142" t="n">
        <v>51.2</v>
      </c>
      <c r="Q2142" t="n">
        <v>54.1</v>
      </c>
      <c r="R2142" t="n">
        <v>81.7</v>
      </c>
      <c r="S2142" t="n">
        <v>96.59999999999999</v>
      </c>
      <c r="T2142" t="n">
        <v>87.7</v>
      </c>
      <c r="U2142" t="inlineStr">
        <is>
          <t>39,935</t>
        </is>
      </c>
      <c r="V2142" t="n">
        <v>20.5</v>
      </c>
      <c r="W2142" t="inlineStr">
        <is>
          <t>22%</t>
        </is>
      </c>
      <c r="X2142" t="inlineStr"/>
      <c r="Y2142" t="inlineStr"/>
      <c r="Z2142" t="n">
        <v>111</v>
      </c>
      <c r="AA2142" t="n">
        <v>65.8</v>
      </c>
      <c r="AB2142" t="inlineStr">
        <is>
          <t>U2141</t>
        </is>
      </c>
      <c r="AC2142" t="inlineStr">
        <is>
          <t>CA</t>
        </is>
      </c>
      <c r="AD2142" t="n">
        <v>65.8</v>
      </c>
      <c r="AE2142" t="n">
        <v>81.7</v>
      </c>
      <c r="AF2142" t="n">
        <v>20.5</v>
      </c>
      <c r="AG2142" t="inlineStr">
        <is>
          <t>1:20.5</t>
        </is>
      </c>
      <c r="AH2142" t="inlineStr">
        <is>
          <t>22%</t>
        </is>
      </c>
      <c r="AI2142" t="inlineStr"/>
      <c r="AJ2142" t="n">
        <v>67.70999999999999</v>
      </c>
    </row>
    <row r="2143">
      <c r="A2143" t="inlineStr">
        <is>
          <t>University of Mosul</t>
        </is>
      </c>
      <c r="B2143" t="inlineStr">
        <is>
          <t>Iraq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>
        <is>
          <t>1501+</t>
        </is>
      </c>
      <c r="O2143" t="inlineStr">
        <is>
          <t>9.7–22.7</t>
        </is>
      </c>
      <c r="P2143" t="n">
        <v>14.8</v>
      </c>
      <c r="Q2143" t="n">
        <v>9.9</v>
      </c>
      <c r="R2143" t="n">
        <v>16.3</v>
      </c>
      <c r="S2143" t="n">
        <v>28.8</v>
      </c>
      <c r="T2143" t="n">
        <v>20.1</v>
      </c>
      <c r="U2143" t="inlineStr">
        <is>
          <t>59,250</t>
        </is>
      </c>
      <c r="V2143" t="n">
        <v>20.2</v>
      </c>
      <c r="W2143" t="inlineStr">
        <is>
          <t>0%</t>
        </is>
      </c>
      <c r="X2143" t="inlineStr">
        <is>
          <t>47 : 53</t>
        </is>
      </c>
      <c r="Y2143" t="inlineStr"/>
      <c r="Z2143" t="n">
        <v>1501</v>
      </c>
      <c r="AA2143" t="n">
        <v>16.2</v>
      </c>
      <c r="AB2143" t="inlineStr">
        <is>
          <t>U2142</t>
        </is>
      </c>
      <c r="AC2143" t="inlineStr">
        <is>
          <t>IR</t>
        </is>
      </c>
      <c r="AD2143" t="n">
        <v>16.2</v>
      </c>
      <c r="AE2143" t="n">
        <v>16.3</v>
      </c>
      <c r="AF2143" t="n">
        <v>20.2</v>
      </c>
      <c r="AG2143" t="inlineStr">
        <is>
          <t>1:20.2</t>
        </is>
      </c>
      <c r="AH2143" t="inlineStr">
        <is>
          <t>0%</t>
        </is>
      </c>
      <c r="AI2143" t="inlineStr"/>
      <c r="AJ2143" t="n">
        <v>8.380000000000001</v>
      </c>
    </row>
    <row r="2144">
      <c r="A2144" t="inlineStr">
        <is>
          <t>University of Mumbai</t>
        </is>
      </c>
      <c r="B2144" t="inlineStr">
        <is>
          <t>India</t>
        </is>
      </c>
      <c r="C2144" t="inlineStr">
        <is>
          <t>711-720</t>
        </is>
      </c>
      <c r="D2144" t="inlineStr"/>
      <c r="E2144" t="n">
        <v>9.1</v>
      </c>
      <c r="F2144" t="n">
        <v>28.8</v>
      </c>
      <c r="G2144" t="n">
        <v>2.8</v>
      </c>
      <c r="H2144" t="n">
        <v>30.9</v>
      </c>
      <c r="I2144" t="n">
        <v>2</v>
      </c>
      <c r="J2144" t="n">
        <v>2</v>
      </c>
      <c r="K2144" t="n">
        <v>18.3</v>
      </c>
      <c r="L2144" t="n">
        <v>81.40000000000001</v>
      </c>
      <c r="M2144" t="n">
        <v>1.7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n">
        <v>711</v>
      </c>
      <c r="Z2144" t="inlineStr"/>
      <c r="AA2144" t="inlineStr"/>
      <c r="AB2144" t="inlineStr">
        <is>
          <t>U2143</t>
        </is>
      </c>
      <c r="AC2144" t="inlineStr">
        <is>
          <t>IN</t>
        </is>
      </c>
      <c r="AD2144" t="inlineStr"/>
      <c r="AE2144" t="n">
        <v>30.9</v>
      </c>
      <c r="AF2144" t="inlineStr"/>
      <c r="AG2144" t="inlineStr"/>
      <c r="AH2144" t="inlineStr"/>
      <c r="AI2144" t="n">
        <v>9.1</v>
      </c>
      <c r="AJ2144" t="n">
        <v>22.75</v>
      </c>
    </row>
    <row r="2145">
      <c r="A2145" t="inlineStr">
        <is>
          <t>University of Murcia</t>
        </is>
      </c>
      <c r="B2145" t="inlineStr">
        <is>
          <t>Spain</t>
        </is>
      </c>
      <c r="C2145" t="inlineStr">
        <is>
          <t>901-950</t>
        </is>
      </c>
      <c r="D2145" t="inlineStr"/>
      <c r="E2145" t="n">
        <v>11.7</v>
      </c>
      <c r="F2145" t="n">
        <v>2.9</v>
      </c>
      <c r="G2145" t="n">
        <v>24.5</v>
      </c>
      <c r="H2145" t="n">
        <v>6.8</v>
      </c>
      <c r="I2145" t="n">
        <v>1.7</v>
      </c>
      <c r="J2145" t="n">
        <v>3.9</v>
      </c>
      <c r="K2145" t="n">
        <v>79.8</v>
      </c>
      <c r="L2145" t="n">
        <v>3.7</v>
      </c>
      <c r="M2145" t="n">
        <v>44.9</v>
      </c>
      <c r="N2145" t="inlineStr">
        <is>
          <t>801–1000</t>
        </is>
      </c>
      <c r="O2145" t="inlineStr">
        <is>
          <t>32.7–36.9</t>
        </is>
      </c>
      <c r="P2145" t="n">
        <v>25.2</v>
      </c>
      <c r="Q2145" t="n">
        <v>19.9</v>
      </c>
      <c r="R2145" t="n">
        <v>52.6</v>
      </c>
      <c r="S2145" t="n">
        <v>61.4</v>
      </c>
      <c r="T2145" t="n">
        <v>38.9</v>
      </c>
      <c r="U2145" t="inlineStr">
        <is>
          <t>28,862</t>
        </is>
      </c>
      <c r="V2145" t="n">
        <v>17.7</v>
      </c>
      <c r="W2145" t="inlineStr">
        <is>
          <t>5%</t>
        </is>
      </c>
      <c r="X2145" t="inlineStr">
        <is>
          <t>62 : 38</t>
        </is>
      </c>
      <c r="Y2145" t="n">
        <v>901</v>
      </c>
      <c r="Z2145" t="n">
        <v>801</v>
      </c>
      <c r="AA2145" t="n">
        <v>34.8</v>
      </c>
      <c r="AB2145" t="inlineStr">
        <is>
          <t>U2144</t>
        </is>
      </c>
      <c r="AC2145" t="inlineStr">
        <is>
          <t>SP</t>
        </is>
      </c>
      <c r="AD2145" t="n">
        <v>34.8</v>
      </c>
      <c r="AE2145" t="n">
        <v>6.8</v>
      </c>
      <c r="AF2145" t="n">
        <v>17.7</v>
      </c>
      <c r="AG2145" t="inlineStr">
        <is>
          <t>1:17.7</t>
        </is>
      </c>
      <c r="AH2145" t="inlineStr">
        <is>
          <t>5%</t>
        </is>
      </c>
      <c r="AI2145" t="n">
        <v>11.7</v>
      </c>
      <c r="AJ2145" t="n">
        <v>15.29</v>
      </c>
    </row>
    <row r="2146">
      <c r="A2146" t="inlineStr">
        <is>
          <t>University of Mysore</t>
        </is>
      </c>
      <c r="B2146" t="inlineStr">
        <is>
          <t>India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>
        <is>
          <t>1501+</t>
        </is>
      </c>
      <c r="O2146" t="inlineStr">
        <is>
          <t>9.7–22.7</t>
        </is>
      </c>
      <c r="P2146" t="n">
        <v>28.2</v>
      </c>
      <c r="Q2146" t="n">
        <v>9</v>
      </c>
      <c r="R2146" t="n">
        <v>23.2</v>
      </c>
      <c r="S2146" t="n">
        <v>22.3</v>
      </c>
      <c r="T2146" t="n">
        <v>42.3</v>
      </c>
      <c r="U2146" t="inlineStr">
        <is>
          <t>10,130</t>
        </is>
      </c>
      <c r="V2146" t="n">
        <v>25.8</v>
      </c>
      <c r="W2146" t="inlineStr">
        <is>
          <t>8%</t>
        </is>
      </c>
      <c r="X2146" t="inlineStr">
        <is>
          <t>33 : 67</t>
        </is>
      </c>
      <c r="Y2146" t="inlineStr"/>
      <c r="Z2146" t="n">
        <v>1501</v>
      </c>
      <c r="AA2146" t="n">
        <v>16.2</v>
      </c>
      <c r="AB2146" t="inlineStr">
        <is>
          <t>U2145</t>
        </is>
      </c>
      <c r="AC2146" t="inlineStr">
        <is>
          <t>IN</t>
        </is>
      </c>
      <c r="AD2146" t="n">
        <v>16.2</v>
      </c>
      <c r="AE2146" t="n">
        <v>23.2</v>
      </c>
      <c r="AF2146" t="n">
        <v>25.8</v>
      </c>
      <c r="AG2146" t="inlineStr">
        <is>
          <t>1:25.8</t>
        </is>
      </c>
      <c r="AH2146" t="inlineStr">
        <is>
          <t>8%</t>
        </is>
      </c>
      <c r="AI2146" t="inlineStr"/>
      <c r="AJ2146" t="n">
        <v>15.37</v>
      </c>
    </row>
    <row r="2147">
      <c r="A2147" t="inlineStr">
        <is>
          <t>University of Nairobi</t>
        </is>
      </c>
      <c r="B2147" t="inlineStr">
        <is>
          <t>Kenya</t>
        </is>
      </c>
      <c r="C2147" t="inlineStr">
        <is>
          <t>901-950</t>
        </is>
      </c>
      <c r="D2147" t="inlineStr"/>
      <c r="E2147" t="n">
        <v>10</v>
      </c>
      <c r="F2147" t="n">
        <v>11.7</v>
      </c>
      <c r="G2147" t="n">
        <v>20.1</v>
      </c>
      <c r="H2147" t="n">
        <v>1.8</v>
      </c>
      <c r="I2147" t="inlineStr"/>
      <c r="J2147" t="inlineStr"/>
      <c r="K2147" t="n">
        <v>50.1</v>
      </c>
      <c r="L2147" t="n">
        <v>92.5</v>
      </c>
      <c r="M2147" t="n">
        <v>1.8</v>
      </c>
      <c r="N2147" t="inlineStr">
        <is>
          <t>1201–1500</t>
        </is>
      </c>
      <c r="O2147" t="inlineStr">
        <is>
          <t>22.8–28.2</t>
        </is>
      </c>
      <c r="P2147" t="n">
        <v>12</v>
      </c>
      <c r="Q2147" t="n">
        <v>10.6</v>
      </c>
      <c r="R2147" t="n">
        <v>45.9</v>
      </c>
      <c r="S2147" t="n">
        <v>18.8</v>
      </c>
      <c r="T2147" t="n">
        <v>49.8</v>
      </c>
      <c r="U2147" t="inlineStr">
        <is>
          <t>52,678</t>
        </is>
      </c>
      <c r="V2147" t="n">
        <v>34.5</v>
      </c>
      <c r="W2147" t="inlineStr">
        <is>
          <t>2%</t>
        </is>
      </c>
      <c r="X2147" t="inlineStr">
        <is>
          <t>24 : 76</t>
        </is>
      </c>
      <c r="Y2147" t="n">
        <v>901</v>
      </c>
      <c r="Z2147" t="n">
        <v>1201</v>
      </c>
      <c r="AA2147" t="n">
        <v>25.5</v>
      </c>
      <c r="AB2147" t="inlineStr">
        <is>
          <t>U2146</t>
        </is>
      </c>
      <c r="AC2147" t="inlineStr">
        <is>
          <t>KE</t>
        </is>
      </c>
      <c r="AD2147" t="n">
        <v>25.5</v>
      </c>
      <c r="AE2147" t="n">
        <v>1.8</v>
      </c>
      <c r="AF2147" t="n">
        <v>34.5</v>
      </c>
      <c r="AG2147" t="inlineStr">
        <is>
          <t>1:34.5</t>
        </is>
      </c>
      <c r="AH2147" t="inlineStr">
        <is>
          <t>2%</t>
        </is>
      </c>
      <c r="AI2147" t="n">
        <v>10</v>
      </c>
      <c r="AJ2147" t="n">
        <v>11.54</v>
      </c>
    </row>
    <row r="2148">
      <c r="A2148" t="inlineStr">
        <is>
          <t>University of Namibia</t>
        </is>
      </c>
      <c r="B2148" t="inlineStr">
        <is>
          <t>Namibia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>
        <is>
          <t>1201–1500</t>
        </is>
      </c>
      <c r="O2148" t="inlineStr">
        <is>
          <t>22.8–28.2</t>
        </is>
      </c>
      <c r="P2148" t="n">
        <v>13.1</v>
      </c>
      <c r="Q2148" t="n">
        <v>8.6</v>
      </c>
      <c r="R2148" t="n">
        <v>51.3</v>
      </c>
      <c r="S2148" t="n">
        <v>15.8</v>
      </c>
      <c r="T2148" t="n">
        <v>62.8</v>
      </c>
      <c r="U2148" t="inlineStr">
        <is>
          <t>28,916</t>
        </is>
      </c>
      <c r="V2148" t="n">
        <v>21.6</v>
      </c>
      <c r="W2148" t="inlineStr">
        <is>
          <t>3%</t>
        </is>
      </c>
      <c r="X2148" t="inlineStr">
        <is>
          <t>63 : 37</t>
        </is>
      </c>
      <c r="Y2148" t="inlineStr"/>
      <c r="Z2148" t="n">
        <v>1201</v>
      </c>
      <c r="AA2148" t="n">
        <v>25.5</v>
      </c>
      <c r="AB2148" t="inlineStr">
        <is>
          <t>U2147</t>
        </is>
      </c>
      <c r="AC2148" t="inlineStr">
        <is>
          <t>NA</t>
        </is>
      </c>
      <c r="AD2148" t="n">
        <v>25.5</v>
      </c>
      <c r="AE2148" t="n">
        <v>51.3</v>
      </c>
      <c r="AF2148" t="n">
        <v>21.6</v>
      </c>
      <c r="AG2148" t="inlineStr">
        <is>
          <t>1:21.6</t>
        </is>
      </c>
      <c r="AH2148" t="inlineStr">
        <is>
          <t>3%</t>
        </is>
      </c>
      <c r="AI2148" t="inlineStr"/>
      <c r="AJ2148" t="n">
        <v>28.63</v>
      </c>
    </row>
    <row r="2149">
      <c r="A2149" t="inlineStr">
        <is>
          <t>University of Namur</t>
        </is>
      </c>
      <c r="B2149" t="inlineStr">
        <is>
          <t>Belgium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>
        <is>
          <t>601–800</t>
        </is>
      </c>
      <c r="O2149" t="inlineStr">
        <is>
          <t>37.0–41.8</t>
        </is>
      </c>
      <c r="P2149" t="n">
        <v>24.4</v>
      </c>
      <c r="Q2149" t="n">
        <v>27.2</v>
      </c>
      <c r="R2149" t="n">
        <v>53.7</v>
      </c>
      <c r="S2149" t="n">
        <v>62.8</v>
      </c>
      <c r="T2149" t="n">
        <v>69.7</v>
      </c>
      <c r="U2149" t="inlineStr">
        <is>
          <t>6,616</t>
        </is>
      </c>
      <c r="V2149" t="n">
        <v>22.2</v>
      </c>
      <c r="W2149" t="inlineStr">
        <is>
          <t>12%</t>
        </is>
      </c>
      <c r="X2149" t="inlineStr">
        <is>
          <t>58 : 42</t>
        </is>
      </c>
      <c r="Y2149" t="inlineStr"/>
      <c r="Z2149" t="n">
        <v>601</v>
      </c>
      <c r="AA2149" t="n">
        <v>39.4</v>
      </c>
      <c r="AB2149" t="inlineStr">
        <is>
          <t>U2148</t>
        </is>
      </c>
      <c r="AC2149" t="inlineStr">
        <is>
          <t>BE</t>
        </is>
      </c>
      <c r="AD2149" t="n">
        <v>39.4</v>
      </c>
      <c r="AE2149" t="n">
        <v>53.7</v>
      </c>
      <c r="AF2149" t="n">
        <v>22.2</v>
      </c>
      <c r="AG2149" t="inlineStr">
        <is>
          <t>1:22.2</t>
        </is>
      </c>
      <c r="AH2149" t="inlineStr">
        <is>
          <t>12%</t>
        </is>
      </c>
      <c r="AI2149" t="inlineStr"/>
      <c r="AJ2149" t="n">
        <v>40.78</v>
      </c>
    </row>
    <row r="2150">
      <c r="A2150" t="inlineStr">
        <is>
          <t>University of Naples - Federico II</t>
        </is>
      </c>
      <c r="B2150" t="inlineStr">
        <is>
          <t>Italy</t>
        </is>
      </c>
      <c r="C2150" t="inlineStr">
        <is>
          <t>347</t>
        </is>
      </c>
      <c r="D2150" t="n">
        <v>32.8</v>
      </c>
      <c r="E2150" t="n">
        <v>36.6</v>
      </c>
      <c r="F2150" t="n">
        <v>19.7</v>
      </c>
      <c r="G2150" t="n">
        <v>4.2</v>
      </c>
      <c r="H2150" t="n">
        <v>65.09999999999999</v>
      </c>
      <c r="I2150" t="n">
        <v>2.2</v>
      </c>
      <c r="J2150" t="n">
        <v>1.1</v>
      </c>
      <c r="K2150" t="n">
        <v>92.5</v>
      </c>
      <c r="L2150" t="n">
        <v>7.3</v>
      </c>
      <c r="M2150" t="n">
        <v>20.1</v>
      </c>
      <c r="N2150" t="inlineStr">
        <is>
          <t>351–400</t>
        </is>
      </c>
      <c r="O2150" t="inlineStr">
        <is>
          <t>49.1–51.0</t>
        </is>
      </c>
      <c r="P2150" t="n">
        <v>36.7</v>
      </c>
      <c r="Q2150" t="n">
        <v>28.3</v>
      </c>
      <c r="R2150" t="n">
        <v>86.90000000000001</v>
      </c>
      <c r="S2150" t="n">
        <v>72</v>
      </c>
      <c r="T2150" t="n">
        <v>35.4</v>
      </c>
      <c r="U2150" t="inlineStr">
        <is>
          <t>56,127</t>
        </is>
      </c>
      <c r="V2150" t="n">
        <v>19.5</v>
      </c>
      <c r="W2150" t="inlineStr">
        <is>
          <t>2%</t>
        </is>
      </c>
      <c r="X2150" t="inlineStr">
        <is>
          <t>56 : 44</t>
        </is>
      </c>
      <c r="Y2150" t="n">
        <v>347</v>
      </c>
      <c r="Z2150" t="n">
        <v>351</v>
      </c>
      <c r="AA2150" t="n">
        <v>50.05</v>
      </c>
      <c r="AB2150" t="inlineStr">
        <is>
          <t>U2149</t>
        </is>
      </c>
      <c r="AC2150" t="inlineStr">
        <is>
          <t>IT</t>
        </is>
      </c>
      <c r="AD2150" t="n">
        <v>32.8</v>
      </c>
      <c r="AE2150" t="n">
        <v>65.09999999999999</v>
      </c>
      <c r="AF2150" t="n">
        <v>19.5</v>
      </c>
      <c r="AG2150" t="inlineStr">
        <is>
          <t>1:19.5</t>
        </is>
      </c>
      <c r="AH2150" t="inlineStr">
        <is>
          <t>2%</t>
        </is>
      </c>
      <c r="AI2150" t="n">
        <v>36.6</v>
      </c>
      <c r="AJ2150" t="n">
        <v>36.51</v>
      </c>
    </row>
    <row r="2151">
      <c r="A2151" t="inlineStr">
        <is>
          <t>University of Naples Parthenope</t>
        </is>
      </c>
      <c r="B2151" t="inlineStr">
        <is>
          <t>Italy</t>
        </is>
      </c>
      <c r="C2151" t="inlineStr">
        <is>
          <t>1001-1200</t>
        </is>
      </c>
      <c r="D2151" t="inlineStr"/>
      <c r="E2151" t="n">
        <v>3.8</v>
      </c>
      <c r="F2151" t="n">
        <v>1.9</v>
      </c>
      <c r="G2151" t="n">
        <v>3.3</v>
      </c>
      <c r="H2151" t="n">
        <v>42.4</v>
      </c>
      <c r="I2151" t="n">
        <v>1.7</v>
      </c>
      <c r="J2151" t="n">
        <v>2.1</v>
      </c>
      <c r="K2151" t="n">
        <v>30.8</v>
      </c>
      <c r="L2151" t="n">
        <v>1.7</v>
      </c>
      <c r="M2151" t="n">
        <v>3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n">
        <v>1001</v>
      </c>
      <c r="Z2151" t="inlineStr"/>
      <c r="AA2151" t="inlineStr"/>
      <c r="AB2151" t="inlineStr">
        <is>
          <t>U2150</t>
        </is>
      </c>
      <c r="AC2151" t="inlineStr">
        <is>
          <t>IT</t>
        </is>
      </c>
      <c r="AD2151" t="inlineStr"/>
      <c r="AE2151" t="n">
        <v>42.4</v>
      </c>
      <c r="AF2151" t="inlineStr"/>
      <c r="AG2151" t="inlineStr"/>
      <c r="AH2151" t="inlineStr"/>
      <c r="AI2151" t="n">
        <v>3.8</v>
      </c>
      <c r="AJ2151" t="n">
        <v>26.24</v>
      </c>
    </row>
    <row r="2152">
      <c r="A2152" t="inlineStr">
        <is>
          <t>University of Navarra</t>
        </is>
      </c>
      <c r="B2152" t="inlineStr">
        <is>
          <t>Spain</t>
        </is>
      </c>
      <c r="C2152" t="inlineStr">
        <is>
          <t>249</t>
        </is>
      </c>
      <c r="D2152" t="n">
        <v>40.7</v>
      </c>
      <c r="E2152" t="n">
        <v>30.6</v>
      </c>
      <c r="F2152" t="n">
        <v>68</v>
      </c>
      <c r="G2152" t="n">
        <v>49.6</v>
      </c>
      <c r="H2152" t="n">
        <v>14.7</v>
      </c>
      <c r="I2152" t="n">
        <v>24.8</v>
      </c>
      <c r="J2152" t="n">
        <v>73.8</v>
      </c>
      <c r="K2152" t="n">
        <v>63.6</v>
      </c>
      <c r="L2152" t="n">
        <v>75.8</v>
      </c>
      <c r="M2152" t="n">
        <v>42.3</v>
      </c>
      <c r="N2152" t="inlineStr">
        <is>
          <t>301–350</t>
        </is>
      </c>
      <c r="O2152" t="inlineStr">
        <is>
          <t>51.1–53.0</t>
        </is>
      </c>
      <c r="P2152" t="n">
        <v>35.6</v>
      </c>
      <c r="Q2152" t="n">
        <v>30.4</v>
      </c>
      <c r="R2152" t="n">
        <v>82.3</v>
      </c>
      <c r="S2152" t="n">
        <v>79.09999999999999</v>
      </c>
      <c r="T2152" t="n">
        <v>74.40000000000001</v>
      </c>
      <c r="U2152" t="inlineStr">
        <is>
          <t>11,969</t>
        </is>
      </c>
      <c r="V2152" t="n">
        <v>14.3</v>
      </c>
      <c r="W2152" t="inlineStr">
        <is>
          <t>26%</t>
        </is>
      </c>
      <c r="X2152" t="inlineStr">
        <is>
          <t>54 : 46</t>
        </is>
      </c>
      <c r="Y2152" t="n">
        <v>249</v>
      </c>
      <c r="Z2152" t="n">
        <v>301</v>
      </c>
      <c r="AA2152" t="n">
        <v>52.05</v>
      </c>
      <c r="AB2152" t="inlineStr">
        <is>
          <t>U2151</t>
        </is>
      </c>
      <c r="AC2152" t="inlineStr">
        <is>
          <t>SP</t>
        </is>
      </c>
      <c r="AD2152" t="n">
        <v>40.7</v>
      </c>
      <c r="AE2152" t="n">
        <v>14.7</v>
      </c>
      <c r="AF2152" t="n">
        <v>14.3</v>
      </c>
      <c r="AG2152" t="inlineStr">
        <is>
          <t>1:14.3</t>
        </is>
      </c>
      <c r="AH2152" t="inlineStr">
        <is>
          <t>26%</t>
        </is>
      </c>
      <c r="AI2152" t="n">
        <v>30.6</v>
      </c>
      <c r="AJ2152" t="n">
        <v>31.77</v>
      </c>
    </row>
    <row r="2153">
      <c r="A2153" t="inlineStr">
        <is>
          <t>University of Nebraska - Lincoln</t>
        </is>
      </c>
      <c r="B2153" t="inlineStr">
        <is>
          <t>United States</t>
        </is>
      </c>
      <c r="C2153" t="inlineStr">
        <is>
          <t>701-710</t>
        </is>
      </c>
      <c r="D2153" t="inlineStr"/>
      <c r="E2153" t="n">
        <v>10.6</v>
      </c>
      <c r="F2153" t="n">
        <v>5.8</v>
      </c>
      <c r="G2153" t="n">
        <v>16.9</v>
      </c>
      <c r="H2153" t="n">
        <v>30.4</v>
      </c>
      <c r="I2153" t="n">
        <v>21.5</v>
      </c>
      <c r="J2153" t="n">
        <v>7.1</v>
      </c>
      <c r="K2153" t="n">
        <v>73.09999999999999</v>
      </c>
      <c r="L2153" t="n">
        <v>7.2</v>
      </c>
      <c r="M2153" t="n">
        <v>33</v>
      </c>
      <c r="N2153" t="inlineStr">
        <is>
          <t>401–500</t>
        </is>
      </c>
      <c r="O2153" t="inlineStr">
        <is>
          <t>45.4–49.0</t>
        </is>
      </c>
      <c r="P2153" t="n">
        <v>33.8</v>
      </c>
      <c r="Q2153" t="n">
        <v>31.1</v>
      </c>
      <c r="R2153" t="n">
        <v>71.5</v>
      </c>
      <c r="S2153" t="n">
        <v>67</v>
      </c>
      <c r="T2153" t="n">
        <v>65.90000000000001</v>
      </c>
      <c r="U2153" t="inlineStr">
        <is>
          <t>23,920</t>
        </is>
      </c>
      <c r="V2153" t="n">
        <v>16.6</v>
      </c>
      <c r="W2153" t="inlineStr">
        <is>
          <t>9%</t>
        </is>
      </c>
      <c r="X2153" t="inlineStr">
        <is>
          <t>49 : 51</t>
        </is>
      </c>
      <c r="Y2153" t="n">
        <v>701</v>
      </c>
      <c r="Z2153" t="n">
        <v>401</v>
      </c>
      <c r="AA2153" t="n">
        <v>47.2</v>
      </c>
      <c r="AB2153" t="inlineStr">
        <is>
          <t>U2152</t>
        </is>
      </c>
      <c r="AC2153" t="inlineStr">
        <is>
          <t>UN</t>
        </is>
      </c>
      <c r="AD2153" t="n">
        <v>47.2</v>
      </c>
      <c r="AE2153" t="n">
        <v>30.4</v>
      </c>
      <c r="AF2153" t="n">
        <v>16.6</v>
      </c>
      <c r="AG2153" t="inlineStr">
        <is>
          <t>1:16.6</t>
        </is>
      </c>
      <c r="AH2153" t="inlineStr">
        <is>
          <t>9%</t>
        </is>
      </c>
      <c r="AI2153" t="n">
        <v>10.6</v>
      </c>
      <c r="AJ2153" t="n">
        <v>34.84</v>
      </c>
    </row>
    <row r="2154">
      <c r="A2154" t="inlineStr">
        <is>
          <t>University of Nebraska Medical Center</t>
        </is>
      </c>
      <c r="B2154" t="inlineStr">
        <is>
          <t>United States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>
        <is>
          <t>501–600</t>
        </is>
      </c>
      <c r="O2154" t="inlineStr">
        <is>
          <t>41.9–45.3</t>
        </is>
      </c>
      <c r="P2154" t="n">
        <v>36.9</v>
      </c>
      <c r="Q2154" t="n">
        <v>16.4</v>
      </c>
      <c r="R2154" t="n">
        <v>77.8</v>
      </c>
      <c r="S2154" t="n">
        <v>66.09999999999999</v>
      </c>
      <c r="T2154" t="n">
        <v>41.3</v>
      </c>
      <c r="U2154" t="inlineStr">
        <is>
          <t>3,318</t>
        </is>
      </c>
      <c r="V2154" t="n">
        <v>2</v>
      </c>
      <c r="W2154" t="inlineStr">
        <is>
          <t>7%</t>
        </is>
      </c>
      <c r="X2154" t="inlineStr">
        <is>
          <t>71 : 29</t>
        </is>
      </c>
      <c r="Y2154" t="inlineStr"/>
      <c r="Z2154" t="n">
        <v>501</v>
      </c>
      <c r="AA2154" t="n">
        <v>43.59999999999999</v>
      </c>
      <c r="AB2154" t="inlineStr">
        <is>
          <t>U2153</t>
        </is>
      </c>
      <c r="AC2154" t="inlineStr">
        <is>
          <t>UN</t>
        </is>
      </c>
      <c r="AD2154" t="n">
        <v>43.59999999999999</v>
      </c>
      <c r="AE2154" t="n">
        <v>77.8</v>
      </c>
      <c r="AF2154" t="n">
        <v>2</v>
      </c>
      <c r="AG2154" t="inlineStr">
        <is>
          <t>1:2.0</t>
        </is>
      </c>
      <c r="AH2154" t="inlineStr">
        <is>
          <t>7%</t>
        </is>
      </c>
      <c r="AI2154" t="inlineStr"/>
      <c r="AJ2154" t="n">
        <v>35.55</v>
      </c>
    </row>
    <row r="2155">
      <c r="A2155" t="inlineStr">
        <is>
          <t>University of Neuchâtel</t>
        </is>
      </c>
      <c r="B2155" t="inlineStr">
        <is>
          <t>Switzerland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>
        <is>
          <t>401–500</t>
        </is>
      </c>
      <c r="O2155" t="inlineStr">
        <is>
          <t>45.4–49.0</t>
        </is>
      </c>
      <c r="P2155" t="n">
        <v>31.8</v>
      </c>
      <c r="Q2155" t="n">
        <v>26.4</v>
      </c>
      <c r="R2155" t="n">
        <v>67.2</v>
      </c>
      <c r="S2155" t="n">
        <v>53.5</v>
      </c>
      <c r="T2155" t="n">
        <v>85.90000000000001</v>
      </c>
      <c r="U2155" t="inlineStr">
        <is>
          <t>4,379</t>
        </is>
      </c>
      <c r="V2155" t="n">
        <v>11.8</v>
      </c>
      <c r="W2155" t="inlineStr">
        <is>
          <t>21%</t>
        </is>
      </c>
      <c r="X2155" t="inlineStr">
        <is>
          <t>61 : 39</t>
        </is>
      </c>
      <c r="Y2155" t="inlineStr"/>
      <c r="Z2155" t="n">
        <v>401</v>
      </c>
      <c r="AA2155" t="n">
        <v>47.2</v>
      </c>
      <c r="AB2155" t="inlineStr">
        <is>
          <t>U2154</t>
        </is>
      </c>
      <c r="AC2155" t="inlineStr">
        <is>
          <t>SW</t>
        </is>
      </c>
      <c r="AD2155" t="n">
        <v>47.2</v>
      </c>
      <c r="AE2155" t="n">
        <v>67.2</v>
      </c>
      <c r="AF2155" t="n">
        <v>11.8</v>
      </c>
      <c r="AG2155" t="inlineStr">
        <is>
          <t>1:11.8</t>
        </is>
      </c>
      <c r="AH2155" t="inlineStr">
        <is>
          <t>21%</t>
        </is>
      </c>
      <c r="AI2155" t="inlineStr"/>
      <c r="AJ2155" t="n">
        <v>48.37</v>
      </c>
    </row>
    <row r="2156">
      <c r="A2156" t="inlineStr">
        <is>
          <t>University of Nevada, Las Vegas</t>
        </is>
      </c>
      <c r="B2156" t="inlineStr">
        <is>
          <t>United States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>
        <is>
          <t>601–800</t>
        </is>
      </c>
      <c r="O2156" t="inlineStr">
        <is>
          <t>37.0–41.8</t>
        </is>
      </c>
      <c r="P2156" t="n">
        <v>29.3</v>
      </c>
      <c r="Q2156" t="n">
        <v>25.6</v>
      </c>
      <c r="R2156" t="n">
        <v>64.7</v>
      </c>
      <c r="S2156" t="n">
        <v>51.5</v>
      </c>
      <c r="T2156" t="n">
        <v>38.3</v>
      </c>
      <c r="U2156" t="inlineStr">
        <is>
          <t>26,730</t>
        </is>
      </c>
      <c r="V2156" t="n">
        <v>23.2</v>
      </c>
      <c r="W2156" t="inlineStr">
        <is>
          <t>4%</t>
        </is>
      </c>
      <c r="X2156" t="inlineStr">
        <is>
          <t>57 : 43</t>
        </is>
      </c>
      <c r="Y2156" t="inlineStr"/>
      <c r="Z2156" t="n">
        <v>601</v>
      </c>
      <c r="AA2156" t="n">
        <v>39.4</v>
      </c>
      <c r="AB2156" t="inlineStr">
        <is>
          <t>U2155</t>
        </is>
      </c>
      <c r="AC2156" t="inlineStr">
        <is>
          <t>UN</t>
        </is>
      </c>
      <c r="AD2156" t="n">
        <v>39.4</v>
      </c>
      <c r="AE2156" t="n">
        <v>64.7</v>
      </c>
      <c r="AF2156" t="n">
        <v>23.2</v>
      </c>
      <c r="AG2156" t="inlineStr">
        <is>
          <t>1:23.2</t>
        </is>
      </c>
      <c r="AH2156" t="inlineStr">
        <is>
          <t>4%</t>
        </is>
      </c>
      <c r="AI2156" t="inlineStr"/>
      <c r="AJ2156" t="n">
        <v>35.68</v>
      </c>
    </row>
    <row r="2157">
      <c r="A2157" t="inlineStr">
        <is>
          <t>University of New Brunswick</t>
        </is>
      </c>
      <c r="B2157" t="inlineStr">
        <is>
          <t>Canada</t>
        </is>
      </c>
      <c r="C2157" t="inlineStr">
        <is>
          <t>681-690</t>
        </is>
      </c>
      <c r="D2157" t="inlineStr"/>
      <c r="E2157" t="n">
        <v>4.9</v>
      </c>
      <c r="F2157" t="n">
        <v>8.300000000000001</v>
      </c>
      <c r="G2157" t="n">
        <v>19.9</v>
      </c>
      <c r="H2157" t="n">
        <v>27.5</v>
      </c>
      <c r="I2157" t="n">
        <v>61</v>
      </c>
      <c r="J2157" t="n">
        <v>34.1</v>
      </c>
      <c r="K2157" t="n">
        <v>48.7</v>
      </c>
      <c r="L2157" t="n">
        <v>17.3</v>
      </c>
      <c r="M2157" t="n">
        <v>29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n">
        <v>681</v>
      </c>
      <c r="Z2157" t="inlineStr"/>
      <c r="AA2157" t="inlineStr"/>
      <c r="AB2157" t="inlineStr">
        <is>
          <t>U2156</t>
        </is>
      </c>
      <c r="AC2157" t="inlineStr">
        <is>
          <t>CA</t>
        </is>
      </c>
      <c r="AD2157" t="inlineStr"/>
      <c r="AE2157" t="n">
        <v>27.5</v>
      </c>
      <c r="AF2157" t="inlineStr"/>
      <c r="AG2157" t="inlineStr"/>
      <c r="AH2157" t="inlineStr"/>
      <c r="AI2157" t="n">
        <v>4.9</v>
      </c>
      <c r="AJ2157" t="n">
        <v>21.72</v>
      </c>
    </row>
    <row r="2158">
      <c r="A2158" t="inlineStr">
        <is>
          <t>University of New Brunswick UNB</t>
        </is>
      </c>
      <c r="B2158" t="inlineStr">
        <is>
          <t>Canada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>
        <is>
          <t>601–800</t>
        </is>
      </c>
      <c r="O2158" t="inlineStr">
        <is>
          <t>37.0–41.8</t>
        </is>
      </c>
      <c r="P2158" t="n">
        <v>24.3</v>
      </c>
      <c r="Q2158" t="n">
        <v>25</v>
      </c>
      <c r="R2158" t="n">
        <v>62.4</v>
      </c>
      <c r="S2158" t="n">
        <v>64</v>
      </c>
      <c r="T2158" t="n">
        <v>81.09999999999999</v>
      </c>
      <c r="U2158" t="inlineStr">
        <is>
          <t>8,308</t>
        </is>
      </c>
      <c r="V2158" t="n">
        <v>15</v>
      </c>
      <c r="W2158" t="inlineStr">
        <is>
          <t>14%</t>
        </is>
      </c>
      <c r="X2158" t="inlineStr">
        <is>
          <t>53 : 47</t>
        </is>
      </c>
      <c r="Y2158" t="inlineStr"/>
      <c r="Z2158" t="n">
        <v>601</v>
      </c>
      <c r="AA2158" t="n">
        <v>39.4</v>
      </c>
      <c r="AB2158" t="inlineStr">
        <is>
          <t>U2157</t>
        </is>
      </c>
      <c r="AC2158" t="inlineStr">
        <is>
          <t>CA</t>
        </is>
      </c>
      <c r="AD2158" t="n">
        <v>39.4</v>
      </c>
      <c r="AE2158" t="n">
        <v>62.4</v>
      </c>
      <c r="AF2158" t="n">
        <v>15</v>
      </c>
      <c r="AG2158" t="inlineStr">
        <is>
          <t>1:15.0</t>
        </is>
      </c>
      <c r="AH2158" t="inlineStr">
        <is>
          <t>14%</t>
        </is>
      </c>
      <c r="AI2158" t="inlineStr"/>
      <c r="AJ2158" t="n">
        <v>45.02</v>
      </c>
    </row>
    <row r="2159">
      <c r="A2159" t="inlineStr">
        <is>
          <t>University of New England Australia</t>
        </is>
      </c>
      <c r="B2159" t="inlineStr">
        <is>
          <t>Australia</t>
        </is>
      </c>
      <c r="C2159" t="inlineStr">
        <is>
          <t>1001-1200</t>
        </is>
      </c>
      <c r="D2159" t="inlineStr"/>
      <c r="E2159" t="n">
        <v>10.7</v>
      </c>
      <c r="F2159" t="n">
        <v>7.2</v>
      </c>
      <c r="G2159" t="n">
        <v>3.7</v>
      </c>
      <c r="H2159" t="n">
        <v>14.7</v>
      </c>
      <c r="I2159" t="n">
        <v>4.6</v>
      </c>
      <c r="J2159" t="n">
        <v>3.3</v>
      </c>
      <c r="K2159" t="n">
        <v>62.9</v>
      </c>
      <c r="L2159" t="n">
        <v>9.800000000000001</v>
      </c>
      <c r="M2159" t="n">
        <v>10.8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n">
        <v>1001</v>
      </c>
      <c r="Z2159" t="inlineStr"/>
      <c r="AA2159" t="inlineStr"/>
      <c r="AB2159" t="inlineStr">
        <is>
          <t>U2158</t>
        </is>
      </c>
      <c r="AC2159" t="inlineStr">
        <is>
          <t>AU</t>
        </is>
      </c>
      <c r="AD2159" t="inlineStr"/>
      <c r="AE2159" t="n">
        <v>14.7</v>
      </c>
      <c r="AF2159" t="inlineStr"/>
      <c r="AG2159" t="inlineStr"/>
      <c r="AH2159" t="inlineStr"/>
      <c r="AI2159" t="n">
        <v>10.7</v>
      </c>
      <c r="AJ2159" t="n">
        <v>17.84</v>
      </c>
    </row>
    <row r="2160">
      <c r="A2160" t="inlineStr">
        <is>
          <t>University of New Hampshire</t>
        </is>
      </c>
      <c r="B2160" t="inlineStr">
        <is>
          <t>United States</t>
        </is>
      </c>
      <c r="C2160" t="inlineStr">
        <is>
          <t>1001-1200</t>
        </is>
      </c>
      <c r="D2160" t="inlineStr"/>
      <c r="E2160" t="n">
        <v>5</v>
      </c>
      <c r="F2160" t="n">
        <v>4.1</v>
      </c>
      <c r="G2160" t="n">
        <v>12.2</v>
      </c>
      <c r="H2160" t="n">
        <v>16.9</v>
      </c>
      <c r="I2160" t="n">
        <v>7</v>
      </c>
      <c r="J2160" t="n">
        <v>2.5</v>
      </c>
      <c r="K2160" t="n">
        <v>41.7</v>
      </c>
      <c r="L2160" t="n">
        <v>7.1</v>
      </c>
      <c r="M2160" t="n">
        <v>5.5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n">
        <v>1001</v>
      </c>
      <c r="Z2160" t="inlineStr"/>
      <c r="AA2160" t="inlineStr"/>
      <c r="AB2160" t="inlineStr">
        <is>
          <t>U2159</t>
        </is>
      </c>
      <c r="AC2160" t="inlineStr">
        <is>
          <t>UN</t>
        </is>
      </c>
      <c r="AD2160" t="inlineStr"/>
      <c r="AE2160" t="n">
        <v>16.9</v>
      </c>
      <c r="AF2160" t="inlineStr"/>
      <c r="AG2160" t="inlineStr"/>
      <c r="AH2160" t="inlineStr"/>
      <c r="AI2160" t="n">
        <v>5</v>
      </c>
      <c r="AJ2160" t="n">
        <v>18.51</v>
      </c>
    </row>
    <row r="2161">
      <c r="A2161" t="inlineStr">
        <is>
          <t>University of New Mexico</t>
        </is>
      </c>
      <c r="B2161" t="inlineStr">
        <is>
          <t>United States</t>
        </is>
      </c>
      <c r="C2161" t="inlineStr">
        <is>
          <t>791-800</t>
        </is>
      </c>
      <c r="D2161" t="inlineStr"/>
      <c r="E2161" t="n">
        <v>10.5</v>
      </c>
      <c r="F2161" t="n">
        <v>8</v>
      </c>
      <c r="G2161" t="n">
        <v>43.5</v>
      </c>
      <c r="H2161" t="n">
        <v>14.9</v>
      </c>
      <c r="I2161" t="n">
        <v>8.199999999999999</v>
      </c>
      <c r="J2161" t="n">
        <v>4</v>
      </c>
      <c r="K2161" t="n">
        <v>73.09999999999999</v>
      </c>
      <c r="L2161" t="n">
        <v>7.3</v>
      </c>
      <c r="M2161" t="n">
        <v>11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n">
        <v>791</v>
      </c>
      <c r="Z2161" t="inlineStr"/>
      <c r="AA2161" t="inlineStr"/>
      <c r="AB2161" t="inlineStr">
        <is>
          <t>U2160</t>
        </is>
      </c>
      <c r="AC2161" t="inlineStr">
        <is>
          <t>UN</t>
        </is>
      </c>
      <c r="AD2161" t="inlineStr"/>
      <c r="AE2161" t="n">
        <v>14.9</v>
      </c>
      <c r="AF2161" t="inlineStr"/>
      <c r="AG2161" t="inlineStr"/>
      <c r="AH2161" t="inlineStr"/>
      <c r="AI2161" t="n">
        <v>10.5</v>
      </c>
      <c r="AJ2161" t="n">
        <v>17.9</v>
      </c>
    </row>
    <row r="2162">
      <c r="A2162" t="inlineStr">
        <is>
          <t>The University of New South Wales (UNSW Sydney)</t>
        </is>
      </c>
      <c r="B2162" t="inlineStr">
        <is>
          <t>Australia</t>
        </is>
      </c>
      <c r="C2162" t="inlineStr">
        <is>
          <t>19</t>
        </is>
      </c>
      <c r="D2162" t="n">
        <v>87.09999999999999</v>
      </c>
      <c r="E2162" t="n">
        <v>90.5</v>
      </c>
      <c r="F2162" t="n">
        <v>90.40000000000001</v>
      </c>
      <c r="G2162" t="n">
        <v>20.6</v>
      </c>
      <c r="H2162" t="n">
        <v>94.90000000000001</v>
      </c>
      <c r="I2162" t="n">
        <v>100</v>
      </c>
      <c r="J2162" t="n">
        <v>99.40000000000001</v>
      </c>
      <c r="K2162" t="n">
        <v>98.3</v>
      </c>
      <c r="L2162" t="n">
        <v>97.7</v>
      </c>
      <c r="M2162" t="n">
        <v>99.2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n">
        <v>19</v>
      </c>
      <c r="Z2162" t="inlineStr"/>
      <c r="AA2162" t="inlineStr"/>
      <c r="AB2162" t="inlineStr">
        <is>
          <t>U2161</t>
        </is>
      </c>
      <c r="AC2162" t="inlineStr">
        <is>
          <t>AU</t>
        </is>
      </c>
      <c r="AD2162" t="n">
        <v>87.09999999999999</v>
      </c>
      <c r="AE2162" t="n">
        <v>94.90000000000001</v>
      </c>
      <c r="AF2162" t="inlineStr"/>
      <c r="AG2162" t="inlineStr"/>
      <c r="AH2162" t="inlineStr"/>
      <c r="AI2162" t="n">
        <v>90.5</v>
      </c>
      <c r="AJ2162" t="n">
        <v>42.15</v>
      </c>
    </row>
    <row r="2163">
      <c r="A2163" t="inlineStr">
        <is>
          <t>University of Newcastle</t>
        </is>
      </c>
      <c r="B2163" t="inlineStr">
        <is>
          <t>Australia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>
        <is>
          <t>201–250</t>
        </is>
      </c>
      <c r="O2163" t="inlineStr">
        <is>
          <t>55.9–58.6</t>
        </is>
      </c>
      <c r="P2163" t="n">
        <v>33.8</v>
      </c>
      <c r="Q2163" t="n">
        <v>38.8</v>
      </c>
      <c r="R2163" t="n">
        <v>85.5</v>
      </c>
      <c r="S2163" t="n">
        <v>76.5</v>
      </c>
      <c r="T2163" t="n">
        <v>83.40000000000001</v>
      </c>
      <c r="U2163" t="inlineStr">
        <is>
          <t>24,608</t>
        </is>
      </c>
      <c r="V2163" t="n">
        <v>31.3</v>
      </c>
      <c r="W2163" t="inlineStr">
        <is>
          <t>16%</t>
        </is>
      </c>
      <c r="X2163" t="inlineStr">
        <is>
          <t>57 : 43</t>
        </is>
      </c>
      <c r="Y2163" t="inlineStr"/>
      <c r="Z2163" t="n">
        <v>201</v>
      </c>
      <c r="AA2163" t="n">
        <v>57.25</v>
      </c>
      <c r="AB2163" t="inlineStr">
        <is>
          <t>U2162</t>
        </is>
      </c>
      <c r="AC2163" t="inlineStr">
        <is>
          <t>AU</t>
        </is>
      </c>
      <c r="AD2163" t="n">
        <v>57.25</v>
      </c>
      <c r="AE2163" t="n">
        <v>85.5</v>
      </c>
      <c r="AF2163" t="n">
        <v>31.3</v>
      </c>
      <c r="AG2163" t="inlineStr">
        <is>
          <t>1:31.3</t>
        </is>
      </c>
      <c r="AH2163" t="inlineStr">
        <is>
          <t>16%</t>
        </is>
      </c>
      <c r="AI2163" t="inlineStr"/>
      <c r="AJ2163" t="n">
        <v>59.81</v>
      </c>
    </row>
    <row r="2164">
      <c r="A2164" t="inlineStr">
        <is>
          <t>The University of Newcastle, Australia (UON)</t>
        </is>
      </c>
      <c r="B2164" t="inlineStr">
        <is>
          <t>Australia</t>
        </is>
      </c>
      <c r="C2164" t="inlineStr">
        <is>
          <t>179</t>
        </is>
      </c>
      <c r="D2164" t="n">
        <v>48.7</v>
      </c>
      <c r="E2164" t="n">
        <v>28.3</v>
      </c>
      <c r="F2164" t="n">
        <v>24.5</v>
      </c>
      <c r="G2164" t="n">
        <v>28.7</v>
      </c>
      <c r="H2164" t="n">
        <v>91.7</v>
      </c>
      <c r="I2164" t="n">
        <v>99.90000000000001</v>
      </c>
      <c r="J2164" t="n">
        <v>24.2</v>
      </c>
      <c r="K2164" t="n">
        <v>82</v>
      </c>
      <c r="L2164" t="n">
        <v>14.8</v>
      </c>
      <c r="M2164" t="n">
        <v>92.40000000000001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n">
        <v>179</v>
      </c>
      <c r="Z2164" t="inlineStr"/>
      <c r="AA2164" t="inlineStr"/>
      <c r="AB2164" t="inlineStr">
        <is>
          <t>U2163</t>
        </is>
      </c>
      <c r="AC2164" t="inlineStr">
        <is>
          <t>AU</t>
        </is>
      </c>
      <c r="AD2164" t="n">
        <v>48.7</v>
      </c>
      <c r="AE2164" t="n">
        <v>91.7</v>
      </c>
      <c r="AF2164" t="inlineStr"/>
      <c r="AG2164" t="inlineStr"/>
      <c r="AH2164" t="inlineStr"/>
      <c r="AI2164" t="n">
        <v>28.3</v>
      </c>
      <c r="AJ2164" t="n">
        <v>41.18</v>
      </c>
    </row>
    <row r="2165">
      <c r="A2165" t="inlineStr">
        <is>
          <t>University of Niš</t>
        </is>
      </c>
      <c r="B2165" t="inlineStr">
        <is>
          <t>Serbia</t>
        </is>
      </c>
      <c r="C2165" t="inlineStr">
        <is>
          <t>1201-1400</t>
        </is>
      </c>
      <c r="D2165" t="inlineStr"/>
      <c r="E2165" t="n">
        <v>5</v>
      </c>
      <c r="F2165" t="n">
        <v>5.5</v>
      </c>
      <c r="G2165" t="n">
        <v>12.5</v>
      </c>
      <c r="H2165" t="n">
        <v>2.4</v>
      </c>
      <c r="I2165" t="inlineStr"/>
      <c r="J2165" t="n">
        <v>5.7</v>
      </c>
      <c r="K2165" t="n">
        <v>49</v>
      </c>
      <c r="L2165" t="n">
        <v>4</v>
      </c>
      <c r="M2165" t="n">
        <v>1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n">
        <v>1201</v>
      </c>
      <c r="Z2165" t="inlineStr"/>
      <c r="AA2165" t="inlineStr"/>
      <c r="AB2165" t="inlineStr">
        <is>
          <t>U2164</t>
        </is>
      </c>
      <c r="AC2165" t="inlineStr">
        <is>
          <t>SE</t>
        </is>
      </c>
      <c r="AD2165" t="inlineStr"/>
      <c r="AE2165" t="n">
        <v>2.4</v>
      </c>
      <c r="AF2165" t="inlineStr"/>
      <c r="AG2165" t="inlineStr"/>
      <c r="AH2165" t="inlineStr"/>
      <c r="AI2165" t="n">
        <v>5</v>
      </c>
      <c r="AJ2165" t="n">
        <v>14.12</v>
      </c>
    </row>
    <row r="2166">
      <c r="A2166" t="inlineStr">
        <is>
          <t>University of Nicosia</t>
        </is>
      </c>
      <c r="B2166" t="inlineStr">
        <is>
          <t>Cyprus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>
        <is>
          <t>501–600</t>
        </is>
      </c>
      <c r="O2166" t="inlineStr">
        <is>
          <t>41.9–45.3</t>
        </is>
      </c>
      <c r="P2166" t="n">
        <v>22.6</v>
      </c>
      <c r="Q2166" t="n">
        <v>21</v>
      </c>
      <c r="R2166" t="n">
        <v>76.09999999999999</v>
      </c>
      <c r="S2166" t="n">
        <v>26.3</v>
      </c>
      <c r="T2166" t="n">
        <v>91.2</v>
      </c>
      <c r="U2166" t="inlineStr">
        <is>
          <t>4,754</t>
        </is>
      </c>
      <c r="V2166" t="n">
        <v>13</v>
      </c>
      <c r="W2166" t="inlineStr">
        <is>
          <t>54%</t>
        </is>
      </c>
      <c r="X2166" t="inlineStr">
        <is>
          <t>53 : 47</t>
        </is>
      </c>
      <c r="Y2166" t="inlineStr"/>
      <c r="Z2166" t="n">
        <v>501</v>
      </c>
      <c r="AA2166" t="n">
        <v>43.59999999999999</v>
      </c>
      <c r="AB2166" t="inlineStr">
        <is>
          <t>U2165</t>
        </is>
      </c>
      <c r="AC2166" t="inlineStr">
        <is>
          <t>CY</t>
        </is>
      </c>
      <c r="AD2166" t="n">
        <v>43.59999999999999</v>
      </c>
      <c r="AE2166" t="n">
        <v>76.09999999999999</v>
      </c>
      <c r="AF2166" t="n">
        <v>13</v>
      </c>
      <c r="AG2166" t="inlineStr">
        <is>
          <t>1:13.0</t>
        </is>
      </c>
      <c r="AH2166" t="inlineStr">
        <is>
          <t>54%</t>
        </is>
      </c>
      <c r="AI2166" t="inlineStr"/>
      <c r="AJ2166" t="n">
        <v>49.51</v>
      </c>
    </row>
    <row r="2167">
      <c r="A2167" t="inlineStr">
        <is>
          <t>University of Nigeria Nsukka</t>
        </is>
      </c>
      <c r="B2167" t="inlineStr">
        <is>
          <t>Nigeria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>
        <is>
          <t>1201–1500</t>
        </is>
      </c>
      <c r="O2167" t="inlineStr">
        <is>
          <t>22.8–28.2</t>
        </is>
      </c>
      <c r="P2167" t="n">
        <v>29.1</v>
      </c>
      <c r="Q2167" t="n">
        <v>10.6</v>
      </c>
      <c r="R2167" t="n">
        <v>30.3</v>
      </c>
      <c r="S2167" t="n">
        <v>17.3</v>
      </c>
      <c r="T2167" t="n">
        <v>37</v>
      </c>
      <c r="U2167" t="inlineStr">
        <is>
          <t>43,108</t>
        </is>
      </c>
      <c r="V2167" t="n">
        <v>11.7</v>
      </c>
      <c r="W2167" t="inlineStr">
        <is>
          <t>1%</t>
        </is>
      </c>
      <c r="X2167" t="inlineStr">
        <is>
          <t>46 : 54</t>
        </is>
      </c>
      <c r="Y2167" t="inlineStr"/>
      <c r="Z2167" t="n">
        <v>1201</v>
      </c>
      <c r="AA2167" t="n">
        <v>25.5</v>
      </c>
      <c r="AB2167" t="inlineStr">
        <is>
          <t>U2166</t>
        </is>
      </c>
      <c r="AC2167" t="inlineStr">
        <is>
          <t>NI</t>
        </is>
      </c>
      <c r="AD2167" t="n">
        <v>25.5</v>
      </c>
      <c r="AE2167" t="n">
        <v>30.3</v>
      </c>
      <c r="AF2167" t="n">
        <v>11.7</v>
      </c>
      <c r="AG2167" t="inlineStr">
        <is>
          <t>1:11.7</t>
        </is>
      </c>
      <c r="AH2167" t="inlineStr">
        <is>
          <t>1%</t>
        </is>
      </c>
      <c r="AI2167" t="inlineStr"/>
      <c r="AJ2167" t="n">
        <v>17.08</v>
      </c>
    </row>
    <row r="2168">
      <c r="A2168" t="inlineStr">
        <is>
          <t>University of North Carolina at Chapel Hill</t>
        </is>
      </c>
      <c r="B2168" t="inlineStr">
        <is>
          <t>United States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>
        <is>
          <t>72</t>
        </is>
      </c>
      <c r="O2168" t="inlineStr">
        <is>
          <t>71.2</t>
        </is>
      </c>
      <c r="P2168" t="n">
        <v>63.4</v>
      </c>
      <c r="Q2168" t="n">
        <v>60.3</v>
      </c>
      <c r="R2168" t="n">
        <v>93.90000000000001</v>
      </c>
      <c r="S2168" t="n">
        <v>75.8</v>
      </c>
      <c r="T2168" t="n">
        <v>50.9</v>
      </c>
      <c r="U2168" t="inlineStr">
        <is>
          <t>30,782</t>
        </is>
      </c>
      <c r="V2168" t="n">
        <v>7.7</v>
      </c>
      <c r="W2168" t="inlineStr">
        <is>
          <t>8%</t>
        </is>
      </c>
      <c r="X2168" t="inlineStr">
        <is>
          <t>60 : 40</t>
        </is>
      </c>
      <c r="Y2168" t="inlineStr"/>
      <c r="Z2168" t="n">
        <v>72</v>
      </c>
      <c r="AA2168" t="n">
        <v>71.2</v>
      </c>
      <c r="AB2168" t="inlineStr">
        <is>
          <t>U2167</t>
        </is>
      </c>
      <c r="AC2168" t="inlineStr">
        <is>
          <t>UN</t>
        </is>
      </c>
      <c r="AD2168" t="n">
        <v>71.2</v>
      </c>
      <c r="AE2168" t="n">
        <v>93.90000000000001</v>
      </c>
      <c r="AF2168" t="n">
        <v>7.7</v>
      </c>
      <c r="AG2168" t="inlineStr">
        <is>
          <t>1:7.7</t>
        </is>
      </c>
      <c r="AH2168" t="inlineStr">
        <is>
          <t>8%</t>
        </is>
      </c>
      <c r="AI2168" t="inlineStr"/>
      <c r="AJ2168" t="n">
        <v>65.76000000000001</v>
      </c>
    </row>
    <row r="2169">
      <c r="A2169" t="inlineStr">
        <is>
          <t>University of North Carolina at Charlotte</t>
        </is>
      </c>
      <c r="B2169" t="inlineStr">
        <is>
          <t>United States</t>
        </is>
      </c>
      <c r="C2169" t="inlineStr">
        <is>
          <t>1001-1200</t>
        </is>
      </c>
      <c r="D2169" t="inlineStr"/>
      <c r="E2169" t="n">
        <v>5.1</v>
      </c>
      <c r="F2169" t="n">
        <v>5.8</v>
      </c>
      <c r="G2169" t="n">
        <v>5</v>
      </c>
      <c r="H2169" t="n">
        <v>13.4</v>
      </c>
      <c r="I2169" t="n">
        <v>8.699999999999999</v>
      </c>
      <c r="J2169" t="n">
        <v>6.2</v>
      </c>
      <c r="K2169" t="n">
        <v>65</v>
      </c>
      <c r="L2169" t="n">
        <v>7.8</v>
      </c>
      <c r="M2169" t="n">
        <v>4.2</v>
      </c>
      <c r="N2169" t="inlineStr">
        <is>
          <t>601–800</t>
        </is>
      </c>
      <c r="O2169" t="inlineStr">
        <is>
          <t>37.0–41.8</t>
        </is>
      </c>
      <c r="P2169" t="n">
        <v>23.2</v>
      </c>
      <c r="Q2169" t="n">
        <v>22.1</v>
      </c>
      <c r="R2169" t="n">
        <v>74.40000000000001</v>
      </c>
      <c r="S2169" t="n">
        <v>58.7</v>
      </c>
      <c r="T2169" t="n">
        <v>37</v>
      </c>
      <c r="U2169" t="inlineStr">
        <is>
          <t>26,819</t>
        </is>
      </c>
      <c r="V2169" t="n">
        <v>20.6</v>
      </c>
      <c r="W2169" t="inlineStr">
        <is>
          <t>6%</t>
        </is>
      </c>
      <c r="X2169" t="inlineStr">
        <is>
          <t>49 : 51</t>
        </is>
      </c>
      <c r="Y2169" t="n">
        <v>1001</v>
      </c>
      <c r="Z2169" t="n">
        <v>601</v>
      </c>
      <c r="AA2169" t="n">
        <v>39.4</v>
      </c>
      <c r="AB2169" t="inlineStr">
        <is>
          <t>U2168</t>
        </is>
      </c>
      <c r="AC2169" t="inlineStr">
        <is>
          <t>UN</t>
        </is>
      </c>
      <c r="AD2169" t="n">
        <v>39.4</v>
      </c>
      <c r="AE2169" t="n">
        <v>13.4</v>
      </c>
      <c r="AF2169" t="n">
        <v>20.6</v>
      </c>
      <c r="AG2169" t="inlineStr">
        <is>
          <t>1:20.6</t>
        </is>
      </c>
      <c r="AH2169" t="inlineStr">
        <is>
          <t>6%</t>
        </is>
      </c>
      <c r="AI2169" t="n">
        <v>5.1</v>
      </c>
      <c r="AJ2169" t="n">
        <v>17.98</v>
      </c>
    </row>
    <row r="2170">
      <c r="A2170" t="inlineStr">
        <is>
          <t>University of North Carolina at Greensboro</t>
        </is>
      </c>
      <c r="B2170" t="inlineStr">
        <is>
          <t>United States</t>
        </is>
      </c>
      <c r="C2170" t="inlineStr">
        <is>
          <t>1201-1400</t>
        </is>
      </c>
      <c r="D2170" t="inlineStr"/>
      <c r="E2170" t="n">
        <v>2.6</v>
      </c>
      <c r="F2170" t="n">
        <v>2.4</v>
      </c>
      <c r="G2170" t="n">
        <v>8.9</v>
      </c>
      <c r="H2170" t="n">
        <v>10.1</v>
      </c>
      <c r="I2170" t="n">
        <v>5.9</v>
      </c>
      <c r="J2170" t="n">
        <v>3.4</v>
      </c>
      <c r="K2170" t="n">
        <v>50.7</v>
      </c>
      <c r="L2170" t="n">
        <v>1.5</v>
      </c>
      <c r="M2170" t="n">
        <v>1.6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n">
        <v>1201</v>
      </c>
      <c r="Z2170" t="inlineStr"/>
      <c r="AA2170" t="inlineStr"/>
      <c r="AB2170" t="inlineStr">
        <is>
          <t>U2169</t>
        </is>
      </c>
      <c r="AC2170" t="inlineStr">
        <is>
          <t>UN</t>
        </is>
      </c>
      <c r="AD2170" t="inlineStr"/>
      <c r="AE2170" t="n">
        <v>10.1</v>
      </c>
      <c r="AF2170" t="inlineStr"/>
      <c r="AG2170" t="inlineStr"/>
      <c r="AH2170" t="inlineStr"/>
      <c r="AI2170" t="n">
        <v>2.6</v>
      </c>
      <c r="AJ2170" t="n">
        <v>16.45</v>
      </c>
    </row>
    <row r="2171">
      <c r="A2171" t="inlineStr">
        <is>
          <t>University of North Carolina, Chapel Hill</t>
        </is>
      </c>
      <c r="B2171" t="inlineStr">
        <is>
          <t>United States</t>
        </is>
      </c>
      <c r="C2171" t="inlineStr">
        <is>
          <t>155</t>
        </is>
      </c>
      <c r="D2171" t="n">
        <v>51.6</v>
      </c>
      <c r="E2171" t="n">
        <v>61.4</v>
      </c>
      <c r="F2171" t="n">
        <v>36.5</v>
      </c>
      <c r="G2171" t="n">
        <v>72.90000000000001</v>
      </c>
      <c r="H2171" t="n">
        <v>47.2</v>
      </c>
      <c r="I2171" t="n">
        <v>23.5</v>
      </c>
      <c r="J2171" t="n">
        <v>11.1</v>
      </c>
      <c r="K2171" t="n">
        <v>91.59999999999999</v>
      </c>
      <c r="L2171" t="n">
        <v>55.2</v>
      </c>
      <c r="M2171" t="n">
        <v>44.6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n">
        <v>155</v>
      </c>
      <c r="Z2171" t="inlineStr"/>
      <c r="AA2171" t="inlineStr"/>
      <c r="AB2171" t="inlineStr">
        <is>
          <t>U2170</t>
        </is>
      </c>
      <c r="AC2171" t="inlineStr">
        <is>
          <t>UN</t>
        </is>
      </c>
      <c r="AD2171" t="n">
        <v>51.6</v>
      </c>
      <c r="AE2171" t="n">
        <v>47.2</v>
      </c>
      <c r="AF2171" t="inlineStr"/>
      <c r="AG2171" t="inlineStr"/>
      <c r="AH2171" t="inlineStr"/>
      <c r="AI2171" t="n">
        <v>61.4</v>
      </c>
      <c r="AJ2171" t="n">
        <v>27.69</v>
      </c>
    </row>
    <row r="2172">
      <c r="A2172" t="inlineStr">
        <is>
          <t>University of North Texas</t>
        </is>
      </c>
      <c r="B2172" t="inlineStr">
        <is>
          <t>United States</t>
        </is>
      </c>
      <c r="C2172" t="inlineStr">
        <is>
          <t>1001-1200</t>
        </is>
      </c>
      <c r="D2172" t="inlineStr"/>
      <c r="E2172" t="n">
        <v>6.9</v>
      </c>
      <c r="F2172" t="n">
        <v>5</v>
      </c>
      <c r="G2172" t="n">
        <v>3.1</v>
      </c>
      <c r="H2172" t="n">
        <v>17.2</v>
      </c>
      <c r="I2172" t="n">
        <v>3.5</v>
      </c>
      <c r="J2172" t="n">
        <v>24.8</v>
      </c>
      <c r="K2172" t="n">
        <v>58</v>
      </c>
      <c r="L2172" t="n">
        <v>21.1</v>
      </c>
      <c r="M2172" t="n">
        <v>3.8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n">
        <v>1001</v>
      </c>
      <c r="Z2172" t="inlineStr"/>
      <c r="AA2172" t="inlineStr"/>
      <c r="AB2172" t="inlineStr">
        <is>
          <t>U2171</t>
        </is>
      </c>
      <c r="AC2172" t="inlineStr">
        <is>
          <t>UN</t>
        </is>
      </c>
      <c r="AD2172" t="inlineStr"/>
      <c r="AE2172" t="n">
        <v>17.2</v>
      </c>
      <c r="AF2172" t="inlineStr"/>
      <c r="AG2172" t="inlineStr"/>
      <c r="AH2172" t="inlineStr"/>
      <c r="AI2172" t="n">
        <v>6.9</v>
      </c>
      <c r="AJ2172" t="n">
        <v>18.6</v>
      </c>
    </row>
    <row r="2173">
      <c r="A2173" t="inlineStr">
        <is>
          <t>The University of Northampton</t>
        </is>
      </c>
      <c r="B2173" t="inlineStr">
        <is>
          <t>United Kingdom</t>
        </is>
      </c>
      <c r="C2173" t="inlineStr">
        <is>
          <t>1001-1200</t>
        </is>
      </c>
      <c r="D2173" t="inlineStr"/>
      <c r="E2173" t="n">
        <v>3.2</v>
      </c>
      <c r="F2173" t="n">
        <v>2.7</v>
      </c>
      <c r="G2173" t="n">
        <v>5.2</v>
      </c>
      <c r="H2173" t="n">
        <v>2.6</v>
      </c>
      <c r="I2173" t="n">
        <v>36.3</v>
      </c>
      <c r="J2173" t="n">
        <v>96.59999999999999</v>
      </c>
      <c r="K2173" t="n">
        <v>8.4</v>
      </c>
      <c r="L2173" t="n">
        <v>4.1</v>
      </c>
      <c r="M2173" t="n">
        <v>1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n">
        <v>1001</v>
      </c>
      <c r="Z2173" t="inlineStr"/>
      <c r="AA2173" t="inlineStr"/>
      <c r="AB2173" t="inlineStr">
        <is>
          <t>U2172</t>
        </is>
      </c>
      <c r="AC2173" t="inlineStr">
        <is>
          <t>UN</t>
        </is>
      </c>
      <c r="AD2173" t="inlineStr"/>
      <c r="AE2173" t="n">
        <v>2.6</v>
      </c>
      <c r="AF2173" t="inlineStr"/>
      <c r="AG2173" t="inlineStr"/>
      <c r="AH2173" t="inlineStr"/>
      <c r="AI2173" t="n">
        <v>3.2</v>
      </c>
      <c r="AJ2173" t="n">
        <v>14.18</v>
      </c>
    </row>
    <row r="2174">
      <c r="A2174" t="inlineStr">
        <is>
          <t>University of Northern British Columbia (UNBC)</t>
        </is>
      </c>
      <c r="B2174" t="inlineStr">
        <is>
          <t>Canada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>
        <is>
          <t>801–1000</t>
        </is>
      </c>
      <c r="O2174" t="inlineStr">
        <is>
          <t>32.7–36.9</t>
        </is>
      </c>
      <c r="P2174" t="n">
        <v>21.1</v>
      </c>
      <c r="Q2174" t="n">
        <v>21.8</v>
      </c>
      <c r="R2174" t="n">
        <v>51.7</v>
      </c>
      <c r="S2174" t="n">
        <v>21.4</v>
      </c>
      <c r="T2174" t="n">
        <v>52</v>
      </c>
      <c r="U2174" t="inlineStr">
        <is>
          <t>2,937</t>
        </is>
      </c>
      <c r="V2174" t="n">
        <v>16.5</v>
      </c>
      <c r="W2174" t="inlineStr">
        <is>
          <t>12%</t>
        </is>
      </c>
      <c r="X2174" t="inlineStr">
        <is>
          <t>61 : 39</t>
        </is>
      </c>
      <c r="Y2174" t="inlineStr"/>
      <c r="Z2174" t="n">
        <v>801</v>
      </c>
      <c r="AA2174" t="n">
        <v>34.8</v>
      </c>
      <c r="AB2174" t="inlineStr">
        <is>
          <t>U2173</t>
        </is>
      </c>
      <c r="AC2174" t="inlineStr">
        <is>
          <t>CA</t>
        </is>
      </c>
      <c r="AD2174" t="n">
        <v>34.8</v>
      </c>
      <c r="AE2174" t="n">
        <v>51.7</v>
      </c>
      <c r="AF2174" t="n">
        <v>16.5</v>
      </c>
      <c r="AG2174" t="inlineStr">
        <is>
          <t>1:16.5</t>
        </is>
      </c>
      <c r="AH2174" t="inlineStr">
        <is>
          <t>12%</t>
        </is>
      </c>
      <c r="AI2174" t="inlineStr"/>
      <c r="AJ2174" t="n">
        <v>33.06</v>
      </c>
    </row>
    <row r="2175">
      <c r="A2175" t="inlineStr">
        <is>
          <t>University of Notre Dame</t>
        </is>
      </c>
      <c r="B2175" t="inlineStr">
        <is>
          <t>United States</t>
        </is>
      </c>
      <c r="C2175" t="inlineStr">
        <is>
          <t>316</t>
        </is>
      </c>
      <c r="D2175" t="n">
        <v>34.7</v>
      </c>
      <c r="E2175" t="n">
        <v>25.8</v>
      </c>
      <c r="F2175" t="n">
        <v>25.2</v>
      </c>
      <c r="G2175" t="n">
        <v>60.8</v>
      </c>
      <c r="H2175" t="n">
        <v>29.2</v>
      </c>
      <c r="I2175" t="n">
        <v>22.3</v>
      </c>
      <c r="J2175" t="n">
        <v>18.4</v>
      </c>
      <c r="K2175" t="n">
        <v>70.09999999999999</v>
      </c>
      <c r="L2175" t="n">
        <v>60.2</v>
      </c>
      <c r="M2175" t="n">
        <v>68.90000000000001</v>
      </c>
      <c r="N2175">
        <f>199</f>
        <v/>
      </c>
      <c r="O2175" t="inlineStr">
        <is>
          <t>58.7</t>
        </is>
      </c>
      <c r="P2175" t="n">
        <v>51.9</v>
      </c>
      <c r="Q2175" t="n">
        <v>42.6</v>
      </c>
      <c r="R2175" t="n">
        <v>76.09999999999999</v>
      </c>
      <c r="S2175" t="n">
        <v>72.90000000000001</v>
      </c>
      <c r="T2175" t="n">
        <v>69.90000000000001</v>
      </c>
      <c r="U2175" t="inlineStr">
        <is>
          <t>12,576</t>
        </is>
      </c>
      <c r="V2175" t="n">
        <v>10.9</v>
      </c>
      <c r="W2175" t="inlineStr">
        <is>
          <t>12%</t>
        </is>
      </c>
      <c r="X2175" t="inlineStr">
        <is>
          <t>47 : 53</t>
        </is>
      </c>
      <c r="Y2175" t="n">
        <v>316</v>
      </c>
      <c r="Z2175" t="n">
        <v>199</v>
      </c>
      <c r="AA2175" t="n">
        <v>58.7</v>
      </c>
      <c r="AB2175" t="inlineStr">
        <is>
          <t>U2174</t>
        </is>
      </c>
      <c r="AC2175" t="inlineStr">
        <is>
          <t>UN</t>
        </is>
      </c>
      <c r="AD2175" t="n">
        <v>34.7</v>
      </c>
      <c r="AE2175" t="n">
        <v>29.2</v>
      </c>
      <c r="AF2175" t="n">
        <v>10.9</v>
      </c>
      <c r="AG2175" t="inlineStr">
        <is>
          <t>1:10.9</t>
        </is>
      </c>
      <c r="AH2175" t="inlineStr">
        <is>
          <t>12%</t>
        </is>
      </c>
      <c r="AI2175" t="n">
        <v>25.8</v>
      </c>
      <c r="AJ2175" t="n">
        <v>41.47</v>
      </c>
    </row>
    <row r="2176">
      <c r="A2176" t="inlineStr">
        <is>
          <t>The University of Notre Dame, Australia</t>
        </is>
      </c>
      <c r="B2176" t="inlineStr">
        <is>
          <t>Australia</t>
        </is>
      </c>
      <c r="C2176" t="inlineStr">
        <is>
          <t>1401+</t>
        </is>
      </c>
      <c r="D2176" t="inlineStr"/>
      <c r="E2176" t="n">
        <v>3</v>
      </c>
      <c r="F2176" t="n">
        <v>3.7</v>
      </c>
      <c r="G2176" t="n">
        <v>3.5</v>
      </c>
      <c r="H2176" t="n">
        <v>7.2</v>
      </c>
      <c r="I2176" t="n">
        <v>21.4</v>
      </c>
      <c r="J2176" t="n">
        <v>2.2</v>
      </c>
      <c r="K2176" t="n">
        <v>10.6</v>
      </c>
      <c r="L2176" t="n">
        <v>1.7</v>
      </c>
      <c r="M2176" t="n">
        <v>1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n">
        <v>1401</v>
      </c>
      <c r="Z2176" t="inlineStr"/>
      <c r="AA2176" t="inlineStr"/>
      <c r="AB2176" t="inlineStr">
        <is>
          <t>U2175</t>
        </is>
      </c>
      <c r="AC2176" t="inlineStr">
        <is>
          <t>AU</t>
        </is>
      </c>
      <c r="AD2176" t="inlineStr"/>
      <c r="AE2176" t="n">
        <v>7.2</v>
      </c>
      <c r="AF2176" t="inlineStr"/>
      <c r="AG2176" t="inlineStr"/>
      <c r="AH2176" t="inlineStr"/>
      <c r="AI2176" t="n">
        <v>3</v>
      </c>
      <c r="AJ2176" t="n">
        <v>15.57</v>
      </c>
    </row>
    <row r="2177">
      <c r="A2177" t="inlineStr">
        <is>
          <t>University of Nottingham</t>
        </is>
      </c>
      <c r="B2177" t="inlineStr">
        <is>
          <t>United Kingdom</t>
        </is>
      </c>
      <c r="C2177" t="inlineStr">
        <is>
          <t>108</t>
        </is>
      </c>
      <c r="D2177" t="n">
        <v>58.5</v>
      </c>
      <c r="E2177" t="n">
        <v>61.1</v>
      </c>
      <c r="F2177" t="n">
        <v>65.8</v>
      </c>
      <c r="G2177" t="n">
        <v>32.8</v>
      </c>
      <c r="H2177" t="n">
        <v>37.6</v>
      </c>
      <c r="I2177" t="n">
        <v>89.40000000000001</v>
      </c>
      <c r="J2177" t="n">
        <v>70.5</v>
      </c>
      <c r="K2177" t="n">
        <v>98</v>
      </c>
      <c r="L2177" t="n">
        <v>38</v>
      </c>
      <c r="M2177" t="n">
        <v>97</v>
      </c>
      <c r="N2177">
        <f>130</f>
        <v/>
      </c>
      <c r="O2177" t="inlineStr">
        <is>
          <t>63.8</t>
        </is>
      </c>
      <c r="P2177" t="n">
        <v>45.6</v>
      </c>
      <c r="Q2177" t="n">
        <v>45.9</v>
      </c>
      <c r="R2177" t="n">
        <v>90.59999999999999</v>
      </c>
      <c r="S2177" t="n">
        <v>71.2</v>
      </c>
      <c r="T2177" t="n">
        <v>92.8</v>
      </c>
      <c r="U2177" t="inlineStr">
        <is>
          <t>33,520</t>
        </is>
      </c>
      <c r="V2177" t="n">
        <v>16</v>
      </c>
      <c r="W2177" t="inlineStr">
        <is>
          <t>27%</t>
        </is>
      </c>
      <c r="X2177" t="inlineStr">
        <is>
          <t>54 : 46</t>
        </is>
      </c>
      <c r="Y2177" t="n">
        <v>108</v>
      </c>
      <c r="Z2177" t="n">
        <v>130</v>
      </c>
      <c r="AA2177" t="n">
        <v>63.8</v>
      </c>
      <c r="AB2177" t="inlineStr">
        <is>
          <t>U2176</t>
        </is>
      </c>
      <c r="AC2177" t="inlineStr">
        <is>
          <t>UN</t>
        </is>
      </c>
      <c r="AD2177" t="n">
        <v>58.5</v>
      </c>
      <c r="AE2177" t="n">
        <v>37.6</v>
      </c>
      <c r="AF2177" t="n">
        <v>16</v>
      </c>
      <c r="AG2177" t="inlineStr">
        <is>
          <t>1:16.0</t>
        </is>
      </c>
      <c r="AH2177" t="inlineStr">
        <is>
          <t>27%</t>
        </is>
      </c>
      <c r="AI2177" t="n">
        <v>61.1</v>
      </c>
      <c r="AJ2177" t="n">
        <v>51.29</v>
      </c>
    </row>
    <row r="2178">
      <c r="A2178" t="inlineStr">
        <is>
          <t>University of Novi Sad</t>
        </is>
      </c>
      <c r="B2178" t="inlineStr">
        <is>
          <t>Serbia</t>
        </is>
      </c>
      <c r="C2178" t="inlineStr">
        <is>
          <t>1001-1200</t>
        </is>
      </c>
      <c r="D2178" t="inlineStr"/>
      <c r="E2178" t="n">
        <v>8.4</v>
      </c>
      <c r="F2178" t="n">
        <v>5.9</v>
      </c>
      <c r="G2178" t="n">
        <v>8.800000000000001</v>
      </c>
      <c r="H2178" t="n">
        <v>3.6</v>
      </c>
      <c r="I2178" t="inlineStr"/>
      <c r="J2178" t="inlineStr"/>
      <c r="K2178" t="n">
        <v>79.40000000000001</v>
      </c>
      <c r="L2178" t="n">
        <v>21.3</v>
      </c>
      <c r="M2178" t="n">
        <v>1.2</v>
      </c>
      <c r="N2178" t="inlineStr">
        <is>
          <t>1501+</t>
        </is>
      </c>
      <c r="O2178" t="inlineStr">
        <is>
          <t>9.7–22.7</t>
        </is>
      </c>
      <c r="P2178" t="n">
        <v>19</v>
      </c>
      <c r="Q2178" t="n">
        <v>11.7</v>
      </c>
      <c r="R2178" t="n">
        <v>29.1</v>
      </c>
      <c r="S2178" t="n">
        <v>36.4</v>
      </c>
      <c r="T2178" t="n">
        <v>33.6</v>
      </c>
      <c r="U2178" t="inlineStr">
        <is>
          <t>47,978</t>
        </is>
      </c>
      <c r="V2178" t="n">
        <v>15.1</v>
      </c>
      <c r="W2178" t="inlineStr">
        <is>
          <t>1%</t>
        </is>
      </c>
      <c r="X2178" t="inlineStr">
        <is>
          <t>57 : 43</t>
        </is>
      </c>
      <c r="Y2178" t="n">
        <v>1001</v>
      </c>
      <c r="Z2178" t="n">
        <v>1501</v>
      </c>
      <c r="AA2178" t="n">
        <v>16.2</v>
      </c>
      <c r="AB2178" t="inlineStr">
        <is>
          <t>U2177</t>
        </is>
      </c>
      <c r="AC2178" t="inlineStr">
        <is>
          <t>SE</t>
        </is>
      </c>
      <c r="AD2178" t="n">
        <v>16.2</v>
      </c>
      <c r="AE2178" t="n">
        <v>3.6</v>
      </c>
      <c r="AF2178" t="n">
        <v>15.1</v>
      </c>
      <c r="AG2178" t="inlineStr">
        <is>
          <t>1:15.1</t>
        </is>
      </c>
      <c r="AH2178" t="inlineStr">
        <is>
          <t>1%</t>
        </is>
      </c>
      <c r="AI2178" t="n">
        <v>8.4</v>
      </c>
      <c r="AJ2178" t="n">
        <v>8.74</v>
      </c>
    </row>
    <row r="2179">
      <c r="A2179" t="inlineStr">
        <is>
          <t>University of Occupational and Environmental Health, Japan</t>
        </is>
      </c>
      <c r="B2179" t="inlineStr">
        <is>
          <t>Japan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>
        <is>
          <t>1001–1200</t>
        </is>
      </c>
      <c r="O2179" t="inlineStr">
        <is>
          <t>28.3–32.6</t>
        </is>
      </c>
      <c r="P2179" t="n">
        <v>30.2</v>
      </c>
      <c r="Q2179" t="n">
        <v>11.7</v>
      </c>
      <c r="R2179" t="n">
        <v>54.8</v>
      </c>
      <c r="S2179" t="n">
        <v>46.8</v>
      </c>
      <c r="T2179" t="n">
        <v>22.5</v>
      </c>
      <c r="U2179" t="inlineStr">
        <is>
          <t>1,164</t>
        </is>
      </c>
      <c r="V2179" t="n">
        <v>2.5</v>
      </c>
      <c r="W2179" t="inlineStr">
        <is>
          <t>1%</t>
        </is>
      </c>
      <c r="X2179" t="inlineStr">
        <is>
          <t>52 : 48</t>
        </is>
      </c>
      <c r="Y2179" t="inlineStr"/>
      <c r="Z2179" t="n">
        <v>1001</v>
      </c>
      <c r="AA2179" t="n">
        <v>30.45</v>
      </c>
      <c r="AB2179" t="inlineStr">
        <is>
          <t>U2178</t>
        </is>
      </c>
      <c r="AC2179" t="inlineStr">
        <is>
          <t>JA</t>
        </is>
      </c>
      <c r="AD2179" t="n">
        <v>30.45</v>
      </c>
      <c r="AE2179" t="n">
        <v>54.8</v>
      </c>
      <c r="AF2179" t="n">
        <v>2.5</v>
      </c>
      <c r="AG2179" t="inlineStr">
        <is>
          <t>1:2.5</t>
        </is>
      </c>
      <c r="AH2179" t="inlineStr">
        <is>
          <t>1%</t>
        </is>
      </c>
      <c r="AI2179" t="inlineStr"/>
      <c r="AJ2179" t="n">
        <v>21.57</v>
      </c>
    </row>
    <row r="2180">
      <c r="A2180" t="inlineStr">
        <is>
          <t>University of Oklahoma</t>
        </is>
      </c>
      <c r="B2180" t="inlineStr">
        <is>
          <t>United States</t>
        </is>
      </c>
      <c r="C2180" t="inlineStr">
        <is>
          <t>701-710</t>
        </is>
      </c>
      <c r="D2180" t="inlineStr"/>
      <c r="E2180" t="n">
        <v>10.2</v>
      </c>
      <c r="F2180" t="n">
        <v>9.800000000000001</v>
      </c>
      <c r="G2180" t="n">
        <v>15.6</v>
      </c>
      <c r="H2180" t="n">
        <v>31.1</v>
      </c>
      <c r="I2180" t="n">
        <v>21.8</v>
      </c>
      <c r="J2180" t="n">
        <v>5.7</v>
      </c>
      <c r="K2180" t="n">
        <v>69.3</v>
      </c>
      <c r="L2180" t="n">
        <v>22.3</v>
      </c>
      <c r="M2180" t="n">
        <v>17.7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n">
        <v>701</v>
      </c>
      <c r="Z2180" t="inlineStr"/>
      <c r="AA2180" t="inlineStr"/>
      <c r="AB2180" t="inlineStr">
        <is>
          <t>U2179</t>
        </is>
      </c>
      <c r="AC2180" t="inlineStr">
        <is>
          <t>UN</t>
        </is>
      </c>
      <c r="AD2180" t="inlineStr"/>
      <c r="AE2180" t="n">
        <v>31.1</v>
      </c>
      <c r="AF2180" t="inlineStr"/>
      <c r="AG2180" t="inlineStr"/>
      <c r="AH2180" t="inlineStr"/>
      <c r="AI2180" t="n">
        <v>10.2</v>
      </c>
      <c r="AJ2180" t="n">
        <v>22.81</v>
      </c>
    </row>
    <row r="2181">
      <c r="A2181" t="inlineStr">
        <is>
          <t>University of Oradea</t>
        </is>
      </c>
      <c r="B2181" t="inlineStr">
        <is>
          <t>Romania</t>
        </is>
      </c>
      <c r="C2181" t="inlineStr">
        <is>
          <t>1401+</t>
        </is>
      </c>
      <c r="D2181" t="inlineStr"/>
      <c r="E2181" t="n">
        <v>5.6</v>
      </c>
      <c r="F2181" t="n">
        <v>2.2</v>
      </c>
      <c r="G2181" t="n">
        <v>4</v>
      </c>
      <c r="H2181" t="n">
        <v>1.9</v>
      </c>
      <c r="I2181" t="n">
        <v>1.5</v>
      </c>
      <c r="J2181" t="n">
        <v>5.2</v>
      </c>
      <c r="K2181" t="n">
        <v>34.5</v>
      </c>
      <c r="L2181" t="n">
        <v>6.2</v>
      </c>
      <c r="M2181" t="n">
        <v>2.3</v>
      </c>
      <c r="N2181" t="inlineStr">
        <is>
          <t>1201–1500</t>
        </is>
      </c>
      <c r="O2181" t="inlineStr">
        <is>
          <t>22.8–28.2</t>
        </is>
      </c>
      <c r="P2181" t="n">
        <v>16.7</v>
      </c>
      <c r="Q2181" t="n">
        <v>14.6</v>
      </c>
      <c r="R2181" t="n">
        <v>35</v>
      </c>
      <c r="S2181" t="n">
        <v>16.9</v>
      </c>
      <c r="T2181" t="n">
        <v>41</v>
      </c>
      <c r="U2181" t="inlineStr">
        <is>
          <t>15,820</t>
        </is>
      </c>
      <c r="V2181" t="n">
        <v>17.5</v>
      </c>
      <c r="W2181" t="inlineStr">
        <is>
          <t>6%</t>
        </is>
      </c>
      <c r="X2181" t="inlineStr">
        <is>
          <t>56 : 44</t>
        </is>
      </c>
      <c r="Y2181" t="n">
        <v>1401</v>
      </c>
      <c r="Z2181" t="n">
        <v>1201</v>
      </c>
      <c r="AA2181" t="n">
        <v>25.5</v>
      </c>
      <c r="AB2181" t="inlineStr">
        <is>
          <t>U2180</t>
        </is>
      </c>
      <c r="AC2181" t="inlineStr">
        <is>
          <t>RO</t>
        </is>
      </c>
      <c r="AD2181" t="n">
        <v>25.5</v>
      </c>
      <c r="AE2181" t="n">
        <v>1.9</v>
      </c>
      <c r="AF2181" t="n">
        <v>17.5</v>
      </c>
      <c r="AG2181" t="inlineStr">
        <is>
          <t>1:17.5</t>
        </is>
      </c>
      <c r="AH2181" t="inlineStr">
        <is>
          <t>6%</t>
        </is>
      </c>
      <c r="AI2181" t="n">
        <v>5.6</v>
      </c>
      <c r="AJ2181" t="n">
        <v>11.54</v>
      </c>
    </row>
    <row r="2182">
      <c r="A2182" t="inlineStr">
        <is>
          <t>University of Oregon</t>
        </is>
      </c>
      <c r="B2182" t="inlineStr">
        <is>
          <t>United States</t>
        </is>
      </c>
      <c r="C2182" t="inlineStr">
        <is>
          <t>801-850</t>
        </is>
      </c>
      <c r="D2182" t="inlineStr"/>
      <c r="E2182" t="n">
        <v>18.3</v>
      </c>
      <c r="F2182" t="n">
        <v>9.4</v>
      </c>
      <c r="G2182" t="n">
        <v>9.4</v>
      </c>
      <c r="H2182" t="n">
        <v>18.5</v>
      </c>
      <c r="I2182" t="n">
        <v>7.6</v>
      </c>
      <c r="J2182" t="n">
        <v>3.6</v>
      </c>
      <c r="K2182" t="n">
        <v>53.4</v>
      </c>
      <c r="L2182" t="n">
        <v>23.3</v>
      </c>
      <c r="M2182" t="n">
        <v>16.1</v>
      </c>
      <c r="N2182" t="inlineStr">
        <is>
          <t>401–500</t>
        </is>
      </c>
      <c r="O2182" t="inlineStr">
        <is>
          <t>45.4–49.0</t>
        </is>
      </c>
      <c r="P2182" t="n">
        <v>31.1</v>
      </c>
      <c r="Q2182" t="n">
        <v>30.5</v>
      </c>
      <c r="R2182" t="n">
        <v>79.40000000000001</v>
      </c>
      <c r="S2182" t="n">
        <v>70.2</v>
      </c>
      <c r="T2182" t="n">
        <v>43.2</v>
      </c>
      <c r="U2182" t="inlineStr">
        <is>
          <t>21,185</t>
        </is>
      </c>
      <c r="V2182" t="n">
        <v>13</v>
      </c>
      <c r="W2182" t="inlineStr">
        <is>
          <t>6%</t>
        </is>
      </c>
      <c r="X2182" t="inlineStr">
        <is>
          <t>55 : 45</t>
        </is>
      </c>
      <c r="Y2182" t="n">
        <v>801</v>
      </c>
      <c r="Z2182" t="n">
        <v>401</v>
      </c>
      <c r="AA2182" t="n">
        <v>47.2</v>
      </c>
      <c r="AB2182" t="inlineStr">
        <is>
          <t>U2181</t>
        </is>
      </c>
      <c r="AC2182" t="inlineStr">
        <is>
          <t>UN</t>
        </is>
      </c>
      <c r="AD2182" t="n">
        <v>47.2</v>
      </c>
      <c r="AE2182" t="n">
        <v>18.5</v>
      </c>
      <c r="AF2182" t="n">
        <v>13</v>
      </c>
      <c r="AG2182" t="inlineStr">
        <is>
          <t>1:13.0</t>
        </is>
      </c>
      <c r="AH2182" t="inlineStr">
        <is>
          <t>6%</t>
        </is>
      </c>
      <c r="AI2182" t="n">
        <v>18.3</v>
      </c>
      <c r="AJ2182" t="n">
        <v>25.43</v>
      </c>
    </row>
    <row r="2183">
      <c r="A2183" t="inlineStr">
        <is>
          <t>University of Oslo</t>
        </is>
      </c>
      <c r="B2183" t="inlineStr">
        <is>
          <t>Norway</t>
        </is>
      </c>
      <c r="C2183" t="inlineStr">
        <is>
          <t>119</t>
        </is>
      </c>
      <c r="D2183" t="n">
        <v>56.1</v>
      </c>
      <c r="E2183" t="n">
        <v>55.6</v>
      </c>
      <c r="F2183" t="n">
        <v>16</v>
      </c>
      <c r="G2183" t="n">
        <v>73.8</v>
      </c>
      <c r="H2183" t="n">
        <v>55.7</v>
      </c>
      <c r="I2183" t="n">
        <v>91.59999999999999</v>
      </c>
      <c r="J2183" t="n">
        <v>31.7</v>
      </c>
      <c r="K2183" t="n">
        <v>97.3</v>
      </c>
      <c r="L2183" t="n">
        <v>80.90000000000001</v>
      </c>
      <c r="M2183" t="n">
        <v>72.09999999999999</v>
      </c>
      <c r="N2183" t="inlineStr">
        <is>
          <t>127</t>
        </is>
      </c>
      <c r="O2183" t="inlineStr">
        <is>
          <t>64.3</t>
        </is>
      </c>
      <c r="P2183" t="n">
        <v>45.6</v>
      </c>
      <c r="Q2183" t="n">
        <v>50.6</v>
      </c>
      <c r="R2183" t="n">
        <v>92.09999999999999</v>
      </c>
      <c r="S2183" t="n">
        <v>72.3</v>
      </c>
      <c r="T2183" t="n">
        <v>75.59999999999999</v>
      </c>
      <c r="U2183" t="inlineStr">
        <is>
          <t>20,967</t>
        </is>
      </c>
      <c r="V2183" t="n">
        <v>12.5</v>
      </c>
      <c r="W2183" t="inlineStr">
        <is>
          <t>15%</t>
        </is>
      </c>
      <c r="X2183" t="inlineStr">
        <is>
          <t>66 : 34</t>
        </is>
      </c>
      <c r="Y2183" t="n">
        <v>119</v>
      </c>
      <c r="Z2183" t="n">
        <v>127</v>
      </c>
      <c r="AA2183" t="n">
        <v>64.3</v>
      </c>
      <c r="AB2183" t="inlineStr">
        <is>
          <t>U2182</t>
        </is>
      </c>
      <c r="AC2183" t="inlineStr">
        <is>
          <t>NO</t>
        </is>
      </c>
      <c r="AD2183" t="n">
        <v>56.1</v>
      </c>
      <c r="AE2183" t="n">
        <v>55.7</v>
      </c>
      <c r="AF2183" t="n">
        <v>12.5</v>
      </c>
      <c r="AG2183" t="inlineStr">
        <is>
          <t>1:12.5</t>
        </is>
      </c>
      <c r="AH2183" t="inlineStr">
        <is>
          <t>15%</t>
        </is>
      </c>
      <c r="AI2183" t="n">
        <v>55.6</v>
      </c>
      <c r="AJ2183" t="n">
        <v>55.07</v>
      </c>
    </row>
    <row r="2184">
      <c r="A2184" t="inlineStr">
        <is>
          <t>University of Ostrava</t>
        </is>
      </c>
      <c r="B2184" t="inlineStr">
        <is>
          <t>Czech Republic</t>
        </is>
      </c>
      <c r="C2184" t="inlineStr">
        <is>
          <t>1201-1400</t>
        </is>
      </c>
      <c r="D2184" t="inlineStr"/>
      <c r="E2184" t="n">
        <v>6.3</v>
      </c>
      <c r="F2184" t="n">
        <v>1.1</v>
      </c>
      <c r="G2184" t="n">
        <v>15.6</v>
      </c>
      <c r="H2184" t="n">
        <v>3.6</v>
      </c>
      <c r="I2184" t="n">
        <v>27.7</v>
      </c>
      <c r="J2184" t="n">
        <v>16.6</v>
      </c>
      <c r="K2184" t="n">
        <v>27</v>
      </c>
      <c r="L2184" t="n">
        <v>2.9</v>
      </c>
      <c r="M2184" t="n">
        <v>1</v>
      </c>
      <c r="N2184" t="inlineStr">
        <is>
          <t>1501+</t>
        </is>
      </c>
      <c r="O2184" t="inlineStr">
        <is>
          <t>9.7–22.7</t>
        </is>
      </c>
      <c r="P2184" t="n">
        <v>19.5</v>
      </c>
      <c r="Q2184" t="n">
        <v>16.3</v>
      </c>
      <c r="R2184" t="n">
        <v>23.2</v>
      </c>
      <c r="S2184" t="n">
        <v>18.2</v>
      </c>
      <c r="T2184" t="n">
        <v>46.2</v>
      </c>
      <c r="U2184" t="inlineStr">
        <is>
          <t>8,526</t>
        </is>
      </c>
      <c r="V2184" t="n">
        <v>16</v>
      </c>
      <c r="W2184" t="inlineStr">
        <is>
          <t>9%</t>
        </is>
      </c>
      <c r="X2184" t="inlineStr">
        <is>
          <t>71 : 29</t>
        </is>
      </c>
      <c r="Y2184" t="n">
        <v>1201</v>
      </c>
      <c r="Z2184" t="n">
        <v>1501</v>
      </c>
      <c r="AA2184" t="n">
        <v>16.2</v>
      </c>
      <c r="AB2184" t="inlineStr">
        <is>
          <t>U2183</t>
        </is>
      </c>
      <c r="AC2184" t="inlineStr">
        <is>
          <t>CZ</t>
        </is>
      </c>
      <c r="AD2184" t="n">
        <v>16.2</v>
      </c>
      <c r="AE2184" t="n">
        <v>3.6</v>
      </c>
      <c r="AF2184" t="n">
        <v>16</v>
      </c>
      <c r="AG2184" t="inlineStr">
        <is>
          <t>1:16.0</t>
        </is>
      </c>
      <c r="AH2184" t="inlineStr">
        <is>
          <t>9%</t>
        </is>
      </c>
      <c r="AI2184" t="n">
        <v>6.3</v>
      </c>
      <c r="AJ2184" t="n">
        <v>14.2</v>
      </c>
    </row>
    <row r="2185">
      <c r="A2185" t="inlineStr">
        <is>
          <t>University of Otago</t>
        </is>
      </c>
      <c r="B2185" t="inlineStr">
        <is>
          <t>New Zealand</t>
        </is>
      </c>
      <c r="C2185" t="inlineStr">
        <is>
          <t>214</t>
        </is>
      </c>
      <c r="D2185" t="n">
        <v>44.4</v>
      </c>
      <c r="E2185" t="n">
        <v>45</v>
      </c>
      <c r="F2185" t="n">
        <v>24.6</v>
      </c>
      <c r="G2185" t="n">
        <v>12.8</v>
      </c>
      <c r="H2185" t="n">
        <v>38.8</v>
      </c>
      <c r="I2185" t="n">
        <v>100</v>
      </c>
      <c r="J2185" t="n">
        <v>37.6</v>
      </c>
      <c r="K2185" t="n">
        <v>79.5</v>
      </c>
      <c r="L2185" t="n">
        <v>59.1</v>
      </c>
      <c r="M2185" t="n">
        <v>96</v>
      </c>
      <c r="N2185" t="inlineStr">
        <is>
          <t>301–350</t>
        </is>
      </c>
      <c r="O2185" t="inlineStr">
        <is>
          <t>51.1–53.0</t>
        </is>
      </c>
      <c r="P2185" t="n">
        <v>35.6</v>
      </c>
      <c r="Q2185" t="n">
        <v>35.1</v>
      </c>
      <c r="R2185" t="n">
        <v>75.8</v>
      </c>
      <c r="S2185" t="n">
        <v>68.8</v>
      </c>
      <c r="T2185" t="n">
        <v>81.8</v>
      </c>
      <c r="U2185" t="inlineStr">
        <is>
          <t>19,350</t>
        </is>
      </c>
      <c r="V2185" t="n">
        <v>20.6</v>
      </c>
      <c r="W2185" t="inlineStr">
        <is>
          <t>16%</t>
        </is>
      </c>
      <c r="X2185" t="inlineStr">
        <is>
          <t>61 : 39</t>
        </is>
      </c>
      <c r="Y2185" t="n">
        <v>214</v>
      </c>
      <c r="Z2185" t="n">
        <v>301</v>
      </c>
      <c r="AA2185" t="n">
        <v>52.05</v>
      </c>
      <c r="AB2185" t="inlineStr">
        <is>
          <t>U2184</t>
        </is>
      </c>
      <c r="AC2185" t="inlineStr">
        <is>
          <t>NE</t>
        </is>
      </c>
      <c r="AD2185" t="n">
        <v>44.4</v>
      </c>
      <c r="AE2185" t="n">
        <v>38.8</v>
      </c>
      <c r="AF2185" t="n">
        <v>20.6</v>
      </c>
      <c r="AG2185" t="inlineStr">
        <is>
          <t>1:20.6</t>
        </is>
      </c>
      <c r="AH2185" t="inlineStr">
        <is>
          <t>16%</t>
        </is>
      </c>
      <c r="AI2185" t="n">
        <v>45</v>
      </c>
      <c r="AJ2185" t="n">
        <v>43.33</v>
      </c>
    </row>
    <row r="2186">
      <c r="A2186" t="inlineStr">
        <is>
          <t>University of Ottawa</t>
        </is>
      </c>
      <c r="B2186" t="inlineStr">
        <is>
          <t>Canada</t>
        </is>
      </c>
      <c r="C2186" t="inlineStr">
        <is>
          <t>189</t>
        </is>
      </c>
      <c r="D2186" t="n">
        <v>47.3</v>
      </c>
      <c r="E2186" t="n">
        <v>26.2</v>
      </c>
      <c r="F2186" t="n">
        <v>23.3</v>
      </c>
      <c r="G2186" t="n">
        <v>3.5</v>
      </c>
      <c r="H2186" t="n">
        <v>81.3</v>
      </c>
      <c r="I2186" t="n">
        <v>91.7</v>
      </c>
      <c r="J2186" t="n">
        <v>77.8</v>
      </c>
      <c r="K2186" t="n">
        <v>93</v>
      </c>
      <c r="L2186" t="n">
        <v>39.8</v>
      </c>
      <c r="M2186" t="n">
        <v>92.90000000000001</v>
      </c>
      <c r="N2186">
        <f>177</f>
        <v/>
      </c>
      <c r="O2186" t="inlineStr">
        <is>
          <t>60.2</t>
        </is>
      </c>
      <c r="P2186" t="n">
        <v>39.6</v>
      </c>
      <c r="Q2186" t="n">
        <v>46.5</v>
      </c>
      <c r="R2186" t="n">
        <v>84.40000000000001</v>
      </c>
      <c r="S2186" t="n">
        <v>80.2</v>
      </c>
      <c r="T2186" t="n">
        <v>86.90000000000001</v>
      </c>
      <c r="U2186" t="inlineStr">
        <is>
          <t>38,366</t>
        </is>
      </c>
      <c r="V2186" t="n">
        <v>27.2</v>
      </c>
      <c r="W2186" t="inlineStr">
        <is>
          <t>26%</t>
        </is>
      </c>
      <c r="X2186" t="inlineStr">
        <is>
          <t>59 : 41</t>
        </is>
      </c>
      <c r="Y2186" t="n">
        <v>189</v>
      </c>
      <c r="Z2186" t="n">
        <v>177</v>
      </c>
      <c r="AA2186" t="n">
        <v>60.2</v>
      </c>
      <c r="AB2186" t="inlineStr">
        <is>
          <t>U2185</t>
        </is>
      </c>
      <c r="AC2186" t="inlineStr">
        <is>
          <t>CA</t>
        </is>
      </c>
      <c r="AD2186" t="n">
        <v>47.3</v>
      </c>
      <c r="AE2186" t="n">
        <v>81.3</v>
      </c>
      <c r="AF2186" t="n">
        <v>27.2</v>
      </c>
      <c r="AG2186" t="inlineStr">
        <is>
          <t>1:27.2</t>
        </is>
      </c>
      <c r="AH2186" t="inlineStr">
        <is>
          <t>26%</t>
        </is>
      </c>
      <c r="AI2186" t="n">
        <v>26.2</v>
      </c>
      <c r="AJ2186" t="n">
        <v>63.42</v>
      </c>
    </row>
    <row r="2187">
      <c r="A2187" t="inlineStr">
        <is>
          <t>University of Oulu</t>
        </is>
      </c>
      <c r="B2187" t="inlineStr">
        <is>
          <t>Finland</t>
        </is>
      </c>
      <c r="C2187" t="inlineStr">
        <is>
          <t>344</t>
        </is>
      </c>
      <c r="D2187" t="n">
        <v>32.9</v>
      </c>
      <c r="E2187" t="n">
        <v>15.1</v>
      </c>
      <c r="F2187" t="n">
        <v>13.5</v>
      </c>
      <c r="G2187" t="n">
        <v>25.3</v>
      </c>
      <c r="H2187" t="n">
        <v>59.4</v>
      </c>
      <c r="I2187" t="n">
        <v>65.3</v>
      </c>
      <c r="J2187" t="n">
        <v>8.6</v>
      </c>
      <c r="K2187" t="n">
        <v>89.40000000000001</v>
      </c>
      <c r="L2187" t="n">
        <v>21.7</v>
      </c>
      <c r="M2187" t="n">
        <v>68.59999999999999</v>
      </c>
      <c r="N2187" t="inlineStr">
        <is>
          <t>251–300</t>
        </is>
      </c>
      <c r="O2187" t="inlineStr">
        <is>
          <t>53.1–55.8</t>
        </is>
      </c>
      <c r="P2187" t="n">
        <v>33.1</v>
      </c>
      <c r="Q2187" t="n">
        <v>38.2</v>
      </c>
      <c r="R2187" t="n">
        <v>84.09999999999999</v>
      </c>
      <c r="S2187" t="n">
        <v>66</v>
      </c>
      <c r="T2187" t="n">
        <v>59.5</v>
      </c>
      <c r="U2187" t="inlineStr">
        <is>
          <t>10,719</t>
        </is>
      </c>
      <c r="V2187" t="n">
        <v>20.8</v>
      </c>
      <c r="W2187" t="inlineStr">
        <is>
          <t>8%</t>
        </is>
      </c>
      <c r="X2187" t="inlineStr">
        <is>
          <t>55 : 45</t>
        </is>
      </c>
      <c r="Y2187" t="n">
        <v>344</v>
      </c>
      <c r="Z2187" t="n">
        <v>251</v>
      </c>
      <c r="AA2187" t="n">
        <v>54.45</v>
      </c>
      <c r="AB2187" t="inlineStr">
        <is>
          <t>U2186</t>
        </is>
      </c>
      <c r="AC2187" t="inlineStr">
        <is>
          <t>FI</t>
        </is>
      </c>
      <c r="AD2187" t="n">
        <v>32.9</v>
      </c>
      <c r="AE2187" t="n">
        <v>59.4</v>
      </c>
      <c r="AF2187" t="n">
        <v>20.8</v>
      </c>
      <c r="AG2187" t="inlineStr">
        <is>
          <t>1:20.8</t>
        </is>
      </c>
      <c r="AH2187" t="inlineStr">
        <is>
          <t>8%</t>
        </is>
      </c>
      <c r="AI2187" t="n">
        <v>15.1</v>
      </c>
      <c r="AJ2187" t="n">
        <v>45.8</v>
      </c>
    </row>
    <row r="2188">
      <c r="A2188" t="inlineStr">
        <is>
          <t>University of Oviedo</t>
        </is>
      </c>
      <c r="B2188" t="inlineStr">
        <is>
          <t>Spain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>
        <is>
          <t>801–1000</t>
        </is>
      </c>
      <c r="O2188" t="inlineStr">
        <is>
          <t>32.7–36.9</t>
        </is>
      </c>
      <c r="P2188" t="n">
        <v>29</v>
      </c>
      <c r="Q2188" t="n">
        <v>18.5</v>
      </c>
      <c r="R2188" t="n">
        <v>49.2</v>
      </c>
      <c r="S2188" t="n">
        <v>40.6</v>
      </c>
      <c r="T2188" t="n">
        <v>37.8</v>
      </c>
      <c r="U2188" t="inlineStr">
        <is>
          <t>18,657</t>
        </is>
      </c>
      <c r="V2188" t="n">
        <v>9.199999999999999</v>
      </c>
      <c r="W2188" t="inlineStr">
        <is>
          <t>4%</t>
        </is>
      </c>
      <c r="X2188" t="inlineStr">
        <is>
          <t>54 : 46</t>
        </is>
      </c>
      <c r="Y2188" t="inlineStr"/>
      <c r="Z2188" t="n">
        <v>801</v>
      </c>
      <c r="AA2188" t="n">
        <v>34.8</v>
      </c>
      <c r="AB2188" t="inlineStr">
        <is>
          <t>U2187</t>
        </is>
      </c>
      <c r="AC2188" t="inlineStr">
        <is>
          <t>SP</t>
        </is>
      </c>
      <c r="AD2188" t="n">
        <v>34.8</v>
      </c>
      <c r="AE2188" t="n">
        <v>49.2</v>
      </c>
      <c r="AF2188" t="n">
        <v>9.199999999999999</v>
      </c>
      <c r="AG2188" t="inlineStr">
        <is>
          <t>1:9.2</t>
        </is>
      </c>
      <c r="AH2188" t="inlineStr">
        <is>
          <t>4%</t>
        </is>
      </c>
      <c r="AI2188" t="inlineStr"/>
      <c r="AJ2188" t="n">
        <v>27.14</v>
      </c>
    </row>
    <row r="2189">
      <c r="A2189" t="inlineStr">
        <is>
          <t>University of Oxford</t>
        </is>
      </c>
      <c r="B2189" t="inlineStr">
        <is>
          <t>United Kingdom</t>
        </is>
      </c>
      <c r="C2189" t="inlineStr">
        <is>
          <t>3</t>
        </is>
      </c>
      <c r="D2189" t="n">
        <v>96.90000000000001</v>
      </c>
      <c r="E2189" t="n">
        <v>100</v>
      </c>
      <c r="F2189" t="n">
        <v>100</v>
      </c>
      <c r="G2189" t="n">
        <v>100</v>
      </c>
      <c r="H2189" t="n">
        <v>84.8</v>
      </c>
      <c r="I2189" t="n">
        <v>98.09999999999999</v>
      </c>
      <c r="J2189" t="n">
        <v>97.7</v>
      </c>
      <c r="K2189" t="n">
        <v>100</v>
      </c>
      <c r="L2189" t="n">
        <v>100</v>
      </c>
      <c r="M2189" t="n">
        <v>85</v>
      </c>
      <c r="N2189" t="inlineStr">
        <is>
          <t>1</t>
        </is>
      </c>
      <c r="O2189" t="inlineStr">
        <is>
          <t>98.5</t>
        </is>
      </c>
      <c r="P2189" t="n">
        <v>96.59999999999999</v>
      </c>
      <c r="Q2189" t="n">
        <v>100</v>
      </c>
      <c r="R2189" t="n">
        <v>99</v>
      </c>
      <c r="S2189" t="n">
        <v>98.7</v>
      </c>
      <c r="T2189" t="n">
        <v>97.5</v>
      </c>
      <c r="U2189" t="inlineStr">
        <is>
          <t>21,750</t>
        </is>
      </c>
      <c r="V2189" t="n">
        <v>10.9</v>
      </c>
      <c r="W2189" t="inlineStr">
        <is>
          <t>42%</t>
        </is>
      </c>
      <c r="X2189" t="inlineStr">
        <is>
          <t>49 : 51</t>
        </is>
      </c>
      <c r="Y2189" t="n">
        <v>3</v>
      </c>
      <c r="Z2189" t="n">
        <v>1</v>
      </c>
      <c r="AA2189" t="n">
        <v>98.5</v>
      </c>
      <c r="AB2189" t="inlineStr">
        <is>
          <t>U2188</t>
        </is>
      </c>
      <c r="AC2189" t="inlineStr">
        <is>
          <t>UN</t>
        </is>
      </c>
      <c r="AD2189" t="n">
        <v>96.90000000000001</v>
      </c>
      <c r="AE2189" t="n">
        <v>84.8</v>
      </c>
      <c r="AF2189" t="n">
        <v>10.9</v>
      </c>
      <c r="AG2189" t="inlineStr">
        <is>
          <t>1:10.9</t>
        </is>
      </c>
      <c r="AH2189" t="inlineStr">
        <is>
          <t>42%</t>
        </is>
      </c>
      <c r="AI2189" t="n">
        <v>100</v>
      </c>
      <c r="AJ2189" t="n">
        <v>95.08</v>
      </c>
    </row>
    <row r="2190">
      <c r="A2190" t="inlineStr">
        <is>
          <t>University of Pécs</t>
        </is>
      </c>
      <c r="B2190" t="inlineStr">
        <is>
          <t>Hungary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>
        <is>
          <t>1001–1200</t>
        </is>
      </c>
      <c r="O2190" t="inlineStr">
        <is>
          <t>28.3–32.6</t>
        </is>
      </c>
      <c r="P2190" t="n">
        <v>39.1</v>
      </c>
      <c r="Q2190" t="n">
        <v>16.5</v>
      </c>
      <c r="R2190" t="n">
        <v>29.9</v>
      </c>
      <c r="S2190" t="n">
        <v>32</v>
      </c>
      <c r="T2190" t="n">
        <v>54.3</v>
      </c>
      <c r="U2190" t="inlineStr">
        <is>
          <t>16,267</t>
        </is>
      </c>
      <c r="V2190" t="n">
        <v>13.7</v>
      </c>
      <c r="W2190" t="inlineStr">
        <is>
          <t>24%</t>
        </is>
      </c>
      <c r="X2190" t="inlineStr">
        <is>
          <t>59 : 41</t>
        </is>
      </c>
      <c r="Y2190" t="inlineStr"/>
      <c r="Z2190" t="n">
        <v>1001</v>
      </c>
      <c r="AA2190" t="n">
        <v>30.45</v>
      </c>
      <c r="AB2190" t="inlineStr">
        <is>
          <t>U2189</t>
        </is>
      </c>
      <c r="AC2190" t="inlineStr">
        <is>
          <t>HU</t>
        </is>
      </c>
      <c r="AD2190" t="n">
        <v>30.45</v>
      </c>
      <c r="AE2190" t="n">
        <v>29.9</v>
      </c>
      <c r="AF2190" t="n">
        <v>13.7</v>
      </c>
      <c r="AG2190" t="inlineStr">
        <is>
          <t>1:13.7</t>
        </is>
      </c>
      <c r="AH2190" t="inlineStr">
        <is>
          <t>24%</t>
        </is>
      </c>
      <c r="AI2190" t="inlineStr"/>
      <c r="AJ2190" t="n">
        <v>24.23</v>
      </c>
    </row>
    <row r="2191">
      <c r="A2191" t="inlineStr">
        <is>
          <t>University of Padua</t>
        </is>
      </c>
      <c r="B2191" t="inlineStr">
        <is>
          <t>Italy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>
        <is>
          <t>201–250</t>
        </is>
      </c>
      <c r="O2191" t="inlineStr">
        <is>
          <t>55.9–58.6</t>
        </is>
      </c>
      <c r="P2191" t="n">
        <v>46.1</v>
      </c>
      <c r="Q2191" t="n">
        <v>38.5</v>
      </c>
      <c r="R2191" t="n">
        <v>84.09999999999999</v>
      </c>
      <c r="S2191" t="n">
        <v>77.09999999999999</v>
      </c>
      <c r="T2191" t="n">
        <v>53.1</v>
      </c>
      <c r="U2191" t="inlineStr">
        <is>
          <t>44,401</t>
        </is>
      </c>
      <c r="V2191" t="n">
        <v>26.5</v>
      </c>
      <c r="W2191" t="inlineStr">
        <is>
          <t>7%</t>
        </is>
      </c>
      <c r="X2191" t="inlineStr">
        <is>
          <t>56 : 44</t>
        </is>
      </c>
      <c r="Y2191" t="inlineStr"/>
      <c r="Z2191" t="n">
        <v>201</v>
      </c>
      <c r="AA2191" t="n">
        <v>57.25</v>
      </c>
      <c r="AB2191" t="inlineStr">
        <is>
          <t>U2190</t>
        </is>
      </c>
      <c r="AC2191" t="inlineStr">
        <is>
          <t>IT</t>
        </is>
      </c>
      <c r="AD2191" t="n">
        <v>57.25</v>
      </c>
      <c r="AE2191" t="n">
        <v>84.09999999999999</v>
      </c>
      <c r="AF2191" t="n">
        <v>26.5</v>
      </c>
      <c r="AG2191" t="inlineStr">
        <is>
          <t>1:26.5</t>
        </is>
      </c>
      <c r="AH2191" t="inlineStr">
        <is>
          <t>7%</t>
        </is>
      </c>
      <c r="AI2191" t="inlineStr"/>
      <c r="AJ2191" t="n">
        <v>51.9</v>
      </c>
    </row>
    <row r="2192">
      <c r="A2192" t="inlineStr">
        <is>
          <t>University of Palermo</t>
        </is>
      </c>
      <c r="B2192" t="inlineStr">
        <is>
          <t>Italy</t>
        </is>
      </c>
      <c r="C2192" t="inlineStr">
        <is>
          <t>851-900</t>
        </is>
      </c>
      <c r="D2192" t="inlineStr"/>
      <c r="E2192" t="n">
        <v>11.1</v>
      </c>
      <c r="F2192" t="n">
        <v>2.3</v>
      </c>
      <c r="G2192" t="n">
        <v>4.4</v>
      </c>
      <c r="H2192" t="n">
        <v>32.2</v>
      </c>
      <c r="I2192" t="n">
        <v>2.4</v>
      </c>
      <c r="J2192" t="n">
        <v>1.9</v>
      </c>
      <c r="K2192" t="n">
        <v>81.59999999999999</v>
      </c>
      <c r="L2192" t="n">
        <v>4.5</v>
      </c>
      <c r="M2192" t="n">
        <v>5.7</v>
      </c>
      <c r="N2192" t="inlineStr">
        <is>
          <t>601–800</t>
        </is>
      </c>
      <c r="O2192" t="inlineStr">
        <is>
          <t>37.0–41.8</t>
        </is>
      </c>
      <c r="P2192" t="n">
        <v>18.9</v>
      </c>
      <c r="Q2192" t="n">
        <v>22.5</v>
      </c>
      <c r="R2192" t="n">
        <v>69.8</v>
      </c>
      <c r="S2192" t="n">
        <v>47.2</v>
      </c>
      <c r="T2192" t="n">
        <v>34.8</v>
      </c>
      <c r="U2192" t="inlineStr">
        <is>
          <t>33,972</t>
        </is>
      </c>
      <c r="V2192" t="n">
        <v>22</v>
      </c>
      <c r="W2192" t="inlineStr">
        <is>
          <t>1%</t>
        </is>
      </c>
      <c r="X2192" t="inlineStr">
        <is>
          <t>59 : 41</t>
        </is>
      </c>
      <c r="Y2192" t="n">
        <v>851</v>
      </c>
      <c r="Z2192" t="n">
        <v>601</v>
      </c>
      <c r="AA2192" t="n">
        <v>39.4</v>
      </c>
      <c r="AB2192" t="inlineStr">
        <is>
          <t>U2191</t>
        </is>
      </c>
      <c r="AC2192" t="inlineStr">
        <is>
          <t>IT</t>
        </is>
      </c>
      <c r="AD2192" t="n">
        <v>39.4</v>
      </c>
      <c r="AE2192" t="n">
        <v>32.2</v>
      </c>
      <c r="AF2192" t="n">
        <v>22</v>
      </c>
      <c r="AG2192" t="inlineStr">
        <is>
          <t>1:22.0</t>
        </is>
      </c>
      <c r="AH2192" t="inlineStr">
        <is>
          <t>1%</t>
        </is>
      </c>
      <c r="AI2192" t="n">
        <v>11.1</v>
      </c>
      <c r="AJ2192" t="n">
        <v>23.36</v>
      </c>
    </row>
    <row r="2193">
      <c r="A2193" t="inlineStr">
        <is>
          <t>University of Pannonia</t>
        </is>
      </c>
      <c r="B2193" t="inlineStr">
        <is>
          <t>Hungary</t>
        </is>
      </c>
      <c r="C2193" t="inlineStr">
        <is>
          <t>1201-1400</t>
        </is>
      </c>
      <c r="D2193" t="inlineStr"/>
      <c r="E2193" t="n">
        <v>4.2</v>
      </c>
      <c r="F2193" t="n">
        <v>4</v>
      </c>
      <c r="G2193" t="n">
        <v>22</v>
      </c>
      <c r="H2193" t="n">
        <v>8.5</v>
      </c>
      <c r="I2193" t="n">
        <v>3.3</v>
      </c>
      <c r="J2193" t="n">
        <v>8.300000000000001</v>
      </c>
      <c r="K2193" t="n">
        <v>44.7</v>
      </c>
      <c r="L2193" t="n">
        <v>4</v>
      </c>
      <c r="M2193" t="n">
        <v>1</v>
      </c>
      <c r="N2193" t="inlineStr">
        <is>
          <t>1501+</t>
        </is>
      </c>
      <c r="O2193" t="inlineStr">
        <is>
          <t>9.7–22.7</t>
        </is>
      </c>
      <c r="P2193" t="n">
        <v>22.2</v>
      </c>
      <c r="Q2193" t="n">
        <v>15.6</v>
      </c>
      <c r="R2193" t="n">
        <v>21.5</v>
      </c>
      <c r="S2193" t="n">
        <v>45.5</v>
      </c>
      <c r="T2193" t="n">
        <v>37.9</v>
      </c>
      <c r="U2193" t="inlineStr">
        <is>
          <t>5,241</t>
        </is>
      </c>
      <c r="V2193" t="n">
        <v>19.5</v>
      </c>
      <c r="W2193" t="inlineStr">
        <is>
          <t>7%</t>
        </is>
      </c>
      <c r="X2193" t="inlineStr">
        <is>
          <t>48 : 52</t>
        </is>
      </c>
      <c r="Y2193" t="n">
        <v>1201</v>
      </c>
      <c r="Z2193" t="n">
        <v>1501</v>
      </c>
      <c r="AA2193" t="n">
        <v>16.2</v>
      </c>
      <c r="AB2193" t="inlineStr">
        <is>
          <t>U2192</t>
        </is>
      </c>
      <c r="AC2193" t="inlineStr">
        <is>
          <t>HU</t>
        </is>
      </c>
      <c r="AD2193" t="n">
        <v>16.2</v>
      </c>
      <c r="AE2193" t="n">
        <v>8.5</v>
      </c>
      <c r="AF2193" t="n">
        <v>19.5</v>
      </c>
      <c r="AG2193" t="inlineStr">
        <is>
          <t>1:19.5</t>
        </is>
      </c>
      <c r="AH2193" t="inlineStr">
        <is>
          <t>7%</t>
        </is>
      </c>
      <c r="AI2193" t="n">
        <v>4.2</v>
      </c>
      <c r="AJ2193" t="n">
        <v>13.31</v>
      </c>
    </row>
    <row r="2194">
      <c r="A2194" t="inlineStr">
        <is>
          <t>University of Pardubice</t>
        </is>
      </c>
      <c r="B2194" t="inlineStr">
        <is>
          <t>Czech Republic</t>
        </is>
      </c>
      <c r="C2194" t="inlineStr">
        <is>
          <t>1201-1400</t>
        </is>
      </c>
      <c r="D2194" t="inlineStr"/>
      <c r="E2194" t="n">
        <v>4.5</v>
      </c>
      <c r="F2194" t="n">
        <v>2.3</v>
      </c>
      <c r="G2194" t="n">
        <v>44.5</v>
      </c>
      <c r="H2194" t="n">
        <v>3.1</v>
      </c>
      <c r="I2194" t="n">
        <v>9.699999999999999</v>
      </c>
      <c r="J2194" t="n">
        <v>8.800000000000001</v>
      </c>
      <c r="K2194" t="n">
        <v>18.7</v>
      </c>
      <c r="L2194" t="n">
        <v>1.7</v>
      </c>
      <c r="M2194" t="n">
        <v>1</v>
      </c>
      <c r="N2194" t="inlineStr">
        <is>
          <t>1501+</t>
        </is>
      </c>
      <c r="O2194" t="inlineStr">
        <is>
          <t>9.7–22.7</t>
        </is>
      </c>
      <c r="P2194" t="n">
        <v>21.1</v>
      </c>
      <c r="Q2194" t="n">
        <v>17.7</v>
      </c>
      <c r="R2194" t="n">
        <v>17.7</v>
      </c>
      <c r="S2194" t="n">
        <v>30</v>
      </c>
      <c r="T2194" t="n">
        <v>39.8</v>
      </c>
      <c r="U2194" t="inlineStr">
        <is>
          <t>7,375</t>
        </is>
      </c>
      <c r="V2194" t="n">
        <v>13.5</v>
      </c>
      <c r="W2194" t="inlineStr">
        <is>
          <t>10%</t>
        </is>
      </c>
      <c r="X2194" t="inlineStr">
        <is>
          <t>56 : 44</t>
        </is>
      </c>
      <c r="Y2194" t="n">
        <v>1201</v>
      </c>
      <c r="Z2194" t="n">
        <v>1501</v>
      </c>
      <c r="AA2194" t="n">
        <v>16.2</v>
      </c>
      <c r="AB2194" t="inlineStr">
        <is>
          <t>U2193</t>
        </is>
      </c>
      <c r="AC2194" t="inlineStr">
        <is>
          <t>CZ</t>
        </is>
      </c>
      <c r="AD2194" t="n">
        <v>16.2</v>
      </c>
      <c r="AE2194" t="n">
        <v>3.1</v>
      </c>
      <c r="AF2194" t="n">
        <v>13.5</v>
      </c>
      <c r="AG2194" t="inlineStr">
        <is>
          <t>1:13.5</t>
        </is>
      </c>
      <c r="AH2194" t="inlineStr">
        <is>
          <t>10%</t>
        </is>
      </c>
      <c r="AI2194" t="n">
        <v>4.5</v>
      </c>
      <c r="AJ2194" t="n">
        <v>13.23</v>
      </c>
    </row>
    <row r="2195">
      <c r="A2195" t="inlineStr">
        <is>
          <t>University of Parma</t>
        </is>
      </c>
      <c r="B2195" t="inlineStr">
        <is>
          <t>Italy</t>
        </is>
      </c>
      <c r="C2195" t="inlineStr">
        <is>
          <t>951-1000</t>
        </is>
      </c>
      <c r="D2195" t="inlineStr"/>
      <c r="E2195" t="n">
        <v>9.5</v>
      </c>
      <c r="F2195" t="n">
        <v>2.7</v>
      </c>
      <c r="G2195" t="n">
        <v>2.9</v>
      </c>
      <c r="H2195" t="n">
        <v>25.4</v>
      </c>
      <c r="I2195" t="n">
        <v>3.8</v>
      </c>
      <c r="J2195" t="n">
        <v>9.1</v>
      </c>
      <c r="K2195" t="n">
        <v>69.40000000000001</v>
      </c>
      <c r="L2195" t="n">
        <v>9.199999999999999</v>
      </c>
      <c r="M2195" t="n">
        <v>2.3</v>
      </c>
      <c r="N2195" t="inlineStr">
        <is>
          <t>601–800</t>
        </is>
      </c>
      <c r="O2195" t="inlineStr">
        <is>
          <t>37.0–41.8</t>
        </is>
      </c>
      <c r="P2195" t="n">
        <v>19.4</v>
      </c>
      <c r="Q2195" t="n">
        <v>22.6</v>
      </c>
      <c r="R2195" t="n">
        <v>72.2</v>
      </c>
      <c r="S2195" t="n">
        <v>65.90000000000001</v>
      </c>
      <c r="T2195" t="n">
        <v>38.7</v>
      </c>
      <c r="U2195" t="inlineStr">
        <is>
          <t>29,840</t>
        </is>
      </c>
      <c r="V2195" t="n">
        <v>33.4</v>
      </c>
      <c r="W2195" t="inlineStr">
        <is>
          <t>6%</t>
        </is>
      </c>
      <c r="X2195" t="inlineStr">
        <is>
          <t>58 : 42</t>
        </is>
      </c>
      <c r="Y2195" t="n">
        <v>951</v>
      </c>
      <c r="Z2195" t="n">
        <v>601</v>
      </c>
      <c r="AA2195" t="n">
        <v>39.4</v>
      </c>
      <c r="AB2195" t="inlineStr">
        <is>
          <t>U2194</t>
        </is>
      </c>
      <c r="AC2195" t="inlineStr">
        <is>
          <t>IT</t>
        </is>
      </c>
      <c r="AD2195" t="n">
        <v>39.4</v>
      </c>
      <c r="AE2195" t="n">
        <v>25.4</v>
      </c>
      <c r="AF2195" t="n">
        <v>33.4</v>
      </c>
      <c r="AG2195" t="inlineStr">
        <is>
          <t>1:33.4</t>
        </is>
      </c>
      <c r="AH2195" t="inlineStr">
        <is>
          <t>6%</t>
        </is>
      </c>
      <c r="AI2195" t="n">
        <v>9.5</v>
      </c>
      <c r="AJ2195" t="n">
        <v>22.29</v>
      </c>
    </row>
    <row r="2196">
      <c r="A2196" t="inlineStr">
        <is>
          <t>University of Passau</t>
        </is>
      </c>
      <c r="B2196" t="inlineStr">
        <is>
          <t>Germany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>
        <is>
          <t>401–500</t>
        </is>
      </c>
      <c r="O2196" t="inlineStr">
        <is>
          <t>45.4–49.0</t>
        </is>
      </c>
      <c r="P2196" t="n">
        <v>31.5</v>
      </c>
      <c r="Q2196" t="n">
        <v>36.5</v>
      </c>
      <c r="R2196" t="n">
        <v>66.5</v>
      </c>
      <c r="S2196" t="n">
        <v>62.2</v>
      </c>
      <c r="T2196" t="n">
        <v>58.2</v>
      </c>
      <c r="U2196" t="inlineStr">
        <is>
          <t>8,536</t>
        </is>
      </c>
      <c r="V2196" t="n">
        <v>58.2</v>
      </c>
      <c r="W2196" t="inlineStr">
        <is>
          <t>13%</t>
        </is>
      </c>
      <c r="X2196" t="inlineStr">
        <is>
          <t>60 : 40</t>
        </is>
      </c>
      <c r="Y2196" t="inlineStr"/>
      <c r="Z2196" t="n">
        <v>401</v>
      </c>
      <c r="AA2196" t="n">
        <v>47.2</v>
      </c>
      <c r="AB2196" t="inlineStr">
        <is>
          <t>U2195</t>
        </is>
      </c>
      <c r="AC2196" t="inlineStr">
        <is>
          <t>GE</t>
        </is>
      </c>
      <c r="AD2196" t="n">
        <v>47.2</v>
      </c>
      <c r="AE2196" t="n">
        <v>66.5</v>
      </c>
      <c r="AF2196" t="n">
        <v>58.2</v>
      </c>
      <c r="AG2196" t="inlineStr">
        <is>
          <t>1:58.2</t>
        </is>
      </c>
      <c r="AH2196" t="inlineStr">
        <is>
          <t>13%</t>
        </is>
      </c>
      <c r="AI2196" t="inlineStr"/>
      <c r="AJ2196" t="n">
        <v>46.75</v>
      </c>
    </row>
    <row r="2197">
      <c r="A2197" t="inlineStr">
        <is>
          <t>University of Patras</t>
        </is>
      </c>
      <c r="B2197" t="inlineStr">
        <is>
          <t>Greece</t>
        </is>
      </c>
      <c r="C2197" t="inlineStr">
        <is>
          <t>761-770</t>
        </is>
      </c>
      <c r="D2197" t="inlineStr"/>
      <c r="E2197" t="n">
        <v>11.7</v>
      </c>
      <c r="F2197" t="n">
        <v>17.1</v>
      </c>
      <c r="G2197" t="n">
        <v>2.7</v>
      </c>
      <c r="H2197" t="n">
        <v>27</v>
      </c>
      <c r="I2197" t="n">
        <v>1.4</v>
      </c>
      <c r="J2197" t="n">
        <v>4.8</v>
      </c>
      <c r="K2197" t="n">
        <v>60.6</v>
      </c>
      <c r="L2197" t="n">
        <v>3.7</v>
      </c>
      <c r="M2197" t="n">
        <v>44.9</v>
      </c>
      <c r="N2197" t="inlineStr">
        <is>
          <t>801–1000</t>
        </is>
      </c>
      <c r="O2197" t="inlineStr">
        <is>
          <t>32.7–36.9</t>
        </is>
      </c>
      <c r="P2197" t="n">
        <v>19</v>
      </c>
      <c r="Q2197" t="n">
        <v>17.8</v>
      </c>
      <c r="R2197" t="n">
        <v>56.2</v>
      </c>
      <c r="S2197" t="n">
        <v>68.40000000000001</v>
      </c>
      <c r="T2197" t="n">
        <v>35.1</v>
      </c>
      <c r="U2197" t="inlineStr">
        <is>
          <t>31,172</t>
        </is>
      </c>
      <c r="V2197" t="n">
        <v>29.4</v>
      </c>
      <c r="W2197" t="inlineStr">
        <is>
          <t>5%</t>
        </is>
      </c>
      <c r="X2197" t="inlineStr">
        <is>
          <t>51 : 49</t>
        </is>
      </c>
      <c r="Y2197" t="n">
        <v>761</v>
      </c>
      <c r="Z2197" t="n">
        <v>801</v>
      </c>
      <c r="AA2197" t="n">
        <v>34.8</v>
      </c>
      <c r="AB2197" t="inlineStr">
        <is>
          <t>U2196</t>
        </is>
      </c>
      <c r="AC2197" t="inlineStr">
        <is>
          <t>GR</t>
        </is>
      </c>
      <c r="AD2197" t="n">
        <v>34.8</v>
      </c>
      <c r="AE2197" t="n">
        <v>27</v>
      </c>
      <c r="AF2197" t="n">
        <v>29.4</v>
      </c>
      <c r="AG2197" t="inlineStr">
        <is>
          <t>1:29.4</t>
        </is>
      </c>
      <c r="AH2197" t="inlineStr">
        <is>
          <t>5%</t>
        </is>
      </c>
      <c r="AI2197" t="n">
        <v>11.7</v>
      </c>
      <c r="AJ2197" t="n">
        <v>19.39</v>
      </c>
    </row>
    <row r="2198">
      <c r="A2198" t="inlineStr">
        <is>
          <t>University of Pau and Pays de l’Adour</t>
        </is>
      </c>
      <c r="B2198" t="inlineStr">
        <is>
          <t>France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>
        <is>
          <t>1201–1500</t>
        </is>
      </c>
      <c r="O2198" t="inlineStr">
        <is>
          <t>22.8–28.2</t>
        </is>
      </c>
      <c r="P2198" t="n">
        <v>23.4</v>
      </c>
      <c r="Q2198" t="n">
        <v>12.4</v>
      </c>
      <c r="R2198" t="n">
        <v>21.6</v>
      </c>
      <c r="S2198" t="n">
        <v>28.5</v>
      </c>
      <c r="T2198" t="n">
        <v>79.90000000000001</v>
      </c>
      <c r="U2198" t="inlineStr">
        <is>
          <t>14,105</t>
        </is>
      </c>
      <c r="V2198" t="n">
        <v>13.9</v>
      </c>
      <c r="W2198" t="inlineStr">
        <is>
          <t>15%</t>
        </is>
      </c>
      <c r="X2198" t="inlineStr">
        <is>
          <t>53 : 47</t>
        </is>
      </c>
      <c r="Y2198" t="inlineStr"/>
      <c r="Z2198" t="n">
        <v>1201</v>
      </c>
      <c r="AA2198" t="n">
        <v>25.5</v>
      </c>
      <c r="AB2198" t="inlineStr">
        <is>
          <t>U2197</t>
        </is>
      </c>
      <c r="AC2198" t="inlineStr">
        <is>
          <t>FR</t>
        </is>
      </c>
      <c r="AD2198" t="n">
        <v>25.5</v>
      </c>
      <c r="AE2198" t="n">
        <v>21.6</v>
      </c>
      <c r="AF2198" t="n">
        <v>13.9</v>
      </c>
      <c r="AG2198" t="inlineStr">
        <is>
          <t>1:13.9</t>
        </is>
      </c>
      <c r="AH2198" t="inlineStr">
        <is>
          <t>15%</t>
        </is>
      </c>
      <c r="AI2198" t="inlineStr"/>
      <c r="AJ2198" t="n">
        <v>25.76</v>
      </c>
    </row>
    <row r="2199">
      <c r="A2199" t="inlineStr">
        <is>
          <t>University of Pavia</t>
        </is>
      </c>
      <c r="B2199" t="inlineStr">
        <is>
          <t>Italy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>
        <is>
          <t>301–350</t>
        </is>
      </c>
      <c r="O2199" t="inlineStr">
        <is>
          <t>51.1–53.0</t>
        </is>
      </c>
      <c r="P2199" t="n">
        <v>37.6</v>
      </c>
      <c r="Q2199" t="n">
        <v>32.3</v>
      </c>
      <c r="R2199" t="n">
        <v>82.7</v>
      </c>
      <c r="S2199" t="n">
        <v>80.40000000000001</v>
      </c>
      <c r="T2199" t="n">
        <v>50.4</v>
      </c>
      <c r="U2199" t="inlineStr">
        <is>
          <t>17,701</t>
        </is>
      </c>
      <c r="V2199" t="n">
        <v>31.5</v>
      </c>
      <c r="W2199" t="inlineStr">
        <is>
          <t>9%</t>
        </is>
      </c>
      <c r="X2199" t="inlineStr">
        <is>
          <t>54 : 46</t>
        </is>
      </c>
      <c r="Y2199" t="inlineStr"/>
      <c r="Z2199" t="n">
        <v>301</v>
      </c>
      <c r="AA2199" t="n">
        <v>52.05</v>
      </c>
      <c r="AB2199" t="inlineStr">
        <is>
          <t>U2198</t>
        </is>
      </c>
      <c r="AC2199" t="inlineStr">
        <is>
          <t>IT</t>
        </is>
      </c>
      <c r="AD2199" t="n">
        <v>52.05</v>
      </c>
      <c r="AE2199" t="n">
        <v>82.7</v>
      </c>
      <c r="AF2199" t="n">
        <v>31.5</v>
      </c>
      <c r="AG2199" t="inlineStr">
        <is>
          <t>1:31.5</t>
        </is>
      </c>
      <c r="AH2199" t="inlineStr">
        <is>
          <t>9%</t>
        </is>
      </c>
      <c r="AI2199" t="inlineStr"/>
      <c r="AJ2199" t="n">
        <v>47.57</v>
      </c>
    </row>
    <row r="2200">
      <c r="A2200" t="inlineStr">
        <is>
          <t>University of Pecs</t>
        </is>
      </c>
      <c r="B2200" t="inlineStr">
        <is>
          <t>Hungary</t>
        </is>
      </c>
      <c r="C2200" t="inlineStr">
        <is>
          <t>771-780</t>
        </is>
      </c>
      <c r="D2200" t="inlineStr"/>
      <c r="E2200" t="n">
        <v>14.3</v>
      </c>
      <c r="F2200" t="n">
        <v>11.9</v>
      </c>
      <c r="G2200" t="n">
        <v>41.4</v>
      </c>
      <c r="H2200" t="n">
        <v>2.8</v>
      </c>
      <c r="I2200" t="n">
        <v>9.300000000000001</v>
      </c>
      <c r="J2200" t="n">
        <v>64.3</v>
      </c>
      <c r="K2200" t="n">
        <v>40.3</v>
      </c>
      <c r="L2200" t="n">
        <v>4</v>
      </c>
      <c r="M2200" t="n">
        <v>11.3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n">
        <v>771</v>
      </c>
      <c r="Z2200" t="inlineStr"/>
      <c r="AA2200" t="inlineStr"/>
      <c r="AB2200" t="inlineStr">
        <is>
          <t>U2199</t>
        </is>
      </c>
      <c r="AC2200" t="inlineStr">
        <is>
          <t>HU</t>
        </is>
      </c>
      <c r="AD2200" t="inlineStr"/>
      <c r="AE2200" t="n">
        <v>2.8</v>
      </c>
      <c r="AF2200" t="inlineStr"/>
      <c r="AG2200" t="inlineStr"/>
      <c r="AH2200" t="inlineStr"/>
      <c r="AI2200" t="n">
        <v>14.3</v>
      </c>
      <c r="AJ2200" t="n">
        <v>14.24</v>
      </c>
    </row>
    <row r="2201">
      <c r="A2201" t="inlineStr">
        <is>
          <t>University of Pennsylvania</t>
        </is>
      </c>
      <c r="B2201" t="inlineStr">
        <is>
          <t>United States</t>
        </is>
      </c>
      <c r="C2201" t="inlineStr">
        <is>
          <t>11</t>
        </is>
      </c>
      <c r="D2201" t="n">
        <v>90.3</v>
      </c>
      <c r="E2201" t="n">
        <v>96.3</v>
      </c>
      <c r="F2201" t="n">
        <v>91.90000000000001</v>
      </c>
      <c r="G2201" t="n">
        <v>99.8</v>
      </c>
      <c r="H2201" t="n">
        <v>74</v>
      </c>
      <c r="I2201" t="n">
        <v>90.90000000000001</v>
      </c>
      <c r="J2201" t="n">
        <v>66.2</v>
      </c>
      <c r="K2201" t="n">
        <v>91.90000000000001</v>
      </c>
      <c r="L2201" t="n">
        <v>100</v>
      </c>
      <c r="M2201" t="n">
        <v>93</v>
      </c>
      <c r="N2201" t="inlineStr">
        <is>
          <t>16</t>
        </is>
      </c>
      <c r="O2201" t="inlineStr">
        <is>
          <t>91.0</t>
        </is>
      </c>
      <c r="P2201" t="n">
        <v>87.7</v>
      </c>
      <c r="Q2201" t="n">
        <v>89.7</v>
      </c>
      <c r="R2201" t="n">
        <v>97.59999999999999</v>
      </c>
      <c r="S2201" t="n">
        <v>97.7</v>
      </c>
      <c r="T2201" t="n">
        <v>78.8</v>
      </c>
      <c r="U2201" t="inlineStr">
        <is>
          <t>21,312</t>
        </is>
      </c>
      <c r="V2201" t="n">
        <v>6.2</v>
      </c>
      <c r="W2201" t="inlineStr">
        <is>
          <t>22%</t>
        </is>
      </c>
      <c r="X2201" t="inlineStr">
        <is>
          <t>54 : 46</t>
        </is>
      </c>
      <c r="Y2201" t="n">
        <v>11</v>
      </c>
      <c r="Z2201" t="n">
        <v>16</v>
      </c>
      <c r="AA2201" t="n">
        <v>91</v>
      </c>
      <c r="AB2201" t="inlineStr">
        <is>
          <t>U2200</t>
        </is>
      </c>
      <c r="AC2201" t="inlineStr">
        <is>
          <t>UN</t>
        </is>
      </c>
      <c r="AD2201" t="n">
        <v>90.3</v>
      </c>
      <c r="AE2201" t="n">
        <v>74</v>
      </c>
      <c r="AF2201" t="n">
        <v>6.2</v>
      </c>
      <c r="AG2201" t="inlineStr">
        <is>
          <t>1:6.2</t>
        </is>
      </c>
      <c r="AH2201" t="inlineStr">
        <is>
          <t>22%</t>
        </is>
      </c>
      <c r="AI2201" t="n">
        <v>96.3</v>
      </c>
      <c r="AJ2201" t="n">
        <v>81.89</v>
      </c>
    </row>
    <row r="2202">
      <c r="A2202" t="inlineStr">
        <is>
          <t xml:space="preserve">University of Peradeniya </t>
        </is>
      </c>
      <c r="B2202" t="inlineStr">
        <is>
          <t>Sri Lanka</t>
        </is>
      </c>
      <c r="C2202" t="inlineStr">
        <is>
          <t>1201-1400</t>
        </is>
      </c>
      <c r="D2202" t="inlineStr"/>
      <c r="E2202" t="n">
        <v>9</v>
      </c>
      <c r="F2202" t="n">
        <v>11.6</v>
      </c>
      <c r="G2202" t="n">
        <v>12</v>
      </c>
      <c r="H2202" t="n">
        <v>2</v>
      </c>
      <c r="I2202" t="n">
        <v>1</v>
      </c>
      <c r="J2202" t="n">
        <v>1.3</v>
      </c>
      <c r="K2202" t="n">
        <v>22.7</v>
      </c>
      <c r="L2202" t="n">
        <v>10.9</v>
      </c>
      <c r="M2202" t="n">
        <v>5.8</v>
      </c>
      <c r="N2202" t="inlineStr">
        <is>
          <t>1001–1200</t>
        </is>
      </c>
      <c r="O2202" t="inlineStr">
        <is>
          <t>28.3–32.6</t>
        </is>
      </c>
      <c r="P2202" t="n">
        <v>18.4</v>
      </c>
      <c r="Q2202" t="n">
        <v>9.199999999999999</v>
      </c>
      <c r="R2202" t="n">
        <v>58.6</v>
      </c>
      <c r="S2202" t="n">
        <v>23.3</v>
      </c>
      <c r="T2202" t="n">
        <v>39.8</v>
      </c>
      <c r="U2202" t="inlineStr">
        <is>
          <t>22,336</t>
        </is>
      </c>
      <c r="V2202" t="n">
        <v>13.9</v>
      </c>
      <c r="W2202" t="inlineStr">
        <is>
          <t>1%</t>
        </is>
      </c>
      <c r="X2202" t="inlineStr">
        <is>
          <t>65 : 35</t>
        </is>
      </c>
      <c r="Y2202" t="n">
        <v>1201</v>
      </c>
      <c r="Z2202" t="n">
        <v>1001</v>
      </c>
      <c r="AA2202" t="n">
        <v>30.45</v>
      </c>
      <c r="AB2202" t="inlineStr">
        <is>
          <t>U2201</t>
        </is>
      </c>
      <c r="AC2202" t="inlineStr">
        <is>
          <t>SR</t>
        </is>
      </c>
      <c r="AD2202" t="n">
        <v>30.45</v>
      </c>
      <c r="AE2202" t="n">
        <v>2</v>
      </c>
      <c r="AF2202" t="n">
        <v>13.9</v>
      </c>
      <c r="AG2202" t="inlineStr">
        <is>
          <t>1:13.9</t>
        </is>
      </c>
      <c r="AH2202" t="inlineStr">
        <is>
          <t>1%</t>
        </is>
      </c>
      <c r="AI2202" t="n">
        <v>9</v>
      </c>
      <c r="AJ2202" t="n">
        <v>8.449999999999999</v>
      </c>
    </row>
    <row r="2203">
      <c r="A2203" t="inlineStr">
        <is>
          <t>University of Pernambuco</t>
        </is>
      </c>
      <c r="B2203" t="inlineStr">
        <is>
          <t>Brazil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>
        <is>
          <t>1501+</t>
        </is>
      </c>
      <c r="O2203" t="inlineStr">
        <is>
          <t>9.7–22.7</t>
        </is>
      </c>
      <c r="P2203" t="n">
        <v>16</v>
      </c>
      <c r="Q2203" t="n">
        <v>10.3</v>
      </c>
      <c r="R2203" t="n">
        <v>15.2</v>
      </c>
      <c r="S2203" t="n">
        <v>18.3</v>
      </c>
      <c r="T2203" t="n">
        <v>26.4</v>
      </c>
      <c r="U2203" t="inlineStr">
        <is>
          <t>21,435</t>
        </is>
      </c>
      <c r="V2203" t="n">
        <v>16.9</v>
      </c>
      <c r="W2203" t="inlineStr">
        <is>
          <t>0%</t>
        </is>
      </c>
      <c r="X2203" t="inlineStr"/>
      <c r="Y2203" t="inlineStr"/>
      <c r="Z2203" t="n">
        <v>1501</v>
      </c>
      <c r="AA2203" t="n">
        <v>16.2</v>
      </c>
      <c r="AB2203" t="inlineStr">
        <is>
          <t>U2202</t>
        </is>
      </c>
      <c r="AC2203" t="inlineStr">
        <is>
          <t>BR</t>
        </is>
      </c>
      <c r="AD2203" t="n">
        <v>16.2</v>
      </c>
      <c r="AE2203" t="n">
        <v>15.2</v>
      </c>
      <c r="AF2203" t="n">
        <v>16.9</v>
      </c>
      <c r="AG2203" t="inlineStr">
        <is>
          <t>1:16.9</t>
        </is>
      </c>
      <c r="AH2203" t="inlineStr">
        <is>
          <t>0%</t>
        </is>
      </c>
      <c r="AI2203" t="inlineStr"/>
      <c r="AJ2203" t="n">
        <v>9.779999999999999</v>
      </c>
    </row>
    <row r="2204">
      <c r="A2204" t="inlineStr">
        <is>
          <t>University of Peshawar</t>
        </is>
      </c>
      <c r="B2204" t="inlineStr">
        <is>
          <t>Pakistan</t>
        </is>
      </c>
      <c r="C2204" t="inlineStr">
        <is>
          <t>901-950</t>
        </is>
      </c>
      <c r="D2204" t="inlineStr"/>
      <c r="E2204" t="n">
        <v>6.9</v>
      </c>
      <c r="F2204" t="n">
        <v>9.9</v>
      </c>
      <c r="G2204" t="n">
        <v>34.3</v>
      </c>
      <c r="H2204" t="n">
        <v>21.4</v>
      </c>
      <c r="I2204" t="inlineStr"/>
      <c r="J2204" t="n">
        <v>1.9</v>
      </c>
      <c r="K2204" t="n">
        <v>42.9</v>
      </c>
      <c r="L2204" t="n">
        <v>15.3</v>
      </c>
      <c r="M2204" t="n">
        <v>1.1</v>
      </c>
      <c r="N2204" t="inlineStr">
        <is>
          <t>1001–1200</t>
        </is>
      </c>
      <c r="O2204" t="inlineStr">
        <is>
          <t>28.3–32.6</t>
        </is>
      </c>
      <c r="P2204" t="n">
        <v>19.4</v>
      </c>
      <c r="Q2204" t="n">
        <v>12.2</v>
      </c>
      <c r="R2204" t="n">
        <v>61</v>
      </c>
      <c r="S2204" t="n">
        <v>17.4</v>
      </c>
      <c r="T2204" t="n">
        <v>47.3</v>
      </c>
      <c r="U2204" t="inlineStr">
        <is>
          <t>20,494</t>
        </is>
      </c>
      <c r="V2204" t="n">
        <v>42.7</v>
      </c>
      <c r="W2204" t="inlineStr">
        <is>
          <t>0%</t>
        </is>
      </c>
      <c r="X2204" t="inlineStr">
        <is>
          <t>18 : 82</t>
        </is>
      </c>
      <c r="Y2204" t="n">
        <v>901</v>
      </c>
      <c r="Z2204" t="n">
        <v>1001</v>
      </c>
      <c r="AA2204" t="n">
        <v>30.45</v>
      </c>
      <c r="AB2204" t="inlineStr">
        <is>
          <t>U2203</t>
        </is>
      </c>
      <c r="AC2204" t="inlineStr">
        <is>
          <t>PA</t>
        </is>
      </c>
      <c r="AD2204" t="n">
        <v>30.45</v>
      </c>
      <c r="AE2204" t="n">
        <v>21.4</v>
      </c>
      <c r="AF2204" t="n">
        <v>42.7</v>
      </c>
      <c r="AG2204" t="inlineStr">
        <is>
          <t>1:42.7</t>
        </is>
      </c>
      <c r="AH2204" t="inlineStr">
        <is>
          <t>0%</t>
        </is>
      </c>
      <c r="AI2204" t="n">
        <v>6.9</v>
      </c>
      <c r="AJ2204" t="n">
        <v>17.71</v>
      </c>
    </row>
    <row r="2205">
      <c r="A2205" t="inlineStr">
        <is>
          <t>University of Petroleum and Energy Studies (UPES)</t>
        </is>
      </c>
      <c r="B2205" t="inlineStr">
        <is>
          <t>India</t>
        </is>
      </c>
      <c r="C2205" t="inlineStr">
        <is>
          <t>801-850</t>
        </is>
      </c>
      <c r="D2205" t="inlineStr"/>
      <c r="E2205" t="n">
        <v>21.8</v>
      </c>
      <c r="F2205" t="n">
        <v>6.1</v>
      </c>
      <c r="G2205" t="n">
        <v>39.5</v>
      </c>
      <c r="H2205" t="n">
        <v>3.4</v>
      </c>
      <c r="I2205" t="n">
        <v>18.2</v>
      </c>
      <c r="J2205" t="n">
        <v>1.2</v>
      </c>
      <c r="K2205" t="n">
        <v>56.9</v>
      </c>
      <c r="L2205" t="n">
        <v>1.9</v>
      </c>
      <c r="M2205" t="n">
        <v>1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n">
        <v>801</v>
      </c>
      <c r="Z2205" t="inlineStr"/>
      <c r="AA2205" t="inlineStr"/>
      <c r="AB2205" t="inlineStr">
        <is>
          <t>U2204</t>
        </is>
      </c>
      <c r="AC2205" t="inlineStr">
        <is>
          <t>IN</t>
        </is>
      </c>
      <c r="AD2205" t="inlineStr"/>
      <c r="AE2205" t="n">
        <v>3.4</v>
      </c>
      <c r="AF2205" t="inlineStr"/>
      <c r="AG2205" t="inlineStr"/>
      <c r="AH2205" t="inlineStr"/>
      <c r="AI2205" t="n">
        <v>21.8</v>
      </c>
      <c r="AJ2205" t="n">
        <v>14.42</v>
      </c>
    </row>
    <row r="2206">
      <c r="A2206" t="inlineStr">
        <is>
          <t>University of Phayao</t>
        </is>
      </c>
      <c r="B2206" t="inlineStr">
        <is>
          <t>Thailand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>
        <is>
          <t>1501+</t>
        </is>
      </c>
      <c r="O2206" t="inlineStr">
        <is>
          <t>9.7–22.7</t>
        </is>
      </c>
      <c r="P2206" t="n">
        <v>14.9</v>
      </c>
      <c r="Q2206" t="n">
        <v>9.4</v>
      </c>
      <c r="R2206" t="n">
        <v>39.3</v>
      </c>
      <c r="S2206" t="n">
        <v>16.3</v>
      </c>
      <c r="T2206" t="n">
        <v>25.9</v>
      </c>
      <c r="U2206" t="inlineStr">
        <is>
          <t>17,256</t>
        </is>
      </c>
      <c r="V2206" t="n">
        <v>17.1</v>
      </c>
      <c r="W2206" t="inlineStr">
        <is>
          <t>0%</t>
        </is>
      </c>
      <c r="X2206" t="inlineStr">
        <is>
          <t>66 : 34</t>
        </is>
      </c>
      <c r="Y2206" t="inlineStr"/>
      <c r="Z2206" t="n">
        <v>1501</v>
      </c>
      <c r="AA2206" t="n">
        <v>16.2</v>
      </c>
      <c r="AB2206" t="inlineStr">
        <is>
          <t>U2205</t>
        </is>
      </c>
      <c r="AC2206" t="inlineStr">
        <is>
          <t>TH</t>
        </is>
      </c>
      <c r="AD2206" t="n">
        <v>16.2</v>
      </c>
      <c r="AE2206" t="n">
        <v>39.3</v>
      </c>
      <c r="AF2206" t="n">
        <v>17.1</v>
      </c>
      <c r="AG2206" t="inlineStr">
        <is>
          <t>1:17.1</t>
        </is>
      </c>
      <c r="AH2206" t="inlineStr">
        <is>
          <t>0%</t>
        </is>
      </c>
      <c r="AI2206" t="inlineStr"/>
      <c r="AJ2206" t="n">
        <v>16.49</v>
      </c>
    </row>
    <row r="2207">
      <c r="A2207" t="inlineStr">
        <is>
          <t>University of Pisa</t>
        </is>
      </c>
      <c r="B2207" t="inlineStr">
        <is>
          <t>Italy</t>
        </is>
      </c>
      <c r="C2207" t="inlineStr">
        <is>
          <t>382</t>
        </is>
      </c>
      <c r="D2207" t="n">
        <v>30.7</v>
      </c>
      <c r="E2207" t="n">
        <v>40.4</v>
      </c>
      <c r="F2207" t="n">
        <v>15.1</v>
      </c>
      <c r="G2207" t="n">
        <v>8.6</v>
      </c>
      <c r="H2207" t="n">
        <v>38.8</v>
      </c>
      <c r="I2207" t="n">
        <v>5.9</v>
      </c>
      <c r="J2207" t="n">
        <v>4.2</v>
      </c>
      <c r="K2207" t="n">
        <v>88.3</v>
      </c>
      <c r="L2207" t="n">
        <v>15</v>
      </c>
      <c r="M2207" t="n">
        <v>56.7</v>
      </c>
      <c r="N2207" t="inlineStr">
        <is>
          <t>401–500</t>
        </is>
      </c>
      <c r="O2207" t="inlineStr">
        <is>
          <t>45.4–49.0</t>
        </is>
      </c>
      <c r="P2207" t="n">
        <v>31.1</v>
      </c>
      <c r="Q2207" t="n">
        <v>31.2</v>
      </c>
      <c r="R2207" t="n">
        <v>80.5</v>
      </c>
      <c r="S2207" t="n">
        <v>68.7</v>
      </c>
      <c r="T2207" t="n">
        <v>43.2</v>
      </c>
      <c r="U2207" t="inlineStr">
        <is>
          <t>31,567</t>
        </is>
      </c>
      <c r="V2207" t="n">
        <v>20.9</v>
      </c>
      <c r="W2207" t="inlineStr">
        <is>
          <t>5%</t>
        </is>
      </c>
      <c r="X2207" t="inlineStr">
        <is>
          <t>52 : 48</t>
        </is>
      </c>
      <c r="Y2207" t="n">
        <v>382</v>
      </c>
      <c r="Z2207" t="n">
        <v>401</v>
      </c>
      <c r="AA2207" t="n">
        <v>47.2</v>
      </c>
      <c r="AB2207" t="inlineStr">
        <is>
          <t>U2206</t>
        </is>
      </c>
      <c r="AC2207" t="inlineStr">
        <is>
          <t>IT</t>
        </is>
      </c>
      <c r="AD2207" t="n">
        <v>30.7</v>
      </c>
      <c r="AE2207" t="n">
        <v>38.8</v>
      </c>
      <c r="AF2207" t="n">
        <v>20.9</v>
      </c>
      <c r="AG2207" t="inlineStr">
        <is>
          <t>1:20.9</t>
        </is>
      </c>
      <c r="AH2207" t="inlineStr">
        <is>
          <t>5%</t>
        </is>
      </c>
      <c r="AI2207" t="n">
        <v>40.4</v>
      </c>
      <c r="AJ2207" t="n">
        <v>31.95</v>
      </c>
    </row>
    <row r="2208">
      <c r="A2208" t="inlineStr">
        <is>
          <t>University of Pittsburgh</t>
        </is>
      </c>
      <c r="B2208" t="inlineStr">
        <is>
          <t>United States</t>
        </is>
      </c>
      <c r="C2208" t="inlineStr">
        <is>
          <t>275</t>
        </is>
      </c>
      <c r="D2208" t="n">
        <v>38.2</v>
      </c>
      <c r="E2208" t="n">
        <v>35</v>
      </c>
      <c r="F2208" t="n">
        <v>12.7</v>
      </c>
      <c r="G2208" t="n">
        <v>96.3</v>
      </c>
      <c r="H2208" t="n">
        <v>31.3</v>
      </c>
      <c r="I2208" t="n">
        <v>9.5</v>
      </c>
      <c r="J2208" t="n">
        <v>13.5</v>
      </c>
      <c r="K2208" t="n">
        <v>91.7</v>
      </c>
      <c r="L2208" t="n">
        <v>42.6</v>
      </c>
      <c r="M2208" t="n">
        <v>53.5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n">
        <v>275</v>
      </c>
      <c r="Z2208" t="inlineStr"/>
      <c r="AA2208" t="inlineStr"/>
      <c r="AB2208" t="inlineStr">
        <is>
          <t>U2207</t>
        </is>
      </c>
      <c r="AC2208" t="inlineStr">
        <is>
          <t>UN</t>
        </is>
      </c>
      <c r="AD2208" t="n">
        <v>38.2</v>
      </c>
      <c r="AE2208" t="n">
        <v>31.3</v>
      </c>
      <c r="AF2208" t="inlineStr"/>
      <c r="AG2208" t="inlineStr"/>
      <c r="AH2208" t="inlineStr"/>
      <c r="AI2208" t="n">
        <v>35</v>
      </c>
      <c r="AJ2208" t="n">
        <v>22.87</v>
      </c>
    </row>
    <row r="2209">
      <c r="A2209" t="inlineStr">
        <is>
          <t>University of Pittsburgh-Pittsburgh campus</t>
        </is>
      </c>
      <c r="B2209" t="inlineStr">
        <is>
          <t>United States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>
        <f>145</f>
        <v/>
      </c>
      <c r="O2209" t="inlineStr">
        <is>
          <t>62.5</t>
        </is>
      </c>
      <c r="P2209" t="n">
        <v>49.1</v>
      </c>
      <c r="Q2209" t="n">
        <v>46.1</v>
      </c>
      <c r="R2209" t="n">
        <v>92.40000000000001</v>
      </c>
      <c r="S2209" t="n">
        <v>76.09999999999999</v>
      </c>
      <c r="T2209" t="n">
        <v>50.9</v>
      </c>
      <c r="U2209" t="inlineStr">
        <is>
          <t>26,305</t>
        </is>
      </c>
      <c r="V2209" t="n">
        <v>5.4</v>
      </c>
      <c r="W2209" t="inlineStr">
        <is>
          <t>10%</t>
        </is>
      </c>
      <c r="X2209" t="inlineStr">
        <is>
          <t>56 : 44</t>
        </is>
      </c>
      <c r="Y2209" t="inlineStr"/>
      <c r="Z2209" t="n">
        <v>145</v>
      </c>
      <c r="AA2209" t="n">
        <v>62.5</v>
      </c>
      <c r="AB2209" t="inlineStr">
        <is>
          <t>U2208</t>
        </is>
      </c>
      <c r="AC2209" t="inlineStr">
        <is>
          <t>UN</t>
        </is>
      </c>
      <c r="AD2209" t="n">
        <v>62.5</v>
      </c>
      <c r="AE2209" t="n">
        <v>92.40000000000001</v>
      </c>
      <c r="AF2209" t="n">
        <v>5.4</v>
      </c>
      <c r="AG2209" t="inlineStr">
        <is>
          <t>1:5.4</t>
        </is>
      </c>
      <c r="AH2209" t="inlineStr">
        <is>
          <t>10%</t>
        </is>
      </c>
      <c r="AI2209" t="inlineStr"/>
      <c r="AJ2209" t="n">
        <v>57.86</v>
      </c>
    </row>
    <row r="2210">
      <c r="A2210" t="inlineStr">
        <is>
          <t>University of Plymouth</t>
        </is>
      </c>
      <c r="B2210" t="inlineStr">
        <is>
          <t>United Kingdom</t>
        </is>
      </c>
      <c r="C2210" t="inlineStr">
        <is>
          <t>661-670</t>
        </is>
      </c>
      <c r="D2210" t="inlineStr"/>
      <c r="E2210" t="n">
        <v>8.9</v>
      </c>
      <c r="F2210" t="n">
        <v>8.9</v>
      </c>
      <c r="G2210" t="n">
        <v>11.6</v>
      </c>
      <c r="H2210" t="n">
        <v>25.9</v>
      </c>
      <c r="I2210" t="n">
        <v>49.8</v>
      </c>
      <c r="J2210" t="n">
        <v>36.2</v>
      </c>
      <c r="K2210" t="n">
        <v>80.09999999999999</v>
      </c>
      <c r="L2210" t="n">
        <v>7.3</v>
      </c>
      <c r="M2210" t="n">
        <v>21.5</v>
      </c>
      <c r="N2210" t="inlineStr">
        <is>
          <t>401–500</t>
        </is>
      </c>
      <c r="O2210" t="inlineStr">
        <is>
          <t>45.4–49.0</t>
        </is>
      </c>
      <c r="P2210" t="n">
        <v>24.4</v>
      </c>
      <c r="Q2210" t="n">
        <v>21.9</v>
      </c>
      <c r="R2210" t="n">
        <v>79.5</v>
      </c>
      <c r="S2210" t="n">
        <v>66.09999999999999</v>
      </c>
      <c r="T2210" t="n">
        <v>80.59999999999999</v>
      </c>
      <c r="U2210" t="inlineStr">
        <is>
          <t>15,675</t>
        </is>
      </c>
      <c r="V2210" t="n">
        <v>17.1</v>
      </c>
      <c r="W2210" t="inlineStr">
        <is>
          <t>16%</t>
        </is>
      </c>
      <c r="X2210" t="inlineStr">
        <is>
          <t>59 : 41</t>
        </is>
      </c>
      <c r="Y2210" t="n">
        <v>661</v>
      </c>
      <c r="Z2210" t="n">
        <v>401</v>
      </c>
      <c r="AA2210" t="n">
        <v>47.2</v>
      </c>
      <c r="AB2210" t="inlineStr">
        <is>
          <t>U2209</t>
        </is>
      </c>
      <c r="AC2210" t="inlineStr">
        <is>
          <t>UN</t>
        </is>
      </c>
      <c r="AD2210" t="n">
        <v>47.2</v>
      </c>
      <c r="AE2210" t="n">
        <v>25.9</v>
      </c>
      <c r="AF2210" t="n">
        <v>17.1</v>
      </c>
      <c r="AG2210" t="inlineStr">
        <is>
          <t>1:17.1</t>
        </is>
      </c>
      <c r="AH2210" t="inlineStr">
        <is>
          <t>16%</t>
        </is>
      </c>
      <c r="AI2210" t="n">
        <v>8.9</v>
      </c>
      <c r="AJ2210" t="n">
        <v>32.21</v>
      </c>
    </row>
    <row r="2211">
      <c r="A2211" t="inlineStr">
        <is>
          <t>University of Port Harcourt</t>
        </is>
      </c>
      <c r="B2211" t="inlineStr">
        <is>
          <t>Nigeria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>
        <is>
          <t>1501+</t>
        </is>
      </c>
      <c r="O2211" t="inlineStr">
        <is>
          <t>9.7–22.7</t>
        </is>
      </c>
      <c r="P2211" t="n">
        <v>23.1</v>
      </c>
      <c r="Q2211" t="n">
        <v>14.4</v>
      </c>
      <c r="R2211" t="n">
        <v>15.4</v>
      </c>
      <c r="S2211" t="n">
        <v>21.8</v>
      </c>
      <c r="T2211" t="n">
        <v>32</v>
      </c>
      <c r="U2211" t="inlineStr">
        <is>
          <t>31,493</t>
        </is>
      </c>
      <c r="V2211" t="n">
        <v>17.1</v>
      </c>
      <c r="W2211" t="inlineStr">
        <is>
          <t>0%</t>
        </is>
      </c>
      <c r="X2211" t="inlineStr">
        <is>
          <t>35 : 65</t>
        </is>
      </c>
      <c r="Y2211" t="inlineStr"/>
      <c r="Z2211" t="n">
        <v>1501</v>
      </c>
      <c r="AA2211" t="n">
        <v>16.2</v>
      </c>
      <c r="AB2211" t="inlineStr">
        <is>
          <t>U2210</t>
        </is>
      </c>
      <c r="AC2211" t="inlineStr">
        <is>
          <t>NI</t>
        </is>
      </c>
      <c r="AD2211" t="n">
        <v>16.2</v>
      </c>
      <c r="AE2211" t="n">
        <v>15.4</v>
      </c>
      <c r="AF2211" t="n">
        <v>17.1</v>
      </c>
      <c r="AG2211" t="inlineStr">
        <is>
          <t>1:17.1</t>
        </is>
      </c>
      <c r="AH2211" t="inlineStr">
        <is>
          <t>0%</t>
        </is>
      </c>
      <c r="AI2211" t="inlineStr"/>
      <c r="AJ2211" t="n">
        <v>13.35</v>
      </c>
    </row>
    <row r="2212">
      <c r="A2212" t="inlineStr">
        <is>
          <t>University of Porto</t>
        </is>
      </c>
      <c r="B2212" t="inlineStr">
        <is>
          <t>Portugal</t>
        </is>
      </c>
      <c r="C2212" t="inlineStr">
        <is>
          <t>278</t>
        </is>
      </c>
      <c r="D2212" t="n">
        <v>38.1</v>
      </c>
      <c r="E2212" t="n">
        <v>41.3</v>
      </c>
      <c r="F2212" t="n">
        <v>17.9</v>
      </c>
      <c r="G2212" t="n">
        <v>10.8</v>
      </c>
      <c r="H2212" t="n">
        <v>59.6</v>
      </c>
      <c r="I2212" t="n">
        <v>6.6</v>
      </c>
      <c r="J2212" t="n">
        <v>19.8</v>
      </c>
      <c r="K2212" t="n">
        <v>95.09999999999999</v>
      </c>
      <c r="L2212" t="n">
        <v>39.1</v>
      </c>
      <c r="M2212" t="n">
        <v>53.1</v>
      </c>
      <c r="N2212" t="inlineStr">
        <is>
          <t>401–500</t>
        </is>
      </c>
      <c r="O2212" t="inlineStr">
        <is>
          <t>45.4–49.0</t>
        </is>
      </c>
      <c r="P2212" t="n">
        <v>31.3</v>
      </c>
      <c r="Q2212" t="n">
        <v>35.4</v>
      </c>
      <c r="R2212" t="n">
        <v>71.09999999999999</v>
      </c>
      <c r="S2212" t="n">
        <v>66.3</v>
      </c>
      <c r="T2212" t="n">
        <v>57.9</v>
      </c>
      <c r="U2212" t="inlineStr">
        <is>
          <t>36,386</t>
        </is>
      </c>
      <c r="V2212" t="n">
        <v>16.9</v>
      </c>
      <c r="W2212" t="inlineStr">
        <is>
          <t>17%</t>
        </is>
      </c>
      <c r="X2212" t="inlineStr">
        <is>
          <t>54 : 46</t>
        </is>
      </c>
      <c r="Y2212" t="n">
        <v>278</v>
      </c>
      <c r="Z2212" t="n">
        <v>401</v>
      </c>
      <c r="AA2212" t="n">
        <v>47.2</v>
      </c>
      <c r="AB2212" t="inlineStr">
        <is>
          <t>U2211</t>
        </is>
      </c>
      <c r="AC2212" t="inlineStr">
        <is>
          <t>PO</t>
        </is>
      </c>
      <c r="AD2212" t="n">
        <v>38.1</v>
      </c>
      <c r="AE2212" t="n">
        <v>59.6</v>
      </c>
      <c r="AF2212" t="n">
        <v>16.9</v>
      </c>
      <c r="AG2212" t="inlineStr">
        <is>
          <t>1:16.9</t>
        </is>
      </c>
      <c r="AH2212" t="inlineStr">
        <is>
          <t>17%</t>
        </is>
      </c>
      <c r="AI2212" t="n">
        <v>41.3</v>
      </c>
      <c r="AJ2212" t="n">
        <v>44.01</v>
      </c>
    </row>
    <row r="2213">
      <c r="A2213" t="inlineStr">
        <is>
          <t>University of Portsmouth</t>
        </is>
      </c>
      <c r="B2213" t="inlineStr">
        <is>
          <t>United Kingdom</t>
        </is>
      </c>
      <c r="C2213" t="inlineStr">
        <is>
          <t>631-640</t>
        </is>
      </c>
      <c r="D2213" t="inlineStr"/>
      <c r="E2213" t="n">
        <v>8.1</v>
      </c>
      <c r="F2213" t="n">
        <v>7.3</v>
      </c>
      <c r="G2213" t="n">
        <v>8.6</v>
      </c>
      <c r="H2213" t="n">
        <v>15.1</v>
      </c>
      <c r="I2213" t="n">
        <v>74</v>
      </c>
      <c r="J2213" t="n">
        <v>85.3</v>
      </c>
      <c r="K2213" t="n">
        <v>75.40000000000001</v>
      </c>
      <c r="L2213" t="n">
        <v>8.9</v>
      </c>
      <c r="M2213" t="n">
        <v>21.1</v>
      </c>
      <c r="N2213" t="inlineStr">
        <is>
          <t>401–500</t>
        </is>
      </c>
      <c r="O2213" t="inlineStr">
        <is>
          <t>45.4–49.0</t>
        </is>
      </c>
      <c r="P2213" t="n">
        <v>20</v>
      </c>
      <c r="Q2213" t="n">
        <v>20</v>
      </c>
      <c r="R2213" t="n">
        <v>84.5</v>
      </c>
      <c r="S2213" t="n">
        <v>40.6</v>
      </c>
      <c r="T2213" t="n">
        <v>94.7</v>
      </c>
      <c r="U2213" t="inlineStr">
        <is>
          <t>23,625</t>
        </is>
      </c>
      <c r="V2213" t="n">
        <v>16.8</v>
      </c>
      <c r="W2213" t="inlineStr">
        <is>
          <t>29%</t>
        </is>
      </c>
      <c r="X2213" t="inlineStr">
        <is>
          <t>47 : 53</t>
        </is>
      </c>
      <c r="Y2213" t="n">
        <v>631</v>
      </c>
      <c r="Z2213" t="n">
        <v>401</v>
      </c>
      <c r="AA2213" t="n">
        <v>47.2</v>
      </c>
      <c r="AB2213" t="inlineStr">
        <is>
          <t>U2212</t>
        </is>
      </c>
      <c r="AC2213" t="inlineStr">
        <is>
          <t>UN</t>
        </is>
      </c>
      <c r="AD2213" t="n">
        <v>47.2</v>
      </c>
      <c r="AE2213" t="n">
        <v>15.1</v>
      </c>
      <c r="AF2213" t="n">
        <v>16.8</v>
      </c>
      <c r="AG2213" t="inlineStr">
        <is>
          <t>1:16.8</t>
        </is>
      </c>
      <c r="AH2213" t="inlineStr">
        <is>
          <t>29%</t>
        </is>
      </c>
      <c r="AI2213" t="n">
        <v>8.1</v>
      </c>
      <c r="AJ2213" t="n">
        <v>31.35</v>
      </c>
    </row>
    <row r="2214">
      <c r="A2214" t="inlineStr">
        <is>
          <t>University of Potsdam</t>
        </is>
      </c>
      <c r="B2214" t="inlineStr">
        <is>
          <t>Germany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>
        <is>
          <t>201–250</t>
        </is>
      </c>
      <c r="O2214" t="inlineStr">
        <is>
          <t>55.9–58.6</t>
        </is>
      </c>
      <c r="P2214" t="n">
        <v>37.3</v>
      </c>
      <c r="Q2214" t="n">
        <v>44.7</v>
      </c>
      <c r="R2214" t="n">
        <v>80.40000000000001</v>
      </c>
      <c r="S2214" t="n">
        <v>91</v>
      </c>
      <c r="T2214" t="n">
        <v>68.5</v>
      </c>
      <c r="U2214" t="inlineStr">
        <is>
          <t>14,330</t>
        </is>
      </c>
      <c r="V2214" t="n">
        <v>38.1</v>
      </c>
      <c r="W2214" t="inlineStr">
        <is>
          <t>16%</t>
        </is>
      </c>
      <c r="X2214" t="inlineStr">
        <is>
          <t>57 : 43</t>
        </is>
      </c>
      <c r="Y2214" t="inlineStr"/>
      <c r="Z2214" t="n">
        <v>201</v>
      </c>
      <c r="AA2214" t="n">
        <v>57.25</v>
      </c>
      <c r="AB2214" t="inlineStr">
        <is>
          <t>U2213</t>
        </is>
      </c>
      <c r="AC2214" t="inlineStr">
        <is>
          <t>GE</t>
        </is>
      </c>
      <c r="AD2214" t="n">
        <v>57.25</v>
      </c>
      <c r="AE2214" t="n">
        <v>80.40000000000001</v>
      </c>
      <c r="AF2214" t="n">
        <v>38.1</v>
      </c>
      <c r="AG2214" t="inlineStr">
        <is>
          <t>1:38.1</t>
        </is>
      </c>
      <c r="AH2214" t="inlineStr">
        <is>
          <t>16%</t>
        </is>
      </c>
      <c r="AI2214" t="inlineStr"/>
      <c r="AJ2214" t="n">
        <v>57.75</v>
      </c>
    </row>
    <row r="2215">
      <c r="A2215" t="inlineStr">
        <is>
          <t>University of Pretoria</t>
        </is>
      </c>
      <c r="B2215" t="inlineStr">
        <is>
          <t>South Africa</t>
        </is>
      </c>
      <c r="C2215" t="inlineStr">
        <is>
          <t>354</t>
        </is>
      </c>
      <c r="D2215" t="n">
        <v>32.2</v>
      </c>
      <c r="E2215" t="n">
        <v>23.9</v>
      </c>
      <c r="F2215" t="n">
        <v>48.8</v>
      </c>
      <c r="G2215" t="n">
        <v>4</v>
      </c>
      <c r="H2215" t="n">
        <v>15.5</v>
      </c>
      <c r="I2215" t="n">
        <v>33.3</v>
      </c>
      <c r="J2215" t="n">
        <v>8.199999999999999</v>
      </c>
      <c r="K2215" t="n">
        <v>98.09999999999999</v>
      </c>
      <c r="L2215" t="n">
        <v>80.09999999999999</v>
      </c>
      <c r="M2215" t="n">
        <v>79.59999999999999</v>
      </c>
      <c r="N2215" t="inlineStr">
        <is>
          <t>501–600</t>
        </is>
      </c>
      <c r="O2215" t="inlineStr">
        <is>
          <t>41.9–45.3</t>
        </is>
      </c>
      <c r="P2215" t="n">
        <v>31.2</v>
      </c>
      <c r="Q2215" t="n">
        <v>34.3</v>
      </c>
      <c r="R2215" t="n">
        <v>56.7</v>
      </c>
      <c r="S2215" t="n">
        <v>69.90000000000001</v>
      </c>
      <c r="T2215" t="n">
        <v>61.4</v>
      </c>
      <c r="U2215" t="inlineStr">
        <is>
          <t>37,315</t>
        </is>
      </c>
      <c r="V2215" t="n">
        <v>22.1</v>
      </c>
      <c r="W2215" t="inlineStr">
        <is>
          <t>6%</t>
        </is>
      </c>
      <c r="X2215" t="inlineStr">
        <is>
          <t>59 : 41</t>
        </is>
      </c>
      <c r="Y2215" t="n">
        <v>354</v>
      </c>
      <c r="Z2215" t="n">
        <v>501</v>
      </c>
      <c r="AA2215" t="n">
        <v>43.59999999999999</v>
      </c>
      <c r="AB2215" t="inlineStr">
        <is>
          <t>U2214</t>
        </is>
      </c>
      <c r="AC2215" t="inlineStr">
        <is>
          <t>SO</t>
        </is>
      </c>
      <c r="AD2215" t="n">
        <v>32.2</v>
      </c>
      <c r="AE2215" t="n">
        <v>15.5</v>
      </c>
      <c r="AF2215" t="n">
        <v>22.1</v>
      </c>
      <c r="AG2215" t="inlineStr">
        <is>
          <t>1:22.1</t>
        </is>
      </c>
      <c r="AH2215" t="inlineStr">
        <is>
          <t>6%</t>
        </is>
      </c>
      <c r="AI2215" t="n">
        <v>23.9</v>
      </c>
      <c r="AJ2215" t="n">
        <v>30.92</v>
      </c>
    </row>
    <row r="2216">
      <c r="A2216" t="inlineStr">
        <is>
          <t>University of Primorska</t>
        </is>
      </c>
      <c r="B2216" t="inlineStr">
        <is>
          <t>Slovenia</t>
        </is>
      </c>
      <c r="C2216" t="inlineStr">
        <is>
          <t>1201-1400</t>
        </is>
      </c>
      <c r="D2216" t="inlineStr"/>
      <c r="E2216" t="n">
        <v>3.7</v>
      </c>
      <c r="F2216" t="n">
        <v>2.5</v>
      </c>
      <c r="G2216" t="n">
        <v>8.9</v>
      </c>
      <c r="H2216" t="n">
        <v>4.1</v>
      </c>
      <c r="I2216" t="n">
        <v>25</v>
      </c>
      <c r="J2216" t="n">
        <v>26.4</v>
      </c>
      <c r="K2216" t="n">
        <v>46.3</v>
      </c>
      <c r="L2216" t="n">
        <v>4.2</v>
      </c>
      <c r="M2216" t="n">
        <v>1</v>
      </c>
      <c r="N2216" t="inlineStr">
        <is>
          <t>1501+</t>
        </is>
      </c>
      <c r="O2216" t="inlineStr">
        <is>
          <t>9.7–22.7</t>
        </is>
      </c>
      <c r="P2216" t="n">
        <v>16.4</v>
      </c>
      <c r="Q2216" t="n">
        <v>14.9</v>
      </c>
      <c r="R2216" t="n">
        <v>26.5</v>
      </c>
      <c r="S2216" t="n">
        <v>21.9</v>
      </c>
      <c r="T2216" t="n">
        <v>61.8</v>
      </c>
      <c r="U2216" t="inlineStr">
        <is>
          <t>5,805</t>
        </is>
      </c>
      <c r="V2216" t="n">
        <v>15.3</v>
      </c>
      <c r="W2216" t="inlineStr">
        <is>
          <t>18%</t>
        </is>
      </c>
      <c r="X2216" t="inlineStr">
        <is>
          <t>77 : 23</t>
        </is>
      </c>
      <c r="Y2216" t="n">
        <v>1201</v>
      </c>
      <c r="Z2216" t="n">
        <v>1501</v>
      </c>
      <c r="AA2216" t="n">
        <v>16.2</v>
      </c>
      <c r="AB2216" t="inlineStr">
        <is>
          <t>U2215</t>
        </is>
      </c>
      <c r="AC2216" t="inlineStr">
        <is>
          <t>SL</t>
        </is>
      </c>
      <c r="AD2216" t="n">
        <v>16.2</v>
      </c>
      <c r="AE2216" t="n">
        <v>4.1</v>
      </c>
      <c r="AF2216" t="n">
        <v>15.3</v>
      </c>
      <c r="AG2216" t="inlineStr">
        <is>
          <t>1:15.3</t>
        </is>
      </c>
      <c r="AH2216" t="inlineStr">
        <is>
          <t>18%</t>
        </is>
      </c>
      <c r="AI2216" t="n">
        <v>3.7</v>
      </c>
      <c r="AJ2216" t="n">
        <v>17.39</v>
      </c>
    </row>
    <row r="2217">
      <c r="A2217" t="inlineStr">
        <is>
          <t>University of Prishtina</t>
        </is>
      </c>
      <c r="B2217" t="inlineStr">
        <is>
          <t>Kosovo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>
        <is>
          <t>1501+</t>
        </is>
      </c>
      <c r="O2217" t="inlineStr">
        <is>
          <t>9.7–22.7</t>
        </is>
      </c>
      <c r="P2217" t="n">
        <v>11.8</v>
      </c>
      <c r="Q2217" t="n">
        <v>10.7</v>
      </c>
      <c r="R2217" t="n">
        <v>13.7</v>
      </c>
      <c r="S2217" t="n">
        <v>18.4</v>
      </c>
      <c r="T2217" t="n">
        <v>38.9</v>
      </c>
      <c r="U2217" t="inlineStr">
        <is>
          <t>28,532</t>
        </is>
      </c>
      <c r="V2217" t="n">
        <v>31.4</v>
      </c>
      <c r="W2217" t="inlineStr">
        <is>
          <t>1%</t>
        </is>
      </c>
      <c r="X2217" t="inlineStr">
        <is>
          <t>65 : 35</t>
        </is>
      </c>
      <c r="Y2217" t="inlineStr"/>
      <c r="Z2217" t="n">
        <v>1501</v>
      </c>
      <c r="AA2217" t="n">
        <v>16.2</v>
      </c>
      <c r="AB2217" t="inlineStr">
        <is>
          <t>U2216</t>
        </is>
      </c>
      <c r="AC2217" t="inlineStr">
        <is>
          <t>KO</t>
        </is>
      </c>
      <c r="AD2217" t="n">
        <v>16.2</v>
      </c>
      <c r="AE2217" t="n">
        <v>13.7</v>
      </c>
      <c r="AF2217" t="n">
        <v>31.4</v>
      </c>
      <c r="AG2217" t="inlineStr">
        <is>
          <t>1:31.4</t>
        </is>
      </c>
      <c r="AH2217" t="inlineStr">
        <is>
          <t>1%</t>
        </is>
      </c>
      <c r="AI2217" t="inlineStr"/>
      <c r="AJ2217" t="n">
        <v>12.56</v>
      </c>
    </row>
    <row r="2218">
      <c r="A2218" t="inlineStr">
        <is>
          <t>University of Puerto Rico</t>
        </is>
      </c>
      <c r="B2218" t="inlineStr">
        <is>
          <t>Puerto Rico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>
        <is>
          <t>1201–1500</t>
        </is>
      </c>
      <c r="O2218" t="inlineStr">
        <is>
          <t>22.8–28.2</t>
        </is>
      </c>
      <c r="P2218" t="n">
        <v>25</v>
      </c>
      <c r="Q2218" t="n">
        <v>11.4</v>
      </c>
      <c r="R2218" t="n">
        <v>40.8</v>
      </c>
      <c r="S2218" t="n">
        <v>37.6</v>
      </c>
      <c r="T2218" t="n">
        <v>44.4</v>
      </c>
      <c r="U2218" t="inlineStr">
        <is>
          <t>43,535</t>
        </is>
      </c>
      <c r="V2218" t="n">
        <v>15.2</v>
      </c>
      <c r="W2218" t="inlineStr">
        <is>
          <t>1%</t>
        </is>
      </c>
      <c r="X2218" t="inlineStr">
        <is>
          <t>58 : 42</t>
        </is>
      </c>
      <c r="Y2218" t="inlineStr"/>
      <c r="Z2218" t="n">
        <v>1201</v>
      </c>
      <c r="AA2218" t="n">
        <v>25.5</v>
      </c>
      <c r="AB2218" t="inlineStr">
        <is>
          <t>U2217</t>
        </is>
      </c>
      <c r="AC2218" t="inlineStr">
        <is>
          <t>PU</t>
        </is>
      </c>
      <c r="AD2218" t="n">
        <v>25.5</v>
      </c>
      <c r="AE2218" t="n">
        <v>40.8</v>
      </c>
      <c r="AF2218" t="n">
        <v>15.2</v>
      </c>
      <c r="AG2218" t="inlineStr">
        <is>
          <t>1:15.2</t>
        </is>
      </c>
      <c r="AH2218" t="inlineStr">
        <is>
          <t>1%</t>
        </is>
      </c>
      <c r="AI2218" t="inlineStr"/>
      <c r="AJ2218" t="n">
        <v>22.47</v>
      </c>
    </row>
    <row r="2219">
      <c r="A2219" t="inlineStr">
        <is>
          <t>University of Qom</t>
        </is>
      </c>
      <c r="B2219" t="inlineStr">
        <is>
          <t>Iran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>
        <is>
          <t>1201–1500</t>
        </is>
      </c>
      <c r="O2219" t="inlineStr">
        <is>
          <t>22.8–28.2</t>
        </is>
      </c>
      <c r="P2219" t="n">
        <v>22.2</v>
      </c>
      <c r="Q2219" t="n">
        <v>12.1</v>
      </c>
      <c r="R2219" t="n">
        <v>35.1</v>
      </c>
      <c r="S2219" t="n">
        <v>17.3</v>
      </c>
      <c r="T2219" t="n">
        <v>48.6</v>
      </c>
      <c r="U2219" t="inlineStr">
        <is>
          <t>11,828</t>
        </is>
      </c>
      <c r="V2219" t="n">
        <v>43</v>
      </c>
      <c r="W2219" t="inlineStr">
        <is>
          <t>33%</t>
        </is>
      </c>
      <c r="X2219" t="inlineStr">
        <is>
          <t>44 : 56</t>
        </is>
      </c>
      <c r="Y2219" t="inlineStr"/>
      <c r="Z2219" t="n">
        <v>1201</v>
      </c>
      <c r="AA2219" t="n">
        <v>25.5</v>
      </c>
      <c r="AB2219" t="inlineStr">
        <is>
          <t>U2218</t>
        </is>
      </c>
      <c r="AC2219" t="inlineStr">
        <is>
          <t>IR</t>
        </is>
      </c>
      <c r="AD2219" t="n">
        <v>25.5</v>
      </c>
      <c r="AE2219" t="n">
        <v>35.1</v>
      </c>
      <c r="AF2219" t="n">
        <v>43</v>
      </c>
      <c r="AG2219" t="inlineStr">
        <is>
          <t>1:43.0</t>
        </is>
      </c>
      <c r="AH2219" t="inlineStr">
        <is>
          <t>33%</t>
        </is>
      </c>
      <c r="AI2219" t="inlineStr"/>
      <c r="AJ2219" t="n">
        <v>22.12</v>
      </c>
    </row>
    <row r="2220">
      <c r="A2220" t="inlineStr">
        <is>
          <t>The University of Queensland</t>
        </is>
      </c>
      <c r="B2220" t="inlineStr">
        <is>
          <t>Australia</t>
        </is>
      </c>
      <c r="C2220" t="inlineStr">
        <is>
          <t>40</t>
        </is>
      </c>
      <c r="D2220" t="n">
        <v>80.2</v>
      </c>
      <c r="E2220" t="n">
        <v>86.7</v>
      </c>
      <c r="F2220" t="n">
        <v>74</v>
      </c>
      <c r="G2220" t="n">
        <v>21.2</v>
      </c>
      <c r="H2220" t="n">
        <v>90.2</v>
      </c>
      <c r="I2220" t="n">
        <v>100</v>
      </c>
      <c r="J2220" t="n">
        <v>100</v>
      </c>
      <c r="K2220" t="n">
        <v>96.7</v>
      </c>
      <c r="L2220" t="n">
        <v>56.7</v>
      </c>
      <c r="M2220" t="n">
        <v>96.7</v>
      </c>
      <c r="N2220" t="inlineStr">
        <is>
          <t>70</t>
        </is>
      </c>
      <c r="O2220" t="inlineStr">
        <is>
          <t>72.0</t>
        </is>
      </c>
      <c r="P2220" t="n">
        <v>52.9</v>
      </c>
      <c r="Q2220" t="n">
        <v>64.3</v>
      </c>
      <c r="R2220" t="n">
        <v>89.09999999999999</v>
      </c>
      <c r="S2220" t="n">
        <v>99.8</v>
      </c>
      <c r="T2220" t="n">
        <v>94</v>
      </c>
      <c r="U2220" t="inlineStr">
        <is>
          <t>42,847</t>
        </is>
      </c>
      <c r="V2220" t="n">
        <v>39.1</v>
      </c>
      <c r="W2220" t="inlineStr">
        <is>
          <t>42%</t>
        </is>
      </c>
      <c r="X2220" t="inlineStr">
        <is>
          <t>55 : 45</t>
        </is>
      </c>
      <c r="Y2220" t="n">
        <v>40</v>
      </c>
      <c r="Z2220" t="n">
        <v>70</v>
      </c>
      <c r="AA2220" t="n">
        <v>72</v>
      </c>
      <c r="AB2220" t="inlineStr">
        <is>
          <t>U2219</t>
        </is>
      </c>
      <c r="AC2220" t="inlineStr">
        <is>
          <t>AU</t>
        </is>
      </c>
      <c r="AD2220" t="n">
        <v>80.2</v>
      </c>
      <c r="AE2220" t="n">
        <v>90.2</v>
      </c>
      <c r="AF2220" t="n">
        <v>39.1</v>
      </c>
      <c r="AG2220" t="inlineStr">
        <is>
          <t>1:39.1</t>
        </is>
      </c>
      <c r="AH2220" t="inlineStr">
        <is>
          <t>42%</t>
        </is>
      </c>
      <c r="AI2220" t="n">
        <v>86.7</v>
      </c>
      <c r="AJ2220" t="n">
        <v>77.16</v>
      </c>
    </row>
    <row r="2221">
      <c r="A2221" t="inlineStr">
        <is>
          <t>University of Rajshahi</t>
        </is>
      </c>
      <c r="B2221" t="inlineStr">
        <is>
          <t>Bangladesh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>
        <is>
          <t>1001–1200</t>
        </is>
      </c>
      <c r="O2221" t="inlineStr">
        <is>
          <t>28.3–32.6</t>
        </is>
      </c>
      <c r="P2221" t="n">
        <v>15.9</v>
      </c>
      <c r="Q2221" t="n">
        <v>9.300000000000001</v>
      </c>
      <c r="R2221" t="n">
        <v>59.3</v>
      </c>
      <c r="S2221" t="n">
        <v>17.6</v>
      </c>
      <c r="T2221" t="n">
        <v>39.6</v>
      </c>
      <c r="U2221" t="inlineStr">
        <is>
          <t>22,042</t>
        </is>
      </c>
      <c r="V2221" t="n">
        <v>20.4</v>
      </c>
      <c r="W2221" t="inlineStr">
        <is>
          <t>0%</t>
        </is>
      </c>
      <c r="X2221" t="inlineStr">
        <is>
          <t>34 : 66</t>
        </is>
      </c>
      <c r="Y2221" t="inlineStr"/>
      <c r="Z2221" t="n">
        <v>1001</v>
      </c>
      <c r="AA2221" t="n">
        <v>30.45</v>
      </c>
      <c r="AB2221" t="inlineStr">
        <is>
          <t>U2220</t>
        </is>
      </c>
      <c r="AC2221" t="inlineStr">
        <is>
          <t>BA</t>
        </is>
      </c>
      <c r="AD2221" t="n">
        <v>30.45</v>
      </c>
      <c r="AE2221" t="n">
        <v>59.3</v>
      </c>
      <c r="AF2221" t="n">
        <v>20.4</v>
      </c>
      <c r="AG2221" t="inlineStr">
        <is>
          <t>1:20.4</t>
        </is>
      </c>
      <c r="AH2221" t="inlineStr">
        <is>
          <t>0%</t>
        </is>
      </c>
      <c r="AI2221" t="inlineStr"/>
      <c r="AJ2221" t="n">
        <v>25.81</v>
      </c>
    </row>
    <row r="2222">
      <c r="A2222" t="inlineStr">
        <is>
          <t>University of Reading</t>
        </is>
      </c>
      <c r="B2222" t="inlineStr">
        <is>
          <t>United Kingdom</t>
        </is>
      </c>
      <c r="C2222" t="inlineStr">
        <is>
          <t>172</t>
        </is>
      </c>
      <c r="D2222" t="n">
        <v>49.9</v>
      </c>
      <c r="E2222" t="n">
        <v>32.2</v>
      </c>
      <c r="F2222" t="n">
        <v>41.7</v>
      </c>
      <c r="G2222" t="n">
        <v>13.1</v>
      </c>
      <c r="H2222" t="n">
        <v>65.7</v>
      </c>
      <c r="I2222" t="n">
        <v>86.2</v>
      </c>
      <c r="J2222" t="n">
        <v>78.59999999999999</v>
      </c>
      <c r="K2222" t="n">
        <v>91.7</v>
      </c>
      <c r="L2222" t="n">
        <v>47.8</v>
      </c>
      <c r="M2222" t="n">
        <v>94</v>
      </c>
      <c r="N2222" t="inlineStr">
        <is>
          <t>201–250</t>
        </is>
      </c>
      <c r="O2222" t="inlineStr">
        <is>
          <t>55.9–58.6</t>
        </is>
      </c>
      <c r="P2222" t="n">
        <v>37.5</v>
      </c>
      <c r="Q2222" t="n">
        <v>40.6</v>
      </c>
      <c r="R2222" t="n">
        <v>84.09999999999999</v>
      </c>
      <c r="S2222" t="n">
        <v>70.8</v>
      </c>
      <c r="T2222" t="n">
        <v>95.5</v>
      </c>
      <c r="U2222" t="inlineStr">
        <is>
          <t>15,945</t>
        </is>
      </c>
      <c r="V2222" t="n">
        <v>16.6</v>
      </c>
      <c r="W2222" t="inlineStr">
        <is>
          <t>31%</t>
        </is>
      </c>
      <c r="X2222" t="inlineStr">
        <is>
          <t>55 : 45</t>
        </is>
      </c>
      <c r="Y2222" t="n">
        <v>172</v>
      </c>
      <c r="Z2222" t="n">
        <v>201</v>
      </c>
      <c r="AA2222" t="n">
        <v>57.25</v>
      </c>
      <c r="AB2222" t="inlineStr">
        <is>
          <t>U2221</t>
        </is>
      </c>
      <c r="AC2222" t="inlineStr">
        <is>
          <t>UN</t>
        </is>
      </c>
      <c r="AD2222" t="n">
        <v>49.9</v>
      </c>
      <c r="AE2222" t="n">
        <v>65.7</v>
      </c>
      <c r="AF2222" t="n">
        <v>16.6</v>
      </c>
      <c r="AG2222" t="inlineStr">
        <is>
          <t>1:16.6</t>
        </is>
      </c>
      <c r="AH2222" t="inlineStr">
        <is>
          <t>31%</t>
        </is>
      </c>
      <c r="AI2222" t="n">
        <v>32.2</v>
      </c>
      <c r="AJ2222" t="n">
        <v>57.68</v>
      </c>
    </row>
    <row r="2223">
      <c r="A2223" t="inlineStr">
        <is>
          <t>University of Regina</t>
        </is>
      </c>
      <c r="B2223" t="inlineStr">
        <is>
          <t>Canada</t>
        </is>
      </c>
      <c r="C2223" t="inlineStr">
        <is>
          <t>951-1000</t>
        </is>
      </c>
      <c r="D2223" t="inlineStr"/>
      <c r="E2223" t="n">
        <v>3.3</v>
      </c>
      <c r="F2223" t="n">
        <v>2.5</v>
      </c>
      <c r="G2223" t="n">
        <v>3.9</v>
      </c>
      <c r="H2223" t="n">
        <v>21</v>
      </c>
      <c r="I2223" t="n">
        <v>7.3</v>
      </c>
      <c r="J2223" t="n">
        <v>38.3</v>
      </c>
      <c r="K2223" t="n">
        <v>39.1</v>
      </c>
      <c r="L2223" t="n">
        <v>4.1</v>
      </c>
      <c r="M2223" t="n">
        <v>44.6</v>
      </c>
      <c r="N2223" t="inlineStr">
        <is>
          <t>801–1000</t>
        </is>
      </c>
      <c r="O2223" t="inlineStr">
        <is>
          <t>32.7–36.9</t>
        </is>
      </c>
      <c r="P2223" t="n">
        <v>17.8</v>
      </c>
      <c r="Q2223" t="n">
        <v>19.5</v>
      </c>
      <c r="R2223" t="n">
        <v>62.9</v>
      </c>
      <c r="S2223" t="n">
        <v>36.1</v>
      </c>
      <c r="T2223" t="n">
        <v>71</v>
      </c>
      <c r="U2223" t="inlineStr">
        <is>
          <t>14,167</t>
        </is>
      </c>
      <c r="V2223" t="n">
        <v>24.6</v>
      </c>
      <c r="W2223" t="inlineStr">
        <is>
          <t>26%</t>
        </is>
      </c>
      <c r="X2223" t="inlineStr">
        <is>
          <t>49 : 51</t>
        </is>
      </c>
      <c r="Y2223" t="n">
        <v>951</v>
      </c>
      <c r="Z2223" t="n">
        <v>801</v>
      </c>
      <c r="AA2223" t="n">
        <v>34.8</v>
      </c>
      <c r="AB2223" t="inlineStr">
        <is>
          <t>U2222</t>
        </is>
      </c>
      <c r="AC2223" t="inlineStr">
        <is>
          <t>CA</t>
        </is>
      </c>
      <c r="AD2223" t="n">
        <v>34.8</v>
      </c>
      <c r="AE2223" t="n">
        <v>21</v>
      </c>
      <c r="AF2223" t="n">
        <v>24.6</v>
      </c>
      <c r="AG2223" t="inlineStr">
        <is>
          <t>1:24.6</t>
        </is>
      </c>
      <c r="AH2223" t="inlineStr">
        <is>
          <t>26%</t>
        </is>
      </c>
      <c r="AI2223" t="n">
        <v>3.3</v>
      </c>
      <c r="AJ2223" t="n">
        <v>27.15</v>
      </c>
    </row>
    <row r="2224">
      <c r="A2224" t="inlineStr">
        <is>
          <t>University of Rennes 1</t>
        </is>
      </c>
      <c r="B2224" t="inlineStr">
        <is>
          <t>France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>
        <is>
          <t>801–1000</t>
        </is>
      </c>
      <c r="O2224" t="inlineStr">
        <is>
          <t>32.7–36.9</t>
        </is>
      </c>
      <c r="P2224" t="n">
        <v>32.1</v>
      </c>
      <c r="Q2224" t="n">
        <v>17.9</v>
      </c>
      <c r="R2224" t="n">
        <v>44.7</v>
      </c>
      <c r="S2224" t="n">
        <v>64</v>
      </c>
      <c r="T2224" t="n">
        <v>63.8</v>
      </c>
      <c r="U2224" t="inlineStr">
        <is>
          <t>27,592</t>
        </is>
      </c>
      <c r="V2224" t="n">
        <v>17.5</v>
      </c>
      <c r="W2224" t="inlineStr">
        <is>
          <t>12%</t>
        </is>
      </c>
      <c r="X2224" t="inlineStr">
        <is>
          <t>52 : 48</t>
        </is>
      </c>
      <c r="Y2224" t="inlineStr"/>
      <c r="Z2224" t="n">
        <v>801</v>
      </c>
      <c r="AA2224" t="n">
        <v>34.8</v>
      </c>
      <c r="AB2224" t="inlineStr">
        <is>
          <t>U2223</t>
        </is>
      </c>
      <c r="AC2224" t="inlineStr">
        <is>
          <t>FR</t>
        </is>
      </c>
      <c r="AD2224" t="n">
        <v>34.8</v>
      </c>
      <c r="AE2224" t="n">
        <v>44.7</v>
      </c>
      <c r="AF2224" t="n">
        <v>17.5</v>
      </c>
      <c r="AG2224" t="inlineStr">
        <is>
          <t>1:17.5</t>
        </is>
      </c>
      <c r="AH2224" t="inlineStr">
        <is>
          <t>12%</t>
        </is>
      </c>
      <c r="AI2224" t="inlineStr"/>
      <c r="AJ2224" t="n">
        <v>31.75</v>
      </c>
    </row>
    <row r="2225">
      <c r="A2225" t="inlineStr">
        <is>
          <t xml:space="preserve">University of Rhode Island </t>
        </is>
      </c>
      <c r="B2225" t="inlineStr">
        <is>
          <t>United States</t>
        </is>
      </c>
      <c r="C2225" t="inlineStr">
        <is>
          <t>1001-1200</t>
        </is>
      </c>
      <c r="D2225" t="inlineStr"/>
      <c r="E2225" t="n">
        <v>5.6</v>
      </c>
      <c r="F2225" t="n">
        <v>3.5</v>
      </c>
      <c r="G2225" t="n">
        <v>6.7</v>
      </c>
      <c r="H2225" t="n">
        <v>16.2</v>
      </c>
      <c r="I2225" t="n">
        <v>5.2</v>
      </c>
      <c r="J2225" t="n">
        <v>2.6</v>
      </c>
      <c r="K2225" t="n">
        <v>48.9</v>
      </c>
      <c r="L2225" t="n">
        <v>11.8</v>
      </c>
      <c r="M2225" t="n">
        <v>54.1</v>
      </c>
      <c r="N2225" t="inlineStr">
        <is>
          <t>601–800</t>
        </is>
      </c>
      <c r="O2225" t="inlineStr">
        <is>
          <t>37.0–41.8</t>
        </is>
      </c>
      <c r="P2225" t="n">
        <v>26.3</v>
      </c>
      <c r="Q2225" t="n">
        <v>20.5</v>
      </c>
      <c r="R2225" t="n">
        <v>57.4</v>
      </c>
      <c r="S2225" t="n">
        <v>50</v>
      </c>
      <c r="T2225" t="n">
        <v>53.7</v>
      </c>
      <c r="U2225" t="inlineStr">
        <is>
          <t>15,886</t>
        </is>
      </c>
      <c r="V2225" t="n">
        <v>14.5</v>
      </c>
      <c r="W2225" t="inlineStr">
        <is>
          <t>3%</t>
        </is>
      </c>
      <c r="X2225" t="inlineStr">
        <is>
          <t>57 : 43</t>
        </is>
      </c>
      <c r="Y2225" t="n">
        <v>1001</v>
      </c>
      <c r="Z2225" t="n">
        <v>601</v>
      </c>
      <c r="AA2225" t="n">
        <v>39.4</v>
      </c>
      <c r="AB2225" t="inlineStr">
        <is>
          <t>U2224</t>
        </is>
      </c>
      <c r="AC2225" t="inlineStr">
        <is>
          <t>UN</t>
        </is>
      </c>
      <c r="AD2225" t="n">
        <v>39.4</v>
      </c>
      <c r="AE2225" t="n">
        <v>16.2</v>
      </c>
      <c r="AF2225" t="n">
        <v>14.5</v>
      </c>
      <c r="AG2225" t="inlineStr">
        <is>
          <t>1:14.5</t>
        </is>
      </c>
      <c r="AH2225" t="inlineStr">
        <is>
          <t>3%</t>
        </is>
      </c>
      <c r="AI2225" t="n">
        <v>5.6</v>
      </c>
      <c r="AJ2225" t="n">
        <v>22.03</v>
      </c>
    </row>
    <row r="2226">
      <c r="A2226" t="inlineStr">
        <is>
          <t>University of Rijeka</t>
        </is>
      </c>
      <c r="B2226" t="inlineStr">
        <is>
          <t>Croatia</t>
        </is>
      </c>
      <c r="C2226" t="inlineStr">
        <is>
          <t>1201-1400</t>
        </is>
      </c>
      <c r="D2226" t="inlineStr"/>
      <c r="E2226" t="n">
        <v>6.1</v>
      </c>
      <c r="F2226" t="n">
        <v>4.3</v>
      </c>
      <c r="G2226" t="n">
        <v>13.8</v>
      </c>
      <c r="H2226" t="n">
        <v>4.3</v>
      </c>
      <c r="I2226" t="n">
        <v>2.5</v>
      </c>
      <c r="J2226" t="n">
        <v>1.8</v>
      </c>
      <c r="K2226" t="n">
        <v>45.8</v>
      </c>
      <c r="L2226" t="n">
        <v>12</v>
      </c>
      <c r="M2226" t="n">
        <v>2.9</v>
      </c>
      <c r="N2226" t="inlineStr">
        <is>
          <t>1501+</t>
        </is>
      </c>
      <c r="O2226" t="inlineStr">
        <is>
          <t>9.7–22.7</t>
        </is>
      </c>
      <c r="P2226" t="n">
        <v>18.7</v>
      </c>
      <c r="Q2226" t="n">
        <v>16.7</v>
      </c>
      <c r="R2226" t="n">
        <v>29.9</v>
      </c>
      <c r="S2226" t="n">
        <v>25.8</v>
      </c>
      <c r="T2226" t="n">
        <v>29.2</v>
      </c>
      <c r="U2226" t="inlineStr">
        <is>
          <t>13,163</t>
        </is>
      </c>
      <c r="V2226" t="n">
        <v>15.6</v>
      </c>
      <c r="W2226" t="inlineStr">
        <is>
          <t>3%</t>
        </is>
      </c>
      <c r="X2226" t="inlineStr">
        <is>
          <t>58 : 42</t>
        </is>
      </c>
      <c r="Y2226" t="n">
        <v>1201</v>
      </c>
      <c r="Z2226" t="n">
        <v>1501</v>
      </c>
      <c r="AA2226" t="n">
        <v>16.2</v>
      </c>
      <c r="AB2226" t="inlineStr">
        <is>
          <t>U2225</t>
        </is>
      </c>
      <c r="AC2226" t="inlineStr">
        <is>
          <t>CR</t>
        </is>
      </c>
      <c r="AD2226" t="n">
        <v>16.2</v>
      </c>
      <c r="AE2226" t="n">
        <v>4.3</v>
      </c>
      <c r="AF2226" t="n">
        <v>15.6</v>
      </c>
      <c r="AG2226" t="inlineStr">
        <is>
          <t>1:15.6</t>
        </is>
      </c>
      <c r="AH2226" t="inlineStr">
        <is>
          <t>3%</t>
        </is>
      </c>
      <c r="AI2226" t="n">
        <v>6.1</v>
      </c>
      <c r="AJ2226" t="n">
        <v>10.51</v>
      </c>
    </row>
    <row r="2227">
      <c r="A2227" t="inlineStr">
        <is>
          <t>University of Rochester</t>
        </is>
      </c>
      <c r="B2227" t="inlineStr">
        <is>
          <t>United States</t>
        </is>
      </c>
      <c r="C2227" t="inlineStr">
        <is>
          <t>236</t>
        </is>
      </c>
      <c r="D2227" t="n">
        <v>42.3</v>
      </c>
      <c r="E2227" t="n">
        <v>22.6</v>
      </c>
      <c r="F2227" t="n">
        <v>20.8</v>
      </c>
      <c r="G2227" t="n">
        <v>99.09999999999999</v>
      </c>
      <c r="H2227" t="n">
        <v>33.6</v>
      </c>
      <c r="I2227" t="n">
        <v>63.9</v>
      </c>
      <c r="J2227" t="n">
        <v>93.8</v>
      </c>
      <c r="K2227" t="n">
        <v>64.3</v>
      </c>
      <c r="L2227" t="n">
        <v>40.4</v>
      </c>
      <c r="M2227" t="n">
        <v>63.7</v>
      </c>
      <c r="N2227" t="inlineStr">
        <is>
          <t>133</t>
        </is>
      </c>
      <c r="O2227" t="inlineStr">
        <is>
          <t>63.6</t>
        </is>
      </c>
      <c r="P2227" t="n">
        <v>50.8</v>
      </c>
      <c r="Q2227" t="n">
        <v>42.9</v>
      </c>
      <c r="R2227" t="n">
        <v>88.3</v>
      </c>
      <c r="S2227" t="n">
        <v>89</v>
      </c>
      <c r="T2227" t="n">
        <v>81.7</v>
      </c>
      <c r="U2227" t="inlineStr">
        <is>
          <t>9,855</t>
        </is>
      </c>
      <c r="V2227" t="n">
        <v>7.3</v>
      </c>
      <c r="W2227" t="inlineStr">
        <is>
          <t>34%</t>
        </is>
      </c>
      <c r="X2227" t="inlineStr">
        <is>
          <t>50 : 50</t>
        </is>
      </c>
      <c r="Y2227" t="n">
        <v>236</v>
      </c>
      <c r="Z2227" t="n">
        <v>133</v>
      </c>
      <c r="AA2227" t="n">
        <v>63.6</v>
      </c>
      <c r="AB2227" t="inlineStr">
        <is>
          <t>U2226</t>
        </is>
      </c>
      <c r="AC2227" t="inlineStr">
        <is>
          <t>UN</t>
        </is>
      </c>
      <c r="AD2227" t="n">
        <v>42.3</v>
      </c>
      <c r="AE2227" t="n">
        <v>33.6</v>
      </c>
      <c r="AF2227" t="n">
        <v>7.3</v>
      </c>
      <c r="AG2227" t="inlineStr">
        <is>
          <t>1:7.3</t>
        </is>
      </c>
      <c r="AH2227" t="inlineStr">
        <is>
          <t>34%</t>
        </is>
      </c>
      <c r="AI2227" t="n">
        <v>22.6</v>
      </c>
      <c r="AJ2227" t="n">
        <v>45.82</v>
      </c>
    </row>
    <row r="2228">
      <c r="A2228" t="inlineStr">
        <is>
          <t>University of Roehampton</t>
        </is>
      </c>
      <c r="B2228" t="inlineStr">
        <is>
          <t>United Kingdom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>
        <is>
          <t>801–1000</t>
        </is>
      </c>
      <c r="O2228" t="inlineStr">
        <is>
          <t>32.7–36.9</t>
        </is>
      </c>
      <c r="P2228" t="n">
        <v>23</v>
      </c>
      <c r="Q2228" t="n">
        <v>21.5</v>
      </c>
      <c r="R2228" t="n">
        <v>52</v>
      </c>
      <c r="S2228" t="n">
        <v>35.8</v>
      </c>
      <c r="T2228" t="n">
        <v>85</v>
      </c>
      <c r="U2228" t="inlineStr">
        <is>
          <t>8,245</t>
        </is>
      </c>
      <c r="V2228" t="n">
        <v>19.6</v>
      </c>
      <c r="W2228" t="inlineStr">
        <is>
          <t>36%</t>
        </is>
      </c>
      <c r="X2228" t="inlineStr">
        <is>
          <t>67 : 33</t>
        </is>
      </c>
      <c r="Y2228" t="inlineStr"/>
      <c r="Z2228" t="n">
        <v>801</v>
      </c>
      <c r="AA2228" t="n">
        <v>34.8</v>
      </c>
      <c r="AB2228" t="inlineStr">
        <is>
          <t>U2227</t>
        </is>
      </c>
      <c r="AC2228" t="inlineStr">
        <is>
          <t>UN</t>
        </is>
      </c>
      <c r="AD2228" t="n">
        <v>34.8</v>
      </c>
      <c r="AE2228" t="n">
        <v>52</v>
      </c>
      <c r="AF2228" t="n">
        <v>19.6</v>
      </c>
      <c r="AG2228" t="inlineStr">
        <is>
          <t>1:19.6</t>
        </is>
      </c>
      <c r="AH2228" t="inlineStr">
        <is>
          <t>36%</t>
        </is>
      </c>
      <c r="AI2228" t="inlineStr"/>
      <c r="AJ2228" t="n">
        <v>40.97</v>
      </c>
    </row>
    <row r="2229">
      <c r="A2229" t="inlineStr">
        <is>
          <t>University of Rome II – Tor Vergata</t>
        </is>
      </c>
      <c r="B2229" t="inlineStr">
        <is>
          <t>Italy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>
        <is>
          <t>301–350</t>
        </is>
      </c>
      <c r="O2229" t="inlineStr">
        <is>
          <t>51.1–53.0</t>
        </is>
      </c>
      <c r="P2229" t="n">
        <v>39.9</v>
      </c>
      <c r="Q2229" t="n">
        <v>33.5</v>
      </c>
      <c r="R2229" t="n">
        <v>74.3</v>
      </c>
      <c r="S2229" t="n">
        <v>77.5</v>
      </c>
      <c r="T2229" t="n">
        <v>66.90000000000001</v>
      </c>
      <c r="U2229" t="inlineStr">
        <is>
          <t>18,480</t>
        </is>
      </c>
      <c r="V2229" t="n">
        <v>24</v>
      </c>
      <c r="W2229" t="inlineStr">
        <is>
          <t>20%</t>
        </is>
      </c>
      <c r="X2229" t="inlineStr">
        <is>
          <t>58 : 42</t>
        </is>
      </c>
      <c r="Y2229" t="inlineStr"/>
      <c r="Z2229" t="n">
        <v>301</v>
      </c>
      <c r="AA2229" t="n">
        <v>52.05</v>
      </c>
      <c r="AB2229" t="inlineStr">
        <is>
          <t>U2228</t>
        </is>
      </c>
      <c r="AC2229" t="inlineStr">
        <is>
          <t>IT</t>
        </is>
      </c>
      <c r="AD2229" t="n">
        <v>52.05</v>
      </c>
      <c r="AE2229" t="n">
        <v>74.3</v>
      </c>
      <c r="AF2229" t="n">
        <v>24</v>
      </c>
      <c r="AG2229" t="inlineStr">
        <is>
          <t>1:24.0</t>
        </is>
      </c>
      <c r="AH2229" t="inlineStr">
        <is>
          <t>20%</t>
        </is>
      </c>
      <c r="AI2229" t="inlineStr"/>
      <c r="AJ2229" t="n">
        <v>49.64</v>
      </c>
    </row>
    <row r="2230">
      <c r="A2230" t="inlineStr">
        <is>
          <t>University of Rome III</t>
        </is>
      </c>
      <c r="B2230" t="inlineStr">
        <is>
          <t>Italy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>
        <is>
          <t>601–800</t>
        </is>
      </c>
      <c r="O2230" t="inlineStr">
        <is>
          <t>37.0–41.8</t>
        </is>
      </c>
      <c r="P2230" t="n">
        <v>23.1</v>
      </c>
      <c r="Q2230" t="n">
        <v>25.3</v>
      </c>
      <c r="R2230" t="n">
        <v>58.3</v>
      </c>
      <c r="S2230" t="n">
        <v>49.5</v>
      </c>
      <c r="T2230" t="n">
        <v>45.4</v>
      </c>
      <c r="U2230" t="inlineStr">
        <is>
          <t>33,611</t>
        </is>
      </c>
      <c r="V2230" t="n">
        <v>46.5</v>
      </c>
      <c r="W2230" t="inlineStr">
        <is>
          <t>5%</t>
        </is>
      </c>
      <c r="X2230" t="inlineStr">
        <is>
          <t>60 : 40</t>
        </is>
      </c>
      <c r="Y2230" t="inlineStr"/>
      <c r="Z2230" t="n">
        <v>601</v>
      </c>
      <c r="AA2230" t="n">
        <v>39.4</v>
      </c>
      <c r="AB2230" t="inlineStr">
        <is>
          <t>U2229</t>
        </is>
      </c>
      <c r="AC2230" t="inlineStr">
        <is>
          <t>IT</t>
        </is>
      </c>
      <c r="AD2230" t="n">
        <v>39.4</v>
      </c>
      <c r="AE2230" t="n">
        <v>58.3</v>
      </c>
      <c r="AF2230" t="n">
        <v>46.5</v>
      </c>
      <c r="AG2230" t="inlineStr">
        <is>
          <t>1:46.5</t>
        </is>
      </c>
      <c r="AH2230" t="inlineStr">
        <is>
          <t>5%</t>
        </is>
      </c>
      <c r="AI2230" t="inlineStr"/>
      <c r="AJ2230" t="n">
        <v>35.3</v>
      </c>
    </row>
    <row r="2231">
      <c r="A2231" t="inlineStr">
        <is>
          <t>University of Rome "Tor Vergata"</t>
        </is>
      </c>
      <c r="B2231" t="inlineStr">
        <is>
          <t>Italy</t>
        </is>
      </c>
      <c r="C2231" t="inlineStr">
        <is>
          <t>393</t>
        </is>
      </c>
      <c r="D2231" t="n">
        <v>29.9</v>
      </c>
      <c r="E2231" t="n">
        <v>31.3</v>
      </c>
      <c r="F2231" t="n">
        <v>15.4</v>
      </c>
      <c r="G2231" t="n">
        <v>9</v>
      </c>
      <c r="H2231" t="n">
        <v>47.2</v>
      </c>
      <c r="I2231" t="n">
        <v>9.6</v>
      </c>
      <c r="J2231" t="n">
        <v>30.8</v>
      </c>
      <c r="K2231" t="n">
        <v>69.09999999999999</v>
      </c>
      <c r="L2231" t="n">
        <v>6.3</v>
      </c>
      <c r="M2231" t="n">
        <v>57.7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n">
        <v>393</v>
      </c>
      <c r="Z2231" t="inlineStr"/>
      <c r="AA2231" t="inlineStr"/>
      <c r="AB2231" t="inlineStr">
        <is>
          <t>U2230</t>
        </is>
      </c>
      <c r="AC2231" t="inlineStr">
        <is>
          <t>IT</t>
        </is>
      </c>
      <c r="AD2231" t="n">
        <v>29.9</v>
      </c>
      <c r="AE2231" t="n">
        <v>47.2</v>
      </c>
      <c r="AF2231" t="inlineStr"/>
      <c r="AG2231" t="inlineStr"/>
      <c r="AH2231" t="inlineStr"/>
      <c r="AI2231" t="n">
        <v>31.3</v>
      </c>
      <c r="AJ2231" t="n">
        <v>27.69</v>
      </c>
    </row>
    <row r="2232">
      <c r="A2232" t="inlineStr">
        <is>
          <t>University of Rzeszów</t>
        </is>
      </c>
      <c r="B2232" t="inlineStr">
        <is>
          <t>Poland</t>
        </is>
      </c>
      <c r="C2232" t="inlineStr">
        <is>
          <t>1201-1400</t>
        </is>
      </c>
      <c r="D2232" t="inlineStr"/>
      <c r="E2232" t="n">
        <v>5.2</v>
      </c>
      <c r="F2232" t="n">
        <v>1.8</v>
      </c>
      <c r="G2232" t="n">
        <v>15.1</v>
      </c>
      <c r="H2232" t="n">
        <v>2.7</v>
      </c>
      <c r="I2232" t="inlineStr"/>
      <c r="J2232" t="n">
        <v>1.7</v>
      </c>
      <c r="K2232" t="n">
        <v>28.3</v>
      </c>
      <c r="L2232" t="n">
        <v>3</v>
      </c>
      <c r="M2232" t="n">
        <v>1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n">
        <v>1201</v>
      </c>
      <c r="Z2232" t="inlineStr"/>
      <c r="AA2232" t="inlineStr"/>
      <c r="AB2232" t="inlineStr">
        <is>
          <t>U2231</t>
        </is>
      </c>
      <c r="AC2232" t="inlineStr">
        <is>
          <t>PO</t>
        </is>
      </c>
      <c r="AD2232" t="inlineStr"/>
      <c r="AE2232" t="n">
        <v>2.7</v>
      </c>
      <c r="AF2232" t="inlineStr"/>
      <c r="AG2232" t="inlineStr"/>
      <c r="AH2232" t="inlineStr"/>
      <c r="AI2232" t="n">
        <v>5.2</v>
      </c>
      <c r="AJ2232" t="n">
        <v>14.21</v>
      </c>
    </row>
    <row r="2233">
      <c r="A2233" t="inlineStr">
        <is>
          <t>University of São Paulo</t>
        </is>
      </c>
      <c r="B2233" t="inlineStr">
        <is>
          <t>Brazil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>
        <is>
          <t>201–250</t>
        </is>
      </c>
      <c r="O2233" t="inlineStr">
        <is>
          <t>55.9–58.6</t>
        </is>
      </c>
      <c r="P2233" t="n">
        <v>59.8</v>
      </c>
      <c r="Q2233" t="n">
        <v>60.7</v>
      </c>
      <c r="R2233" t="n">
        <v>57.3</v>
      </c>
      <c r="S2233" t="n">
        <v>68.2</v>
      </c>
      <c r="T2233" t="n">
        <v>42.5</v>
      </c>
      <c r="U2233" t="inlineStr">
        <is>
          <t>83,182</t>
        </is>
      </c>
      <c r="V2233" t="n">
        <v>13.9</v>
      </c>
      <c r="W2233" t="inlineStr">
        <is>
          <t>2%</t>
        </is>
      </c>
      <c r="X2233" t="inlineStr">
        <is>
          <t>47 : 53</t>
        </is>
      </c>
      <c r="Y2233" t="inlineStr"/>
      <c r="Z2233" t="n">
        <v>201</v>
      </c>
      <c r="AA2233" t="n">
        <v>57.25</v>
      </c>
      <c r="AB2233" t="inlineStr">
        <is>
          <t>U2232</t>
        </is>
      </c>
      <c r="AC2233" t="inlineStr">
        <is>
          <t>BR</t>
        </is>
      </c>
      <c r="AD2233" t="n">
        <v>57.25</v>
      </c>
      <c r="AE2233" t="n">
        <v>57.3</v>
      </c>
      <c r="AF2233" t="n">
        <v>13.9</v>
      </c>
      <c r="AG2233" t="inlineStr">
        <is>
          <t>1:13.9</t>
        </is>
      </c>
      <c r="AH2233" t="inlineStr">
        <is>
          <t>2%</t>
        </is>
      </c>
      <c r="AI2233" t="inlineStr"/>
      <c r="AJ2233" t="n">
        <v>52.85</v>
      </c>
    </row>
    <row r="2234">
      <c r="A2234" t="inlineStr">
        <is>
          <t>University of Salamanca</t>
        </is>
      </c>
      <c r="B2234" t="inlineStr">
        <is>
          <t>Spain</t>
        </is>
      </c>
      <c r="C2234" t="inlineStr">
        <is>
          <t>539</t>
        </is>
      </c>
      <c r="D2234" t="n">
        <v>22.8</v>
      </c>
      <c r="E2234" t="n">
        <v>26.9</v>
      </c>
      <c r="F2234" t="n">
        <v>14.6</v>
      </c>
      <c r="G2234" t="n">
        <v>26</v>
      </c>
      <c r="H2234" t="n">
        <v>6.2</v>
      </c>
      <c r="I2234" t="n">
        <v>6.9</v>
      </c>
      <c r="J2234" t="n">
        <v>14.9</v>
      </c>
      <c r="K2234" t="n">
        <v>80</v>
      </c>
      <c r="L2234" t="n">
        <v>23.4</v>
      </c>
      <c r="M2234" t="n">
        <v>69.5</v>
      </c>
      <c r="N2234" t="inlineStr">
        <is>
          <t>801–1000</t>
        </is>
      </c>
      <c r="O2234" t="inlineStr">
        <is>
          <t>32.7–36.9</t>
        </is>
      </c>
      <c r="P2234" t="n">
        <v>32</v>
      </c>
      <c r="Q2234" t="n">
        <v>21.8</v>
      </c>
      <c r="R2234" t="n">
        <v>50.4</v>
      </c>
      <c r="S2234" t="n">
        <v>39.9</v>
      </c>
      <c r="T2234" t="n">
        <v>53.6</v>
      </c>
      <c r="U2234" t="inlineStr">
        <is>
          <t>24,707</t>
        </is>
      </c>
      <c r="V2234" t="n">
        <v>14.7</v>
      </c>
      <c r="W2234" t="inlineStr">
        <is>
          <t>13%</t>
        </is>
      </c>
      <c r="X2234" t="inlineStr">
        <is>
          <t>61 : 39</t>
        </is>
      </c>
      <c r="Y2234" t="n">
        <v>539</v>
      </c>
      <c r="Z2234" t="n">
        <v>801</v>
      </c>
      <c r="AA2234" t="n">
        <v>34.8</v>
      </c>
      <c r="AB2234" t="inlineStr">
        <is>
          <t>U2233</t>
        </is>
      </c>
      <c r="AC2234" t="inlineStr">
        <is>
          <t>SP</t>
        </is>
      </c>
      <c r="AD2234" t="n">
        <v>22.8</v>
      </c>
      <c r="AE2234" t="n">
        <v>6.2</v>
      </c>
      <c r="AF2234" t="n">
        <v>14.7</v>
      </c>
      <c r="AG2234" t="inlineStr">
        <is>
          <t>1:14.7</t>
        </is>
      </c>
      <c r="AH2234" t="inlineStr">
        <is>
          <t>13%</t>
        </is>
      </c>
      <c r="AI2234" t="n">
        <v>26.9</v>
      </c>
      <c r="AJ2234" t="n">
        <v>19.66</v>
      </c>
    </row>
    <row r="2235">
      <c r="A2235" t="inlineStr">
        <is>
          <t>University of Salento</t>
        </is>
      </c>
      <c r="B2235" t="inlineStr">
        <is>
          <t>Italy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>
        <is>
          <t>601–800</t>
        </is>
      </c>
      <c r="O2235" t="inlineStr">
        <is>
          <t>37.0–41.8</t>
        </is>
      </c>
      <c r="P2235" t="n">
        <v>30.1</v>
      </c>
      <c r="Q2235" t="n">
        <v>21.8</v>
      </c>
      <c r="R2235" t="n">
        <v>64.5</v>
      </c>
      <c r="S2235" t="n">
        <v>52.2</v>
      </c>
      <c r="T2235" t="n">
        <v>34.5</v>
      </c>
      <c r="U2235" t="inlineStr">
        <is>
          <t>14,304</t>
        </is>
      </c>
      <c r="V2235" t="n">
        <v>24.7</v>
      </c>
      <c r="W2235" t="inlineStr">
        <is>
          <t>2%</t>
        </is>
      </c>
      <c r="X2235" t="inlineStr">
        <is>
          <t>62 : 38</t>
        </is>
      </c>
      <c r="Y2235" t="inlineStr"/>
      <c r="Z2235" t="n">
        <v>601</v>
      </c>
      <c r="AA2235" t="n">
        <v>39.4</v>
      </c>
      <c r="AB2235" t="inlineStr">
        <is>
          <t>U2234</t>
        </is>
      </c>
      <c r="AC2235" t="inlineStr">
        <is>
          <t>IT</t>
        </is>
      </c>
      <c r="AD2235" t="n">
        <v>39.4</v>
      </c>
      <c r="AE2235" t="n">
        <v>64.5</v>
      </c>
      <c r="AF2235" t="n">
        <v>24.7</v>
      </c>
      <c r="AG2235" t="inlineStr">
        <is>
          <t>1:24.7</t>
        </is>
      </c>
      <c r="AH2235" t="inlineStr">
        <is>
          <t>2%</t>
        </is>
      </c>
      <c r="AI2235" t="inlineStr"/>
      <c r="AJ2235" t="n">
        <v>32.71</v>
      </c>
    </row>
    <row r="2236">
      <c r="A2236" t="inlineStr">
        <is>
          <t>University of Salerno</t>
        </is>
      </c>
      <c r="B2236" t="inlineStr">
        <is>
          <t>Italy</t>
        </is>
      </c>
      <c r="C2236" t="inlineStr">
        <is>
          <t>801-850</t>
        </is>
      </c>
      <c r="D2236" t="inlineStr"/>
      <c r="E2236" t="n">
        <v>8.6</v>
      </c>
      <c r="F2236" t="n">
        <v>2.4</v>
      </c>
      <c r="G2236" t="n">
        <v>5.6</v>
      </c>
      <c r="H2236" t="n">
        <v>37.1</v>
      </c>
      <c r="I2236" t="n">
        <v>3.3</v>
      </c>
      <c r="J2236" t="n">
        <v>1.6</v>
      </c>
      <c r="K2236" t="n">
        <v>87.40000000000001</v>
      </c>
      <c r="L2236" t="n">
        <v>4</v>
      </c>
      <c r="M2236" t="n">
        <v>19.2</v>
      </c>
      <c r="N2236" t="inlineStr">
        <is>
          <t>501–600</t>
        </is>
      </c>
      <c r="O2236" t="inlineStr">
        <is>
          <t>41.9–45.3</t>
        </is>
      </c>
      <c r="P2236" t="n">
        <v>21.9</v>
      </c>
      <c r="Q2236" t="n">
        <v>24.4</v>
      </c>
      <c r="R2236" t="n">
        <v>79.2</v>
      </c>
      <c r="S2236" t="n">
        <v>52.4</v>
      </c>
      <c r="T2236" t="n">
        <v>37.4</v>
      </c>
      <c r="U2236" t="inlineStr">
        <is>
          <t>26,142</t>
        </is>
      </c>
      <c r="V2236" t="n">
        <v>26.5</v>
      </c>
      <c r="W2236" t="inlineStr">
        <is>
          <t>2%</t>
        </is>
      </c>
      <c r="X2236" t="inlineStr">
        <is>
          <t>55 : 45</t>
        </is>
      </c>
      <c r="Y2236" t="n">
        <v>801</v>
      </c>
      <c r="Z2236" t="n">
        <v>501</v>
      </c>
      <c r="AA2236" t="n">
        <v>43.59999999999999</v>
      </c>
      <c r="AB2236" t="inlineStr">
        <is>
          <t>U2235</t>
        </is>
      </c>
      <c r="AC2236" t="inlineStr">
        <is>
          <t>IT</t>
        </is>
      </c>
      <c r="AD2236" t="n">
        <v>43.59999999999999</v>
      </c>
      <c r="AE2236" t="n">
        <v>37.1</v>
      </c>
      <c r="AF2236" t="n">
        <v>26.5</v>
      </c>
      <c r="AG2236" t="inlineStr">
        <is>
          <t>1:26.5</t>
        </is>
      </c>
      <c r="AH2236" t="inlineStr">
        <is>
          <t>2%</t>
        </is>
      </c>
      <c r="AI2236" t="n">
        <v>8.6</v>
      </c>
      <c r="AJ2236" t="n">
        <v>26.47</v>
      </c>
    </row>
    <row r="2237">
      <c r="A2237" t="inlineStr">
        <is>
          <t>University of Salford</t>
        </is>
      </c>
      <c r="B2237" t="inlineStr">
        <is>
          <t>United Kingdom</t>
        </is>
      </c>
      <c r="C2237" t="inlineStr">
        <is>
          <t>901-950</t>
        </is>
      </c>
      <c r="D2237" t="inlineStr"/>
      <c r="E2237" t="n">
        <v>6.8</v>
      </c>
      <c r="F2237" t="n">
        <v>3.9</v>
      </c>
      <c r="G2237" t="n">
        <v>6.4</v>
      </c>
      <c r="H2237" t="n">
        <v>6.9</v>
      </c>
      <c r="I2237" t="n">
        <v>36.7</v>
      </c>
      <c r="J2237" t="n">
        <v>69.8</v>
      </c>
      <c r="K2237" t="n">
        <v>63.6</v>
      </c>
      <c r="L2237" t="n">
        <v>9.6</v>
      </c>
      <c r="M2237" t="n">
        <v>5.8</v>
      </c>
      <c r="N2237" t="inlineStr">
        <is>
          <t>801–1000</t>
        </is>
      </c>
      <c r="O2237" t="inlineStr">
        <is>
          <t>32.7–36.9</t>
        </is>
      </c>
      <c r="P2237" t="n">
        <v>18.8</v>
      </c>
      <c r="Q2237" t="n">
        <v>15</v>
      </c>
      <c r="R2237" t="n">
        <v>61.1</v>
      </c>
      <c r="S2237" t="n">
        <v>46.9</v>
      </c>
      <c r="T2237" t="n">
        <v>82.2</v>
      </c>
      <c r="U2237" t="inlineStr">
        <is>
          <t>20,010</t>
        </is>
      </c>
      <c r="V2237" t="n">
        <v>20.3</v>
      </c>
      <c r="W2237" t="inlineStr">
        <is>
          <t>23%</t>
        </is>
      </c>
      <c r="X2237" t="inlineStr">
        <is>
          <t>55 : 45</t>
        </is>
      </c>
      <c r="Y2237" t="n">
        <v>901</v>
      </c>
      <c r="Z2237" t="n">
        <v>801</v>
      </c>
      <c r="AA2237" t="n">
        <v>34.8</v>
      </c>
      <c r="AB2237" t="inlineStr">
        <is>
          <t>U2236</t>
        </is>
      </c>
      <c r="AC2237" t="inlineStr">
        <is>
          <t>UN</t>
        </is>
      </c>
      <c r="AD2237" t="n">
        <v>34.8</v>
      </c>
      <c r="AE2237" t="n">
        <v>6.9</v>
      </c>
      <c r="AF2237" t="n">
        <v>20.3</v>
      </c>
      <c r="AG2237" t="inlineStr">
        <is>
          <t>1:20.3</t>
        </is>
      </c>
      <c r="AH2237" t="inlineStr">
        <is>
          <t>23%</t>
        </is>
      </c>
      <c r="AI2237" t="n">
        <v>6.8</v>
      </c>
      <c r="AJ2237" t="n">
        <v>23.22</v>
      </c>
    </row>
    <row r="2238">
      <c r="A2238" t="inlineStr">
        <is>
          <t>University of San Carlos</t>
        </is>
      </c>
      <c r="B2238" t="inlineStr">
        <is>
          <t>Philippines</t>
        </is>
      </c>
      <c r="C2238" t="inlineStr">
        <is>
          <t>1401+</t>
        </is>
      </c>
      <c r="D2238" t="inlineStr"/>
      <c r="E2238" t="n">
        <v>7.2</v>
      </c>
      <c r="F2238" t="n">
        <v>9.4</v>
      </c>
      <c r="G2238" t="n">
        <v>3.3</v>
      </c>
      <c r="H2238" t="n">
        <v>1.8</v>
      </c>
      <c r="I2238" t="n">
        <v>2.1</v>
      </c>
      <c r="J2238" t="n">
        <v>2.1</v>
      </c>
      <c r="K2238" t="n">
        <v>6.4</v>
      </c>
      <c r="L2238" t="n">
        <v>9.6</v>
      </c>
      <c r="M2238" t="n">
        <v>1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n">
        <v>1401</v>
      </c>
      <c r="Z2238" t="inlineStr"/>
      <c r="AA2238" t="inlineStr"/>
      <c r="AB2238" t="inlineStr">
        <is>
          <t>U2237</t>
        </is>
      </c>
      <c r="AC2238" t="inlineStr">
        <is>
          <t>PH</t>
        </is>
      </c>
      <c r="AD2238" t="inlineStr"/>
      <c r="AE2238" t="n">
        <v>1.8</v>
      </c>
      <c r="AF2238" t="inlineStr"/>
      <c r="AG2238" t="inlineStr"/>
      <c r="AH2238" t="inlineStr"/>
      <c r="AI2238" t="n">
        <v>7.2</v>
      </c>
      <c r="AJ2238" t="n">
        <v>13.93</v>
      </c>
    </row>
    <row r="2239">
      <c r="A2239" t="inlineStr">
        <is>
          <t>University of San Diego</t>
        </is>
      </c>
      <c r="B2239" t="inlineStr">
        <is>
          <t>United States</t>
        </is>
      </c>
      <c r="C2239" t="inlineStr">
        <is>
          <t>1201-1400</t>
        </is>
      </c>
      <c r="D2239" t="inlineStr"/>
      <c r="E2239" t="n">
        <v>6.2</v>
      </c>
      <c r="F2239" t="n">
        <v>7</v>
      </c>
      <c r="G2239" t="n">
        <v>25.5</v>
      </c>
      <c r="H2239" t="n">
        <v>2.7</v>
      </c>
      <c r="I2239" t="n">
        <v>3.1</v>
      </c>
      <c r="J2239" t="n">
        <v>6.8</v>
      </c>
      <c r="K2239" t="n">
        <v>5.5</v>
      </c>
      <c r="L2239" t="n">
        <v>12.2</v>
      </c>
      <c r="M2239" t="n">
        <v>1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n">
        <v>1201</v>
      </c>
      <c r="Z2239" t="inlineStr"/>
      <c r="AA2239" t="inlineStr"/>
      <c r="AB2239" t="inlineStr">
        <is>
          <t>U2238</t>
        </is>
      </c>
      <c r="AC2239" t="inlineStr">
        <is>
          <t>UN</t>
        </is>
      </c>
      <c r="AD2239" t="inlineStr"/>
      <c r="AE2239" t="n">
        <v>2.7</v>
      </c>
      <c r="AF2239" t="inlineStr"/>
      <c r="AG2239" t="inlineStr"/>
      <c r="AH2239" t="inlineStr"/>
      <c r="AI2239" t="n">
        <v>6.2</v>
      </c>
      <c r="AJ2239" t="n">
        <v>14.21</v>
      </c>
    </row>
    <row r="2240">
      <c r="A2240" t="inlineStr">
        <is>
          <t>University of San Francisco</t>
        </is>
      </c>
      <c r="B2240" t="inlineStr">
        <is>
          <t>United States</t>
        </is>
      </c>
      <c r="C2240" t="inlineStr">
        <is>
          <t>1201-1400</t>
        </is>
      </c>
      <c r="D2240" t="inlineStr"/>
      <c r="E2240" t="n">
        <v>5.9</v>
      </c>
      <c r="F2240" t="n">
        <v>4.4</v>
      </c>
      <c r="G2240" t="n">
        <v>18.7</v>
      </c>
      <c r="H2240" t="n">
        <v>3.6</v>
      </c>
      <c r="I2240" t="n">
        <v>2.3</v>
      </c>
      <c r="J2240" t="n">
        <v>20.2</v>
      </c>
      <c r="K2240" t="n">
        <v>6</v>
      </c>
      <c r="L2240" t="n">
        <v>29.5</v>
      </c>
      <c r="M2240" t="n">
        <v>1.2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n">
        <v>1201</v>
      </c>
      <c r="Z2240" t="inlineStr"/>
      <c r="AA2240" t="inlineStr"/>
      <c r="AB2240" t="inlineStr">
        <is>
          <t>U2239</t>
        </is>
      </c>
      <c r="AC2240" t="inlineStr">
        <is>
          <t>UN</t>
        </is>
      </c>
      <c r="AD2240" t="inlineStr"/>
      <c r="AE2240" t="n">
        <v>3.6</v>
      </c>
      <c r="AF2240" t="inlineStr"/>
      <c r="AG2240" t="inlineStr"/>
      <c r="AH2240" t="inlineStr"/>
      <c r="AI2240" t="n">
        <v>5.9</v>
      </c>
      <c r="AJ2240" t="n">
        <v>14.48</v>
      </c>
    </row>
    <row r="2241">
      <c r="A2241" t="inlineStr">
        <is>
          <t>University of Sannio</t>
        </is>
      </c>
      <c r="B2241" t="inlineStr">
        <is>
          <t>Italy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>
        <is>
          <t>601–800</t>
        </is>
      </c>
      <c r="O2241" t="inlineStr">
        <is>
          <t>37.0–41.8</t>
        </is>
      </c>
      <c r="P2241" t="n">
        <v>23.6</v>
      </c>
      <c r="Q2241" t="n">
        <v>20.5</v>
      </c>
      <c r="R2241" t="n">
        <v>63.6</v>
      </c>
      <c r="S2241" t="n">
        <v>71.09999999999999</v>
      </c>
      <c r="T2241" t="n">
        <v>29.3</v>
      </c>
      <c r="U2241" t="inlineStr">
        <is>
          <t>2,751</t>
        </is>
      </c>
      <c r="V2241" t="n">
        <v>13.4</v>
      </c>
      <c r="W2241" t="inlineStr">
        <is>
          <t>1%</t>
        </is>
      </c>
      <c r="X2241" t="inlineStr">
        <is>
          <t>49 : 51</t>
        </is>
      </c>
      <c r="Y2241" t="inlineStr"/>
      <c r="Z2241" t="n">
        <v>601</v>
      </c>
      <c r="AA2241" t="n">
        <v>39.4</v>
      </c>
      <c r="AB2241" t="inlineStr">
        <is>
          <t>U2240</t>
        </is>
      </c>
      <c r="AC2241" t="inlineStr">
        <is>
          <t>IT</t>
        </is>
      </c>
      <c r="AD2241" t="n">
        <v>39.4</v>
      </c>
      <c r="AE2241" t="n">
        <v>63.6</v>
      </c>
      <c r="AF2241" t="n">
        <v>13.4</v>
      </c>
      <c r="AG2241" t="inlineStr">
        <is>
          <t>1:13.4</t>
        </is>
      </c>
      <c r="AH2241" t="inlineStr">
        <is>
          <t>1%</t>
        </is>
      </c>
      <c r="AI2241" t="inlineStr"/>
      <c r="AJ2241" t="n">
        <v>30.5</v>
      </c>
    </row>
    <row r="2242">
      <c r="A2242" t="inlineStr">
        <is>
          <t>University of Santiago, Chile (USACH)</t>
        </is>
      </c>
      <c r="B2242" t="inlineStr">
        <is>
          <t>Chile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>
        <is>
          <t>1501+</t>
        </is>
      </c>
      <c r="O2242" t="inlineStr">
        <is>
          <t>9.7–22.7</t>
        </is>
      </c>
      <c r="P2242" t="n">
        <v>15.8</v>
      </c>
      <c r="Q2242" t="n">
        <v>15.4</v>
      </c>
      <c r="R2242" t="n">
        <v>29.8</v>
      </c>
      <c r="S2242" t="n">
        <v>27.7</v>
      </c>
      <c r="T2242" t="n">
        <v>45.9</v>
      </c>
      <c r="U2242" t="inlineStr">
        <is>
          <t>24,717</t>
        </is>
      </c>
      <c r="V2242" t="n">
        <v>20.8</v>
      </c>
      <c r="W2242" t="inlineStr">
        <is>
          <t>2%</t>
        </is>
      </c>
      <c r="X2242" t="inlineStr">
        <is>
          <t>45 : 55</t>
        </is>
      </c>
      <c r="Y2242" t="inlineStr"/>
      <c r="Z2242" t="n">
        <v>1501</v>
      </c>
      <c r="AA2242" t="n">
        <v>16.2</v>
      </c>
      <c r="AB2242" t="inlineStr">
        <is>
          <t>U2241</t>
        </is>
      </c>
      <c r="AC2242" t="inlineStr">
        <is>
          <t>CH</t>
        </is>
      </c>
      <c r="AD2242" t="n">
        <v>16.2</v>
      </c>
      <c r="AE2242" t="n">
        <v>29.8</v>
      </c>
      <c r="AF2242" t="n">
        <v>20.8</v>
      </c>
      <c r="AG2242" t="inlineStr">
        <is>
          <t>1:20.8</t>
        </is>
      </c>
      <c r="AH2242" t="inlineStr">
        <is>
          <t>2%</t>
        </is>
      </c>
      <c r="AI2242" t="inlineStr"/>
      <c r="AJ2242" t="n">
        <v>21.59</v>
      </c>
    </row>
    <row r="2243">
      <c r="A2243" t="inlineStr">
        <is>
          <t>University of Santiago de Compostela</t>
        </is>
      </c>
      <c r="B2243" t="inlineStr">
        <is>
          <t>Spain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>
        <is>
          <t>601–800</t>
        </is>
      </c>
      <c r="O2243" t="inlineStr">
        <is>
          <t>37.0–41.8</t>
        </is>
      </c>
      <c r="P2243" t="n">
        <v>29.7</v>
      </c>
      <c r="Q2243" t="n">
        <v>21.1</v>
      </c>
      <c r="R2243" t="n">
        <v>58.7</v>
      </c>
      <c r="S2243" t="n">
        <v>69.59999999999999</v>
      </c>
      <c r="T2243" t="n">
        <v>46.6</v>
      </c>
      <c r="U2243" t="inlineStr">
        <is>
          <t>24,872</t>
        </is>
      </c>
      <c r="V2243" t="n">
        <v>14.6</v>
      </c>
      <c r="W2243" t="inlineStr">
        <is>
          <t>6%</t>
        </is>
      </c>
      <c r="X2243" t="inlineStr">
        <is>
          <t>65 : 35</t>
        </is>
      </c>
      <c r="Y2243" t="inlineStr"/>
      <c r="Z2243" t="n">
        <v>601</v>
      </c>
      <c r="AA2243" t="n">
        <v>39.4</v>
      </c>
      <c r="AB2243" t="inlineStr">
        <is>
          <t>U2242</t>
        </is>
      </c>
      <c r="AC2243" t="inlineStr">
        <is>
          <t>SP</t>
        </is>
      </c>
      <c r="AD2243" t="n">
        <v>39.4</v>
      </c>
      <c r="AE2243" t="n">
        <v>58.7</v>
      </c>
      <c r="AF2243" t="n">
        <v>14.6</v>
      </c>
      <c r="AG2243" t="inlineStr">
        <is>
          <t>1:14.6</t>
        </is>
      </c>
      <c r="AH2243" t="inlineStr">
        <is>
          <t>6%</t>
        </is>
      </c>
      <c r="AI2243" t="inlineStr"/>
      <c r="AJ2243" t="n">
        <v>33.51</v>
      </c>
    </row>
    <row r="2244">
      <c r="A2244" t="inlineStr">
        <is>
          <t>University of Santo Tomas</t>
        </is>
      </c>
      <c r="B2244" t="inlineStr">
        <is>
          <t>Philippines</t>
        </is>
      </c>
      <c r="C2244" t="inlineStr">
        <is>
          <t>851-900</t>
        </is>
      </c>
      <c r="D2244" t="inlineStr"/>
      <c r="E2244" t="n">
        <v>12.8</v>
      </c>
      <c r="F2244" t="n">
        <v>39.9</v>
      </c>
      <c r="G2244" t="n">
        <v>12.5</v>
      </c>
      <c r="H2244" t="n">
        <v>1.3</v>
      </c>
      <c r="I2244" t="n">
        <v>34.9</v>
      </c>
      <c r="J2244" t="n">
        <v>5.8</v>
      </c>
      <c r="K2244" t="n">
        <v>18.1</v>
      </c>
      <c r="L2244" t="n">
        <v>14.1</v>
      </c>
      <c r="M2244" t="n">
        <v>2.4</v>
      </c>
      <c r="N2244" t="inlineStr">
        <is>
          <t>1501+</t>
        </is>
      </c>
      <c r="O2244" t="inlineStr">
        <is>
          <t>9.7–22.7</t>
        </is>
      </c>
      <c r="P2244" t="n">
        <v>19.6</v>
      </c>
      <c r="Q2244" t="n">
        <v>9.5</v>
      </c>
      <c r="R2244" t="n">
        <v>25.8</v>
      </c>
      <c r="S2244" t="n">
        <v>20.7</v>
      </c>
      <c r="T2244" t="n">
        <v>67</v>
      </c>
      <c r="U2244" t="inlineStr">
        <is>
          <t>31,813</t>
        </is>
      </c>
      <c r="V2244" t="n">
        <v>13.3</v>
      </c>
      <c r="W2244" t="inlineStr">
        <is>
          <t>7%</t>
        </is>
      </c>
      <c r="X2244" t="inlineStr">
        <is>
          <t>51 : 49</t>
        </is>
      </c>
      <c r="Y2244" t="n">
        <v>851</v>
      </c>
      <c r="Z2244" t="n">
        <v>1501</v>
      </c>
      <c r="AA2244" t="n">
        <v>16.2</v>
      </c>
      <c r="AB2244" t="inlineStr">
        <is>
          <t>U2243</t>
        </is>
      </c>
      <c r="AC2244" t="inlineStr">
        <is>
          <t>PH</t>
        </is>
      </c>
      <c r="AD2244" t="n">
        <v>16.2</v>
      </c>
      <c r="AE2244" t="n">
        <v>1.3</v>
      </c>
      <c r="AF2244" t="n">
        <v>13.3</v>
      </c>
      <c r="AG2244" t="inlineStr">
        <is>
          <t>1:13.3</t>
        </is>
      </c>
      <c r="AH2244" t="inlineStr">
        <is>
          <t>7%</t>
        </is>
      </c>
      <c r="AI2244" t="n">
        <v>12.8</v>
      </c>
      <c r="AJ2244" t="n">
        <v>14.97</v>
      </c>
    </row>
    <row r="2245">
      <c r="A2245" t="inlineStr">
        <is>
          <t xml:space="preserve">University of Sarajevo </t>
        </is>
      </c>
      <c r="B2245" t="inlineStr">
        <is>
          <t>Bosnia and Herzegovina</t>
        </is>
      </c>
      <c r="C2245" t="inlineStr">
        <is>
          <t>1001-1200</t>
        </is>
      </c>
      <c r="D2245" t="inlineStr"/>
      <c r="E2245" t="n">
        <v>4.4</v>
      </c>
      <c r="F2245" t="n">
        <v>1.6</v>
      </c>
      <c r="G2245" t="n">
        <v>4.6</v>
      </c>
      <c r="H2245" t="n">
        <v>1.9</v>
      </c>
      <c r="I2245" t="inlineStr"/>
      <c r="J2245" t="n">
        <v>2.8</v>
      </c>
      <c r="K2245" t="n">
        <v>46.5</v>
      </c>
      <c r="L2245" t="n">
        <v>83.59999999999999</v>
      </c>
      <c r="M2245" t="n">
        <v>1</v>
      </c>
      <c r="N2245" t="inlineStr">
        <is>
          <t>1501+</t>
        </is>
      </c>
      <c r="O2245" t="inlineStr">
        <is>
          <t>9.7–22.7</t>
        </is>
      </c>
      <c r="P2245" t="n">
        <v>16.4</v>
      </c>
      <c r="Q2245" t="n">
        <v>10.8</v>
      </c>
      <c r="R2245" t="n">
        <v>18.6</v>
      </c>
      <c r="S2245" t="n">
        <v>23.6</v>
      </c>
      <c r="T2245" t="n">
        <v>27.7</v>
      </c>
      <c r="U2245" t="inlineStr">
        <is>
          <t>25,468</t>
        </is>
      </c>
      <c r="V2245" t="n">
        <v>15.6</v>
      </c>
      <c r="W2245" t="inlineStr">
        <is>
          <t>0%</t>
        </is>
      </c>
      <c r="X2245" t="inlineStr">
        <is>
          <t>64 : 36</t>
        </is>
      </c>
      <c r="Y2245" t="n">
        <v>1001</v>
      </c>
      <c r="Z2245" t="n">
        <v>1501</v>
      </c>
      <c r="AA2245" t="n">
        <v>16.2</v>
      </c>
      <c r="AB2245" t="inlineStr">
        <is>
          <t>U2244</t>
        </is>
      </c>
      <c r="AC2245" t="inlineStr">
        <is>
          <t>BO</t>
        </is>
      </c>
      <c r="AD2245" t="n">
        <v>16.2</v>
      </c>
      <c r="AE2245" t="n">
        <v>1.9</v>
      </c>
      <c r="AF2245" t="n">
        <v>15.6</v>
      </c>
      <c r="AG2245" t="inlineStr">
        <is>
          <t>1:15.6</t>
        </is>
      </c>
      <c r="AH2245" t="inlineStr">
        <is>
          <t>0%</t>
        </is>
      </c>
      <c r="AI2245" t="n">
        <v>4.4</v>
      </c>
      <c r="AJ2245" t="n">
        <v>6.33</v>
      </c>
    </row>
    <row r="2246">
      <c r="A2246" t="inlineStr">
        <is>
          <t>University of Sargodha</t>
        </is>
      </c>
      <c r="B2246" t="inlineStr">
        <is>
          <t>Pakistan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>
        <is>
          <t>1001–1200</t>
        </is>
      </c>
      <c r="O2246" t="inlineStr">
        <is>
          <t>28.3–32.6</t>
        </is>
      </c>
      <c r="P2246" t="n">
        <v>27.6</v>
      </c>
      <c r="Q2246" t="n">
        <v>11.9</v>
      </c>
      <c r="R2246" t="n">
        <v>50.5</v>
      </c>
      <c r="S2246" t="n">
        <v>17.7</v>
      </c>
      <c r="T2246" t="n">
        <v>48.1</v>
      </c>
      <c r="U2246" t="inlineStr">
        <is>
          <t>19,172</t>
        </is>
      </c>
      <c r="V2246" t="n">
        <v>24.3</v>
      </c>
      <c r="W2246" t="inlineStr">
        <is>
          <t>0%</t>
        </is>
      </c>
      <c r="X2246" t="inlineStr">
        <is>
          <t>55 : 45</t>
        </is>
      </c>
      <c r="Y2246" t="inlineStr"/>
      <c r="Z2246" t="n">
        <v>1001</v>
      </c>
      <c r="AA2246" t="n">
        <v>30.45</v>
      </c>
      <c r="AB2246" t="inlineStr">
        <is>
          <t>U2245</t>
        </is>
      </c>
      <c r="AC2246" t="inlineStr">
        <is>
          <t>PA</t>
        </is>
      </c>
      <c r="AD2246" t="n">
        <v>30.45</v>
      </c>
      <c r="AE2246" t="n">
        <v>50.5</v>
      </c>
      <c r="AF2246" t="n">
        <v>24.3</v>
      </c>
      <c r="AG2246" t="inlineStr">
        <is>
          <t>1:24.3</t>
        </is>
      </c>
      <c r="AH2246" t="inlineStr">
        <is>
          <t>0%</t>
        </is>
      </c>
      <c r="AI2246" t="inlineStr"/>
      <c r="AJ2246" t="n">
        <v>26.56</v>
      </c>
    </row>
    <row r="2247">
      <c r="A2247" t="inlineStr">
        <is>
          <t>University of Saskatchewan</t>
        </is>
      </c>
      <c r="B2247" t="inlineStr">
        <is>
          <t>Canada</t>
        </is>
      </c>
      <c r="C2247" t="inlineStr">
        <is>
          <t>340</t>
        </is>
      </c>
      <c r="D2247" t="n">
        <v>33.2</v>
      </c>
      <c r="E2247" t="n">
        <v>11.1</v>
      </c>
      <c r="F2247" t="n">
        <v>5.3</v>
      </c>
      <c r="G2247" t="n">
        <v>18.2</v>
      </c>
      <c r="H2247" t="n">
        <v>57</v>
      </c>
      <c r="I2247" t="n">
        <v>77.3</v>
      </c>
      <c r="J2247" t="n">
        <v>49.5</v>
      </c>
      <c r="K2247" t="n">
        <v>82.3</v>
      </c>
      <c r="L2247" t="n">
        <v>32.1</v>
      </c>
      <c r="M2247" t="n">
        <v>90.7</v>
      </c>
      <c r="N2247" t="inlineStr">
        <is>
          <t>351–400</t>
        </is>
      </c>
      <c r="O2247" t="inlineStr">
        <is>
          <t>49.1–51.0</t>
        </is>
      </c>
      <c r="P2247" t="n">
        <v>39</v>
      </c>
      <c r="Q2247" t="n">
        <v>35.1</v>
      </c>
      <c r="R2247" t="n">
        <v>62.9</v>
      </c>
      <c r="S2247" t="n">
        <v>95.8</v>
      </c>
      <c r="T2247" t="n">
        <v>78.90000000000001</v>
      </c>
      <c r="U2247" t="inlineStr">
        <is>
          <t>17,924</t>
        </is>
      </c>
      <c r="V2247" t="n">
        <v>18.1</v>
      </c>
      <c r="W2247" t="inlineStr">
        <is>
          <t>21%</t>
        </is>
      </c>
      <c r="X2247" t="inlineStr">
        <is>
          <t>56 : 44</t>
        </is>
      </c>
      <c r="Y2247" t="n">
        <v>340</v>
      </c>
      <c r="Z2247" t="n">
        <v>351</v>
      </c>
      <c r="AA2247" t="n">
        <v>50.05</v>
      </c>
      <c r="AB2247" t="inlineStr">
        <is>
          <t>U2246</t>
        </is>
      </c>
      <c r="AC2247" t="inlineStr">
        <is>
          <t>CA</t>
        </is>
      </c>
      <c r="AD2247" t="n">
        <v>33.2</v>
      </c>
      <c r="AE2247" t="n">
        <v>57</v>
      </c>
      <c r="AF2247" t="n">
        <v>18.1</v>
      </c>
      <c r="AG2247" t="inlineStr">
        <is>
          <t>1:18.1</t>
        </is>
      </c>
      <c r="AH2247" t="inlineStr">
        <is>
          <t>21%</t>
        </is>
      </c>
      <c r="AI2247" t="n">
        <v>11.1</v>
      </c>
      <c r="AJ2247" t="n">
        <v>48.14</v>
      </c>
    </row>
    <row r="2248">
      <c r="A2248" t="inlineStr">
        <is>
          <t>University of Sassari</t>
        </is>
      </c>
      <c r="B2248" t="inlineStr">
        <is>
          <t>Italy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>
        <is>
          <t>601–800</t>
        </is>
      </c>
      <c r="O2248" t="inlineStr">
        <is>
          <t>37.0–41.8</t>
        </is>
      </c>
      <c r="P2248" t="n">
        <v>31.1</v>
      </c>
      <c r="Q2248" t="n">
        <v>24.7</v>
      </c>
      <c r="R2248" t="n">
        <v>66.3</v>
      </c>
      <c r="S2248" t="n">
        <v>45.7</v>
      </c>
      <c r="T2248" t="n">
        <v>41.9</v>
      </c>
      <c r="U2248" t="inlineStr">
        <is>
          <t>15,207</t>
        </is>
      </c>
      <c r="V2248" t="n">
        <v>38.1</v>
      </c>
      <c r="W2248" t="inlineStr">
        <is>
          <t>2%</t>
        </is>
      </c>
      <c r="X2248" t="inlineStr">
        <is>
          <t>63 : 37</t>
        </is>
      </c>
      <c r="Y2248" t="inlineStr"/>
      <c r="Z2248" t="n">
        <v>601</v>
      </c>
      <c r="AA2248" t="n">
        <v>39.4</v>
      </c>
      <c r="AB2248" t="inlineStr">
        <is>
          <t>U2247</t>
        </is>
      </c>
      <c r="AC2248" t="inlineStr">
        <is>
          <t>IT</t>
        </is>
      </c>
      <c r="AD2248" t="n">
        <v>39.4</v>
      </c>
      <c r="AE2248" t="n">
        <v>66.3</v>
      </c>
      <c r="AF2248" t="n">
        <v>38.1</v>
      </c>
      <c r="AG2248" t="inlineStr">
        <is>
          <t>1:38.1</t>
        </is>
      </c>
      <c r="AH2248" t="inlineStr">
        <is>
          <t>2%</t>
        </is>
      </c>
      <c r="AI2248" t="inlineStr"/>
      <c r="AJ2248" t="n">
        <v>36.56</v>
      </c>
    </row>
    <row r="2249">
      <c r="A2249" t="inlineStr">
        <is>
          <t>University of Science and Technology Beijing</t>
        </is>
      </c>
      <c r="B2249" t="inlineStr">
        <is>
          <t>China</t>
        </is>
      </c>
      <c r="C2249" t="inlineStr">
        <is>
          <t>430</t>
        </is>
      </c>
      <c r="D2249" t="n">
        <v>27.7</v>
      </c>
      <c r="E2249" t="n">
        <v>11.8</v>
      </c>
      <c r="F2249" t="n">
        <v>4.2</v>
      </c>
      <c r="G2249" t="n">
        <v>10.2</v>
      </c>
      <c r="H2249" t="n">
        <v>99.40000000000001</v>
      </c>
      <c r="I2249" t="n">
        <v>3.1</v>
      </c>
      <c r="J2249" t="n">
        <v>2.8</v>
      </c>
      <c r="K2249" t="n">
        <v>56.8</v>
      </c>
      <c r="L2249" t="n">
        <v>4.9</v>
      </c>
      <c r="M2249" t="n">
        <v>3.6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n">
        <v>430</v>
      </c>
      <c r="Z2249" t="inlineStr"/>
      <c r="AA2249" t="inlineStr"/>
      <c r="AB2249" t="inlineStr">
        <is>
          <t>U2248</t>
        </is>
      </c>
      <c r="AC2249" t="inlineStr">
        <is>
          <t>CH</t>
        </is>
      </c>
      <c r="AD2249" t="n">
        <v>27.7</v>
      </c>
      <c r="AE2249" t="n">
        <v>99.40000000000001</v>
      </c>
      <c r="AF2249" t="inlineStr"/>
      <c r="AG2249" t="inlineStr"/>
      <c r="AH2249" t="inlineStr"/>
      <c r="AI2249" t="n">
        <v>11.8</v>
      </c>
      <c r="AJ2249" t="n">
        <v>43.51</v>
      </c>
    </row>
    <row r="2250">
      <c r="A2250" t="inlineStr">
        <is>
          <t>University of Science and Technology of China</t>
        </is>
      </c>
      <c r="B2250" t="inlineStr">
        <is>
          <t>China</t>
        </is>
      </c>
      <c r="C2250" t="inlineStr">
        <is>
          <t>133</t>
        </is>
      </c>
      <c r="D2250" t="n">
        <v>54.1</v>
      </c>
      <c r="E2250" t="n">
        <v>50</v>
      </c>
      <c r="F2250" t="n">
        <v>23.7</v>
      </c>
      <c r="G2250" t="n">
        <v>94.7</v>
      </c>
      <c r="H2250" t="n">
        <v>97.7</v>
      </c>
      <c r="I2250" t="n">
        <v>11.6</v>
      </c>
      <c r="J2250" t="n">
        <v>5.1</v>
      </c>
      <c r="K2250" t="n">
        <v>75.7</v>
      </c>
      <c r="L2250" t="n">
        <v>31.9</v>
      </c>
      <c r="M2250" t="n">
        <v>11.9</v>
      </c>
      <c r="N2250" t="inlineStr">
        <is>
          <t>57</t>
        </is>
      </c>
      <c r="O2250" t="inlineStr">
        <is>
          <t>74.8</t>
        </is>
      </c>
      <c r="P2250" t="n">
        <v>74.3</v>
      </c>
      <c r="Q2250" t="n">
        <v>66.3</v>
      </c>
      <c r="R2250" t="n">
        <v>88.2</v>
      </c>
      <c r="S2250" t="n">
        <v>95.59999999999999</v>
      </c>
      <c r="T2250" t="n">
        <v>45.4</v>
      </c>
      <c r="U2250" t="inlineStr">
        <is>
          <t>20,252</t>
        </is>
      </c>
      <c r="V2250" t="n">
        <v>8.1</v>
      </c>
      <c r="W2250" t="inlineStr">
        <is>
          <t>5%</t>
        </is>
      </c>
      <c r="X2250" t="inlineStr"/>
      <c r="Y2250" t="n">
        <v>133</v>
      </c>
      <c r="Z2250" t="n">
        <v>57</v>
      </c>
      <c r="AA2250" t="n">
        <v>74.8</v>
      </c>
      <c r="AB2250" t="inlineStr">
        <is>
          <t>U2249</t>
        </is>
      </c>
      <c r="AC2250" t="inlineStr">
        <is>
          <t>CH</t>
        </is>
      </c>
      <c r="AD2250" t="n">
        <v>54.1</v>
      </c>
      <c r="AE2250" t="n">
        <v>97.7</v>
      </c>
      <c r="AF2250" t="n">
        <v>8.1</v>
      </c>
      <c r="AG2250" t="inlineStr">
        <is>
          <t>1:8.1</t>
        </is>
      </c>
      <c r="AH2250" t="inlineStr">
        <is>
          <t>5%</t>
        </is>
      </c>
      <c r="AI2250" t="n">
        <v>50</v>
      </c>
      <c r="AJ2250" t="n">
        <v>68.73</v>
      </c>
    </row>
    <row r="2251">
      <c r="A2251" t="inlineStr">
        <is>
          <t>University of Science and Technology of Oran Mohamed-Boudiaf</t>
        </is>
      </c>
      <c r="B2251" t="inlineStr">
        <is>
          <t>Algeria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>
        <is>
          <t>1501+</t>
        </is>
      </c>
      <c r="O2251" t="inlineStr">
        <is>
          <t>9.7–22.7</t>
        </is>
      </c>
      <c r="P2251" t="n">
        <v>24.6</v>
      </c>
      <c r="Q2251" t="n">
        <v>7</v>
      </c>
      <c r="R2251" t="n">
        <v>9</v>
      </c>
      <c r="S2251" t="n">
        <v>17.3</v>
      </c>
      <c r="T2251" t="n">
        <v>32.4</v>
      </c>
      <c r="U2251" t="inlineStr">
        <is>
          <t>18,552</t>
        </is>
      </c>
      <c r="V2251" t="n">
        <v>9.6</v>
      </c>
      <c r="W2251" t="inlineStr">
        <is>
          <t>1%</t>
        </is>
      </c>
      <c r="X2251" t="inlineStr">
        <is>
          <t>50 : 50</t>
        </is>
      </c>
      <c r="Y2251" t="inlineStr"/>
      <c r="Z2251" t="n">
        <v>1501</v>
      </c>
      <c r="AA2251" t="n">
        <v>16.2</v>
      </c>
      <c r="AB2251" t="inlineStr">
        <is>
          <t>U2250</t>
        </is>
      </c>
      <c r="AC2251" t="inlineStr">
        <is>
          <t>AL</t>
        </is>
      </c>
      <c r="AD2251" t="n">
        <v>16.2</v>
      </c>
      <c r="AE2251" t="n">
        <v>9</v>
      </c>
      <c r="AF2251" t="n">
        <v>9.6</v>
      </c>
      <c r="AG2251" t="inlineStr">
        <is>
          <t>1:9.6</t>
        </is>
      </c>
      <c r="AH2251" t="inlineStr">
        <is>
          <t>1%</t>
        </is>
      </c>
      <c r="AI2251" t="inlineStr"/>
      <c r="AJ2251" t="n">
        <v>7.62</v>
      </c>
    </row>
    <row r="2252">
      <c r="A2252" t="inlineStr">
        <is>
          <t>University of Sciences and Technology Houari Boumediene</t>
        </is>
      </c>
      <c r="B2252" t="inlineStr">
        <is>
          <t>Algeria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>
        <is>
          <t>1501+</t>
        </is>
      </c>
      <c r="O2252" t="inlineStr">
        <is>
          <t>9.7–22.7</t>
        </is>
      </c>
      <c r="P2252" t="n">
        <v>17.8</v>
      </c>
      <c r="Q2252" t="n">
        <v>7.4</v>
      </c>
      <c r="R2252" t="n">
        <v>12.8</v>
      </c>
      <c r="S2252" t="n">
        <v>18.2</v>
      </c>
      <c r="T2252" t="n">
        <v>35.3</v>
      </c>
      <c r="U2252" t="inlineStr">
        <is>
          <t>39,136</t>
        </is>
      </c>
      <c r="V2252" t="n">
        <v>19.5</v>
      </c>
      <c r="W2252" t="inlineStr">
        <is>
          <t>0%</t>
        </is>
      </c>
      <c r="X2252" t="inlineStr">
        <is>
          <t>47 : 53</t>
        </is>
      </c>
      <c r="Y2252" t="inlineStr"/>
      <c r="Z2252" t="n">
        <v>1501</v>
      </c>
      <c r="AA2252" t="n">
        <v>16.2</v>
      </c>
      <c r="AB2252" t="inlineStr">
        <is>
          <t>U2251</t>
        </is>
      </c>
      <c r="AC2252" t="inlineStr">
        <is>
          <t>AL</t>
        </is>
      </c>
      <c r="AD2252" t="n">
        <v>16.2</v>
      </c>
      <c r="AE2252" t="n">
        <v>12.8</v>
      </c>
      <c r="AF2252" t="n">
        <v>19.5</v>
      </c>
      <c r="AG2252" t="inlineStr">
        <is>
          <t>1:19.5</t>
        </is>
      </c>
      <c r="AH2252" t="inlineStr">
        <is>
          <t>0%</t>
        </is>
      </c>
      <c r="AI2252" t="inlineStr"/>
      <c r="AJ2252" t="n">
        <v>9.69</v>
      </c>
    </row>
    <row r="2253">
      <c r="A2253" t="inlineStr">
        <is>
          <t xml:space="preserve">University of Seoul </t>
        </is>
      </c>
      <c r="B2253" t="inlineStr">
        <is>
          <t>South Korea</t>
        </is>
      </c>
      <c r="C2253" t="inlineStr">
        <is>
          <t>1001-1200</t>
        </is>
      </c>
      <c r="D2253" t="inlineStr"/>
      <c r="E2253" t="n">
        <v>11</v>
      </c>
      <c r="F2253" t="n">
        <v>9.699999999999999</v>
      </c>
      <c r="G2253" t="n">
        <v>36.7</v>
      </c>
      <c r="H2253" t="n">
        <v>8.800000000000001</v>
      </c>
      <c r="I2253" t="n">
        <v>5.5</v>
      </c>
      <c r="J2253" t="n">
        <v>6.9</v>
      </c>
      <c r="K2253" t="n">
        <v>24</v>
      </c>
      <c r="L2253" t="n">
        <v>5.3</v>
      </c>
      <c r="M2253" t="n">
        <v>4.9</v>
      </c>
      <c r="N2253" t="inlineStr">
        <is>
          <t>801–1000</t>
        </is>
      </c>
      <c r="O2253" t="inlineStr">
        <is>
          <t>32.7–36.9</t>
        </is>
      </c>
      <c r="P2253" t="n">
        <v>28.8</v>
      </c>
      <c r="Q2253" t="n">
        <v>26.1</v>
      </c>
      <c r="R2253" t="n">
        <v>41</v>
      </c>
      <c r="S2253" t="n">
        <v>52.1</v>
      </c>
      <c r="T2253" t="n">
        <v>34.9</v>
      </c>
      <c r="U2253" t="inlineStr">
        <is>
          <t>9,929</t>
        </is>
      </c>
      <c r="V2253" t="n">
        <v>14.4</v>
      </c>
      <c r="W2253" t="inlineStr">
        <is>
          <t>4%</t>
        </is>
      </c>
      <c r="X2253" t="inlineStr">
        <is>
          <t>42 : 58</t>
        </is>
      </c>
      <c r="Y2253" t="n">
        <v>1001</v>
      </c>
      <c r="Z2253" t="n">
        <v>801</v>
      </c>
      <c r="AA2253" t="n">
        <v>34.8</v>
      </c>
      <c r="AB2253" t="inlineStr">
        <is>
          <t>U2252</t>
        </is>
      </c>
      <c r="AC2253" t="inlineStr">
        <is>
          <t>SO</t>
        </is>
      </c>
      <c r="AD2253" t="n">
        <v>34.8</v>
      </c>
      <c r="AE2253" t="n">
        <v>8.800000000000001</v>
      </c>
      <c r="AF2253" t="n">
        <v>14.4</v>
      </c>
      <c r="AG2253" t="inlineStr">
        <is>
          <t>1:14.4</t>
        </is>
      </c>
      <c r="AH2253" t="inlineStr">
        <is>
          <t>4%</t>
        </is>
      </c>
      <c r="AI2253" t="n">
        <v>11</v>
      </c>
      <c r="AJ2253" t="n">
        <v>18.18</v>
      </c>
    </row>
    <row r="2254">
      <c r="A2254" t="inlineStr">
        <is>
          <t>University of Seville</t>
        </is>
      </c>
      <c r="B2254" t="inlineStr">
        <is>
          <t>Spain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>
        <is>
          <t>801–1000</t>
        </is>
      </c>
      <c r="O2254" t="inlineStr">
        <is>
          <t>32.7–36.9</t>
        </is>
      </c>
      <c r="P2254" t="n">
        <v>23.8</v>
      </c>
      <c r="Q2254" t="n">
        <v>24.5</v>
      </c>
      <c r="R2254" t="n">
        <v>53.6</v>
      </c>
      <c r="S2254" t="n">
        <v>50.8</v>
      </c>
      <c r="T2254" t="n">
        <v>44.6</v>
      </c>
      <c r="U2254" t="inlineStr">
        <is>
          <t>52,335</t>
        </is>
      </c>
      <c r="V2254" t="n">
        <v>16.7</v>
      </c>
      <c r="W2254" t="inlineStr">
        <is>
          <t>8%</t>
        </is>
      </c>
      <c r="X2254" t="inlineStr">
        <is>
          <t>55 : 45</t>
        </is>
      </c>
      <c r="Y2254" t="inlineStr"/>
      <c r="Z2254" t="n">
        <v>801</v>
      </c>
      <c r="AA2254" t="n">
        <v>34.8</v>
      </c>
      <c r="AB2254" t="inlineStr">
        <is>
          <t>U2253</t>
        </is>
      </c>
      <c r="AC2254" t="inlineStr">
        <is>
          <t>SP</t>
        </is>
      </c>
      <c r="AD2254" t="n">
        <v>34.8</v>
      </c>
      <c r="AE2254" t="n">
        <v>53.6</v>
      </c>
      <c r="AF2254" t="n">
        <v>16.7</v>
      </c>
      <c r="AG2254" t="inlineStr">
        <is>
          <t>1:16.7</t>
        </is>
      </c>
      <c r="AH2254" t="inlineStr">
        <is>
          <t>8%</t>
        </is>
      </c>
      <c r="AI2254" t="inlineStr"/>
      <c r="AJ2254" t="n">
        <v>33.26</v>
      </c>
    </row>
    <row r="2255">
      <c r="A2255" t="inlineStr">
        <is>
          <t>University of Sfax</t>
        </is>
      </c>
      <c r="B2255" t="inlineStr">
        <is>
          <t>Tunisia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>
        <is>
          <t>1001–1200</t>
        </is>
      </c>
      <c r="O2255" t="inlineStr">
        <is>
          <t>28.3–32.6</t>
        </is>
      </c>
      <c r="P2255" t="n">
        <v>33.7</v>
      </c>
      <c r="Q2255" t="n">
        <v>13.9</v>
      </c>
      <c r="R2255" t="n">
        <v>40.5</v>
      </c>
      <c r="S2255" t="n">
        <v>34.5</v>
      </c>
      <c r="T2255" t="n">
        <v>44.7</v>
      </c>
      <c r="U2255" t="inlineStr">
        <is>
          <t>30,597</t>
        </is>
      </c>
      <c r="V2255" t="n">
        <v>12.6</v>
      </c>
      <c r="W2255" t="inlineStr">
        <is>
          <t>3%</t>
        </is>
      </c>
      <c r="X2255" t="inlineStr">
        <is>
          <t>65 : 35</t>
        </is>
      </c>
      <c r="Y2255" t="inlineStr"/>
      <c r="Z2255" t="n">
        <v>1001</v>
      </c>
      <c r="AA2255" t="n">
        <v>30.45</v>
      </c>
      <c r="AB2255" t="inlineStr">
        <is>
          <t>U2254</t>
        </is>
      </c>
      <c r="AC2255" t="inlineStr">
        <is>
          <t>TU</t>
        </is>
      </c>
      <c r="AD2255" t="n">
        <v>30.45</v>
      </c>
      <c r="AE2255" t="n">
        <v>40.5</v>
      </c>
      <c r="AF2255" t="n">
        <v>12.6</v>
      </c>
      <c r="AG2255" t="inlineStr">
        <is>
          <t>1:12.6</t>
        </is>
      </c>
      <c r="AH2255" t="inlineStr">
        <is>
          <t>3%</t>
        </is>
      </c>
      <c r="AI2255" t="inlineStr"/>
      <c r="AJ2255" t="n">
        <v>23.76</v>
      </c>
    </row>
    <row r="2256">
      <c r="A2256" t="inlineStr">
        <is>
          <t>University of Shanghai for Science and Technology</t>
        </is>
      </c>
      <c r="B2256" t="inlineStr">
        <is>
          <t>China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>
        <is>
          <t>1201–1500</t>
        </is>
      </c>
      <c r="O2256" t="inlineStr">
        <is>
          <t>22.8–28.2</t>
        </is>
      </c>
      <c r="P2256" t="n">
        <v>23.1</v>
      </c>
      <c r="Q2256" t="n">
        <v>11.5</v>
      </c>
      <c r="R2256" t="n">
        <v>40.4</v>
      </c>
      <c r="S2256" t="n">
        <v>36.7</v>
      </c>
      <c r="T2256" t="n">
        <v>26.6</v>
      </c>
      <c r="U2256" t="inlineStr">
        <is>
          <t>26,472</t>
        </is>
      </c>
      <c r="V2256" t="n">
        <v>10.5</v>
      </c>
      <c r="W2256" t="inlineStr">
        <is>
          <t>2%</t>
        </is>
      </c>
      <c r="X2256" t="inlineStr">
        <is>
          <t>43 : 57</t>
        </is>
      </c>
      <c r="Y2256" t="inlineStr"/>
      <c r="Z2256" t="n">
        <v>1201</v>
      </c>
      <c r="AA2256" t="n">
        <v>25.5</v>
      </c>
      <c r="AB2256" t="inlineStr">
        <is>
          <t>U2255</t>
        </is>
      </c>
      <c r="AC2256" t="inlineStr">
        <is>
          <t>CH</t>
        </is>
      </c>
      <c r="AD2256" t="n">
        <v>25.5</v>
      </c>
      <c r="AE2256" t="n">
        <v>40.4</v>
      </c>
      <c r="AF2256" t="n">
        <v>10.5</v>
      </c>
      <c r="AG2256" t="inlineStr">
        <is>
          <t>1:10.5</t>
        </is>
      </c>
      <c r="AH2256" t="inlineStr">
        <is>
          <t>2%</t>
        </is>
      </c>
      <c r="AI2256" t="inlineStr"/>
      <c r="AJ2256" t="n">
        <v>18.1</v>
      </c>
    </row>
    <row r="2257">
      <c r="A2257" t="inlineStr">
        <is>
          <t>University of Sharjah</t>
        </is>
      </c>
      <c r="B2257" t="inlineStr">
        <is>
          <t>United Arab Emirates</t>
        </is>
      </c>
      <c r="C2257" t="inlineStr">
        <is>
          <t>434</t>
        </is>
      </c>
      <c r="D2257" t="n">
        <v>27.5</v>
      </c>
      <c r="E2257" t="n">
        <v>18.1</v>
      </c>
      <c r="F2257" t="n">
        <v>17.3</v>
      </c>
      <c r="G2257" t="n">
        <v>6</v>
      </c>
      <c r="H2257" t="n">
        <v>22</v>
      </c>
      <c r="I2257" t="n">
        <v>100</v>
      </c>
      <c r="J2257" t="n">
        <v>100</v>
      </c>
      <c r="K2257" t="n">
        <v>84.8</v>
      </c>
      <c r="L2257" t="n">
        <v>11.2</v>
      </c>
      <c r="M2257" t="n">
        <v>11.8</v>
      </c>
      <c r="N2257" t="inlineStr">
        <is>
          <t>351–400</t>
        </is>
      </c>
      <c r="O2257" t="inlineStr">
        <is>
          <t>49.1–51.0</t>
        </is>
      </c>
      <c r="P2257" t="n">
        <v>20.7</v>
      </c>
      <c r="Q2257" t="n">
        <v>25.7</v>
      </c>
      <c r="R2257" t="n">
        <v>93.8</v>
      </c>
      <c r="S2257" t="n">
        <v>29</v>
      </c>
      <c r="T2257" t="n">
        <v>98.8</v>
      </c>
      <c r="U2257" t="inlineStr">
        <is>
          <t>12,848</t>
        </is>
      </c>
      <c r="V2257" t="n">
        <v>18.9</v>
      </c>
      <c r="W2257" t="inlineStr">
        <is>
          <t>51%</t>
        </is>
      </c>
      <c r="X2257" t="inlineStr">
        <is>
          <t>67 : 33</t>
        </is>
      </c>
      <c r="Y2257" t="n">
        <v>434</v>
      </c>
      <c r="Z2257" t="n">
        <v>351</v>
      </c>
      <c r="AA2257" t="n">
        <v>50.05</v>
      </c>
      <c r="AB2257" t="inlineStr">
        <is>
          <t>U2256</t>
        </is>
      </c>
      <c r="AC2257" t="inlineStr">
        <is>
          <t>UN</t>
        </is>
      </c>
      <c r="AD2257" t="n">
        <v>27.5</v>
      </c>
      <c r="AE2257" t="n">
        <v>22</v>
      </c>
      <c r="AF2257" t="n">
        <v>18.9</v>
      </c>
      <c r="AG2257" t="inlineStr">
        <is>
          <t>1:18.9</t>
        </is>
      </c>
      <c r="AH2257" t="inlineStr">
        <is>
          <t>51%</t>
        </is>
      </c>
      <c r="AI2257" t="n">
        <v>18.1</v>
      </c>
      <c r="AJ2257" t="n">
        <v>37.42</v>
      </c>
    </row>
    <row r="2258">
      <c r="A2258" t="inlineStr">
        <is>
          <t>The University of Sheffield</t>
        </is>
      </c>
      <c r="B2258" t="inlineStr">
        <is>
          <t>United Kingdom</t>
        </is>
      </c>
      <c r="C2258" t="inlineStr">
        <is>
          <t>105</t>
        </is>
      </c>
      <c r="D2258" t="n">
        <v>59.1</v>
      </c>
      <c r="E2258" t="n">
        <v>58.3</v>
      </c>
      <c r="F2258" t="n">
        <v>48.7</v>
      </c>
      <c r="G2258" t="n">
        <v>52.5</v>
      </c>
      <c r="H2258" t="n">
        <v>43.9</v>
      </c>
      <c r="I2258" t="n">
        <v>83.3</v>
      </c>
      <c r="J2258" t="n">
        <v>96.8</v>
      </c>
      <c r="K2258" t="n">
        <v>95.8</v>
      </c>
      <c r="L2258" t="n">
        <v>33.8</v>
      </c>
      <c r="M2258" t="n">
        <v>97.7</v>
      </c>
      <c r="N2258" t="inlineStr">
        <is>
          <t>105</t>
        </is>
      </c>
      <c r="O2258" t="inlineStr">
        <is>
          <t>66.2</t>
        </is>
      </c>
      <c r="P2258" t="n">
        <v>48</v>
      </c>
      <c r="Q2258" t="n">
        <v>49.5</v>
      </c>
      <c r="R2258" t="n">
        <v>92.3</v>
      </c>
      <c r="S2258" t="n">
        <v>77.5</v>
      </c>
      <c r="T2258" t="n">
        <v>92</v>
      </c>
      <c r="U2258" t="inlineStr">
        <is>
          <t>27,860</t>
        </is>
      </c>
      <c r="V2258" t="n">
        <v>15.4</v>
      </c>
      <c r="W2258" t="inlineStr">
        <is>
          <t>40%</t>
        </is>
      </c>
      <c r="X2258" t="inlineStr">
        <is>
          <t>53 : 47</t>
        </is>
      </c>
      <c r="Y2258" t="n">
        <v>105</v>
      </c>
      <c r="Z2258" t="n">
        <v>105</v>
      </c>
      <c r="AA2258" t="n">
        <v>66.2</v>
      </c>
      <c r="AB2258" t="inlineStr">
        <is>
          <t>U2257</t>
        </is>
      </c>
      <c r="AC2258" t="inlineStr">
        <is>
          <t>UN</t>
        </is>
      </c>
      <c r="AD2258" t="n">
        <v>59.1</v>
      </c>
      <c r="AE2258" t="n">
        <v>43.9</v>
      </c>
      <c r="AF2258" t="n">
        <v>15.4</v>
      </c>
      <c r="AG2258" t="inlineStr">
        <is>
          <t>1:15.4</t>
        </is>
      </c>
      <c r="AH2258" t="inlineStr">
        <is>
          <t>40%</t>
        </is>
      </c>
      <c r="AI2258" t="n">
        <v>58.3</v>
      </c>
      <c r="AJ2258" t="n">
        <v>54.89</v>
      </c>
    </row>
    <row r="2259">
      <c r="A2259" t="inlineStr">
        <is>
          <t>University of Shizuoka</t>
        </is>
      </c>
      <c r="B2259" t="inlineStr">
        <is>
          <t>Japan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>
        <is>
          <t>1501+</t>
        </is>
      </c>
      <c r="O2259" t="inlineStr">
        <is>
          <t>9.7–22.7</t>
        </is>
      </c>
      <c r="P2259" t="n">
        <v>25.9</v>
      </c>
      <c r="Q2259" t="n">
        <v>12.9</v>
      </c>
      <c r="R2259" t="n">
        <v>15.2</v>
      </c>
      <c r="S2259" t="n">
        <v>58.9</v>
      </c>
      <c r="T2259" t="n">
        <v>26.5</v>
      </c>
      <c r="U2259" t="inlineStr">
        <is>
          <t>3,134</t>
        </is>
      </c>
      <c r="V2259" t="n">
        <v>11.5</v>
      </c>
      <c r="W2259" t="inlineStr">
        <is>
          <t>3%</t>
        </is>
      </c>
      <c r="X2259" t="inlineStr">
        <is>
          <t>61 : 39</t>
        </is>
      </c>
      <c r="Y2259" t="inlineStr"/>
      <c r="Z2259" t="n">
        <v>1501</v>
      </c>
      <c r="AA2259" t="n">
        <v>16.2</v>
      </c>
      <c r="AB2259" t="inlineStr">
        <is>
          <t>U2258</t>
        </is>
      </c>
      <c r="AC2259" t="inlineStr">
        <is>
          <t>JA</t>
        </is>
      </c>
      <c r="AD2259" t="n">
        <v>16.2</v>
      </c>
      <c r="AE2259" t="n">
        <v>15.2</v>
      </c>
      <c r="AF2259" t="n">
        <v>11.5</v>
      </c>
      <c r="AG2259" t="inlineStr">
        <is>
          <t>1:11.5</t>
        </is>
      </c>
      <c r="AH2259" t="inlineStr">
        <is>
          <t>3%</t>
        </is>
      </c>
      <c r="AI2259" t="inlineStr"/>
      <c r="AJ2259" t="n">
        <v>11.17</v>
      </c>
    </row>
    <row r="2260">
      <c r="A2260" t="inlineStr">
        <is>
          <t>University of Siegen</t>
        </is>
      </c>
      <c r="B2260" t="inlineStr">
        <is>
          <t>Germany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>
        <is>
          <t>601–800</t>
        </is>
      </c>
      <c r="O2260" t="inlineStr">
        <is>
          <t>37.0–41.8</t>
        </is>
      </c>
      <c r="P2260" t="n">
        <v>27.4</v>
      </c>
      <c r="Q2260" t="n">
        <v>26.9</v>
      </c>
      <c r="R2260" t="n">
        <v>60.7</v>
      </c>
      <c r="S2260" t="n">
        <v>46.2</v>
      </c>
      <c r="T2260" t="n">
        <v>62.7</v>
      </c>
      <c r="U2260" t="inlineStr">
        <is>
          <t>13,856</t>
        </is>
      </c>
      <c r="V2260" t="n">
        <v>29.9</v>
      </c>
      <c r="W2260" t="inlineStr">
        <is>
          <t>13%</t>
        </is>
      </c>
      <c r="X2260" t="inlineStr">
        <is>
          <t>56 : 44</t>
        </is>
      </c>
      <c r="Y2260" t="inlineStr"/>
      <c r="Z2260" t="n">
        <v>601</v>
      </c>
      <c r="AA2260" t="n">
        <v>39.4</v>
      </c>
      <c r="AB2260" t="inlineStr">
        <is>
          <t>U2259</t>
        </is>
      </c>
      <c r="AC2260" t="inlineStr">
        <is>
          <t>GE</t>
        </is>
      </c>
      <c r="AD2260" t="n">
        <v>39.4</v>
      </c>
      <c r="AE2260" t="n">
        <v>60.7</v>
      </c>
      <c r="AF2260" t="n">
        <v>29.9</v>
      </c>
      <c r="AG2260" t="inlineStr">
        <is>
          <t>1:29.9</t>
        </is>
      </c>
      <c r="AH2260" t="inlineStr">
        <is>
          <t>13%</t>
        </is>
      </c>
      <c r="AI2260" t="inlineStr"/>
      <c r="AJ2260" t="n">
        <v>41.05</v>
      </c>
    </row>
    <row r="2261">
      <c r="A2261" t="inlineStr">
        <is>
          <t>University of Siena</t>
        </is>
      </c>
      <c r="B2261" t="inlineStr">
        <is>
          <t>Italy</t>
        </is>
      </c>
      <c r="C2261" t="inlineStr">
        <is>
          <t>691-700</t>
        </is>
      </c>
      <c r="D2261" t="inlineStr"/>
      <c r="E2261" t="n">
        <v>13.6</v>
      </c>
      <c r="F2261" t="n">
        <v>3.5</v>
      </c>
      <c r="G2261" t="n">
        <v>9.699999999999999</v>
      </c>
      <c r="H2261" t="n">
        <v>40.4</v>
      </c>
      <c r="I2261" t="n">
        <v>2.9</v>
      </c>
      <c r="J2261" t="n">
        <v>10.8</v>
      </c>
      <c r="K2261" t="n">
        <v>61</v>
      </c>
      <c r="L2261" t="n">
        <v>9.300000000000001</v>
      </c>
      <c r="M2261" t="n">
        <v>27.9</v>
      </c>
      <c r="N2261" t="inlineStr">
        <is>
          <t>501–600</t>
        </is>
      </c>
      <c r="O2261" t="inlineStr">
        <is>
          <t>41.9–45.3</t>
        </is>
      </c>
      <c r="P2261" t="n">
        <v>25</v>
      </c>
      <c r="Q2261" t="n">
        <v>25.6</v>
      </c>
      <c r="R2261" t="n">
        <v>75.90000000000001</v>
      </c>
      <c r="S2261" t="n">
        <v>74.90000000000001</v>
      </c>
      <c r="T2261" t="n">
        <v>48.7</v>
      </c>
      <c r="U2261" t="inlineStr">
        <is>
          <t>13,115</t>
        </is>
      </c>
      <c r="V2261" t="n">
        <v>18.1</v>
      </c>
      <c r="W2261" t="inlineStr">
        <is>
          <t>10%</t>
        </is>
      </c>
      <c r="X2261" t="inlineStr">
        <is>
          <t>63 : 37</t>
        </is>
      </c>
      <c r="Y2261" t="n">
        <v>691</v>
      </c>
      <c r="Z2261" t="n">
        <v>501</v>
      </c>
      <c r="AA2261" t="n">
        <v>43.59999999999999</v>
      </c>
      <c r="AB2261" t="inlineStr">
        <is>
          <t>U2260</t>
        </is>
      </c>
      <c r="AC2261" t="inlineStr">
        <is>
          <t>IT</t>
        </is>
      </c>
      <c r="AD2261" t="n">
        <v>43.59999999999999</v>
      </c>
      <c r="AE2261" t="n">
        <v>40.4</v>
      </c>
      <c r="AF2261" t="n">
        <v>18.1</v>
      </c>
      <c r="AG2261" t="inlineStr">
        <is>
          <t>1:18.1</t>
        </is>
      </c>
      <c r="AH2261" t="inlineStr">
        <is>
          <t>10%</t>
        </is>
      </c>
      <c r="AI2261" t="n">
        <v>13.6</v>
      </c>
      <c r="AJ2261" t="n">
        <v>30.83</v>
      </c>
    </row>
    <row r="2262">
      <c r="A2262" t="inlineStr">
        <is>
          <t>University of Silesia in Katowice</t>
        </is>
      </c>
      <c r="B2262" t="inlineStr">
        <is>
          <t>Poland</t>
        </is>
      </c>
      <c r="C2262" t="inlineStr">
        <is>
          <t>1201-1400</t>
        </is>
      </c>
      <c r="D2262" t="inlineStr"/>
      <c r="E2262" t="n">
        <v>5.4</v>
      </c>
      <c r="F2262" t="n">
        <v>4.2</v>
      </c>
      <c r="G2262" t="n">
        <v>20.3</v>
      </c>
      <c r="H2262" t="n">
        <v>3.1</v>
      </c>
      <c r="I2262" t="n">
        <v>3.5</v>
      </c>
      <c r="J2262" t="n">
        <v>3.9</v>
      </c>
      <c r="K2262" t="n">
        <v>52.5</v>
      </c>
      <c r="L2262" t="n">
        <v>7.4</v>
      </c>
      <c r="M2262" t="n">
        <v>2.4</v>
      </c>
      <c r="N2262" t="inlineStr">
        <is>
          <t>1501+</t>
        </is>
      </c>
      <c r="O2262" t="inlineStr">
        <is>
          <t>9.7–22.7</t>
        </is>
      </c>
      <c r="P2262" t="n">
        <v>23.2</v>
      </c>
      <c r="Q2262" t="n">
        <v>13.5</v>
      </c>
      <c r="R2262" t="n">
        <v>23.4</v>
      </c>
      <c r="S2262" t="n">
        <v>21.8</v>
      </c>
      <c r="T2262" t="n">
        <v>29.7</v>
      </c>
      <c r="U2262" t="inlineStr">
        <is>
          <t>19,222</t>
        </is>
      </c>
      <c r="V2262" t="n">
        <v>11.6</v>
      </c>
      <c r="W2262" t="inlineStr">
        <is>
          <t>4%</t>
        </is>
      </c>
      <c r="X2262" t="inlineStr">
        <is>
          <t>67 : 33</t>
        </is>
      </c>
      <c r="Y2262" t="n">
        <v>1201</v>
      </c>
      <c r="Z2262" t="n">
        <v>1501</v>
      </c>
      <c r="AA2262" t="n">
        <v>16.2</v>
      </c>
      <c r="AB2262" t="inlineStr">
        <is>
          <t>U2261</t>
        </is>
      </c>
      <c r="AC2262" t="inlineStr">
        <is>
          <t>PO</t>
        </is>
      </c>
      <c r="AD2262" t="n">
        <v>16.2</v>
      </c>
      <c r="AE2262" t="n">
        <v>3.1</v>
      </c>
      <c r="AF2262" t="n">
        <v>11.6</v>
      </c>
      <c r="AG2262" t="inlineStr">
        <is>
          <t>1:11.6</t>
        </is>
      </c>
      <c r="AH2262" t="inlineStr">
        <is>
          <t>4%</t>
        </is>
      </c>
      <c r="AI2262" t="n">
        <v>5.4</v>
      </c>
      <c r="AJ2262" t="n">
        <v>8.59</v>
      </c>
    </row>
    <row r="2263">
      <c r="A2263" t="inlineStr">
        <is>
          <t>University of Sistan and Baluchestan</t>
        </is>
      </c>
      <c r="B2263" t="inlineStr">
        <is>
          <t>Iran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>
        <is>
          <t>1501+</t>
        </is>
      </c>
      <c r="O2263" t="inlineStr">
        <is>
          <t>9.7–22.7</t>
        </is>
      </c>
      <c r="P2263" t="n">
        <v>18.5</v>
      </c>
      <c r="Q2263" t="n">
        <v>11.4</v>
      </c>
      <c r="R2263" t="n">
        <v>26.4</v>
      </c>
      <c r="S2263" t="n">
        <v>22.9</v>
      </c>
      <c r="T2263" t="n">
        <v>22.7</v>
      </c>
      <c r="U2263" t="inlineStr">
        <is>
          <t>8,890</t>
        </is>
      </c>
      <c r="V2263" t="n">
        <v>19.6</v>
      </c>
      <c r="W2263" t="inlineStr">
        <is>
          <t>1%</t>
        </is>
      </c>
      <c r="X2263" t="inlineStr">
        <is>
          <t>58 : 42</t>
        </is>
      </c>
      <c r="Y2263" t="inlineStr"/>
      <c r="Z2263" t="n">
        <v>1501</v>
      </c>
      <c r="AA2263" t="n">
        <v>16.2</v>
      </c>
      <c r="AB2263" t="inlineStr">
        <is>
          <t>U2262</t>
        </is>
      </c>
      <c r="AC2263" t="inlineStr">
        <is>
          <t>IR</t>
        </is>
      </c>
      <c r="AD2263" t="n">
        <v>16.2</v>
      </c>
      <c r="AE2263" t="n">
        <v>26.4</v>
      </c>
      <c r="AF2263" t="n">
        <v>19.6</v>
      </c>
      <c r="AG2263" t="inlineStr">
        <is>
          <t>1:19.6</t>
        </is>
      </c>
      <c r="AH2263" t="inlineStr">
        <is>
          <t>1%</t>
        </is>
      </c>
      <c r="AI2263" t="inlineStr"/>
      <c r="AJ2263" t="n">
        <v>12.86</v>
      </c>
    </row>
    <row r="2264">
      <c r="A2264" t="inlineStr">
        <is>
          <t>University of Social Welfare and Rehabilitation Sciences</t>
        </is>
      </c>
      <c r="B2264" t="inlineStr">
        <is>
          <t>Iran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>
        <is>
          <t>1001–1200</t>
        </is>
      </c>
      <c r="O2264" t="inlineStr">
        <is>
          <t>28.3–32.6</t>
        </is>
      </c>
      <c r="P2264" t="n">
        <v>33.6</v>
      </c>
      <c r="Q2264" t="n">
        <v>19.9</v>
      </c>
      <c r="R2264" t="n">
        <v>33.6</v>
      </c>
      <c r="S2264" t="n">
        <v>27.9</v>
      </c>
      <c r="T2264" t="n">
        <v>34.9</v>
      </c>
      <c r="U2264" t="inlineStr">
        <is>
          <t>1,725</t>
        </is>
      </c>
      <c r="V2264" t="n">
        <v>10.8</v>
      </c>
      <c r="W2264" t="inlineStr">
        <is>
          <t>2%</t>
        </is>
      </c>
      <c r="X2264" t="inlineStr">
        <is>
          <t>70 : 30</t>
        </is>
      </c>
      <c r="Y2264" t="inlineStr"/>
      <c r="Z2264" t="n">
        <v>1001</v>
      </c>
      <c r="AA2264" t="n">
        <v>30.45</v>
      </c>
      <c r="AB2264" t="inlineStr">
        <is>
          <t>U2263</t>
        </is>
      </c>
      <c r="AC2264" t="inlineStr">
        <is>
          <t>IR</t>
        </is>
      </c>
      <c r="AD2264" t="n">
        <v>30.45</v>
      </c>
      <c r="AE2264" t="n">
        <v>33.6</v>
      </c>
      <c r="AF2264" t="n">
        <v>10.8</v>
      </c>
      <c r="AG2264" t="inlineStr">
        <is>
          <t>1:10.8</t>
        </is>
      </c>
      <c r="AH2264" t="inlineStr">
        <is>
          <t>2%</t>
        </is>
      </c>
      <c r="AI2264" t="inlineStr"/>
      <c r="AJ2264" t="n">
        <v>22.44</v>
      </c>
    </row>
    <row r="2265">
      <c r="A2265" t="inlineStr">
        <is>
          <t>University of Sonora</t>
        </is>
      </c>
      <c r="B2265" t="inlineStr">
        <is>
          <t>Mexico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>
        <is>
          <t>1501+</t>
        </is>
      </c>
      <c r="O2265" t="inlineStr">
        <is>
          <t>9.7–22.7</t>
        </is>
      </c>
      <c r="P2265" t="n">
        <v>13.6</v>
      </c>
      <c r="Q2265" t="n">
        <v>8.4</v>
      </c>
      <c r="R2265" t="n">
        <v>13.6</v>
      </c>
      <c r="S2265" t="n">
        <v>32.3</v>
      </c>
      <c r="T2265" t="n">
        <v>34.9</v>
      </c>
      <c r="U2265" t="inlineStr">
        <is>
          <t>34,176</t>
        </is>
      </c>
      <c r="V2265" t="n">
        <v>26</v>
      </c>
      <c r="W2265" t="inlineStr">
        <is>
          <t>1%</t>
        </is>
      </c>
      <c r="X2265" t="inlineStr">
        <is>
          <t>57 : 43</t>
        </is>
      </c>
      <c r="Y2265" t="inlineStr"/>
      <c r="Z2265" t="n">
        <v>1501</v>
      </c>
      <c r="AA2265" t="n">
        <v>16.2</v>
      </c>
      <c r="AB2265" t="inlineStr">
        <is>
          <t>U2264</t>
        </is>
      </c>
      <c r="AC2265" t="inlineStr">
        <is>
          <t>ME</t>
        </is>
      </c>
      <c r="AD2265" t="n">
        <v>16.2</v>
      </c>
      <c r="AE2265" t="n">
        <v>13.6</v>
      </c>
      <c r="AF2265" t="n">
        <v>26</v>
      </c>
      <c r="AG2265" t="inlineStr">
        <is>
          <t>1:26.0</t>
        </is>
      </c>
      <c r="AH2265" t="inlineStr">
        <is>
          <t>1%</t>
        </is>
      </c>
      <c r="AI2265" t="inlineStr"/>
      <c r="AJ2265" t="n">
        <v>10.36</v>
      </c>
    </row>
    <row r="2266">
      <c r="A2266" t="inlineStr">
        <is>
          <t>University of Sousse</t>
        </is>
      </c>
      <c r="B2266" t="inlineStr">
        <is>
          <t>Tunisia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>
        <is>
          <t>1201–1500</t>
        </is>
      </c>
      <c r="O2266" t="inlineStr">
        <is>
          <t>22.8–28.2</t>
        </is>
      </c>
      <c r="P2266" t="n">
        <v>30.3</v>
      </c>
      <c r="Q2266" t="n">
        <v>10.3</v>
      </c>
      <c r="R2266" t="n">
        <v>31.4</v>
      </c>
      <c r="S2266" t="n">
        <v>19.3</v>
      </c>
      <c r="T2266" t="n">
        <v>40.1</v>
      </c>
      <c r="U2266" t="inlineStr">
        <is>
          <t>25,887</t>
        </is>
      </c>
      <c r="V2266" t="n">
        <v>13.7</v>
      </c>
      <c r="W2266" t="inlineStr">
        <is>
          <t>2%</t>
        </is>
      </c>
      <c r="X2266" t="inlineStr">
        <is>
          <t>68 : 32</t>
        </is>
      </c>
      <c r="Y2266" t="inlineStr"/>
      <c r="Z2266" t="n">
        <v>1201</v>
      </c>
      <c r="AA2266" t="n">
        <v>25.5</v>
      </c>
      <c r="AB2266" t="inlineStr">
        <is>
          <t>U2265</t>
        </is>
      </c>
      <c r="AC2266" t="inlineStr">
        <is>
          <t>TU</t>
        </is>
      </c>
      <c r="AD2266" t="n">
        <v>25.5</v>
      </c>
      <c r="AE2266" t="n">
        <v>31.4</v>
      </c>
      <c r="AF2266" t="n">
        <v>13.7</v>
      </c>
      <c r="AG2266" t="inlineStr">
        <is>
          <t>1:13.7</t>
        </is>
      </c>
      <c r="AH2266" t="inlineStr">
        <is>
          <t>2%</t>
        </is>
      </c>
      <c r="AI2266" t="inlineStr"/>
      <c r="AJ2266" t="n">
        <v>18</v>
      </c>
    </row>
    <row r="2267">
      <c r="A2267" t="inlineStr">
        <is>
          <t>University of South Africa</t>
        </is>
      </c>
      <c r="B2267" t="inlineStr">
        <is>
          <t>South Africa</t>
        </is>
      </c>
      <c r="C2267" t="inlineStr">
        <is>
          <t>851-900</t>
        </is>
      </c>
      <c r="D2267" t="inlineStr"/>
      <c r="E2267" t="n">
        <v>10.6</v>
      </c>
      <c r="F2267" t="n">
        <v>7.2</v>
      </c>
      <c r="G2267" t="n">
        <v>1.1</v>
      </c>
      <c r="H2267" t="n">
        <v>7.3</v>
      </c>
      <c r="I2267" t="inlineStr"/>
      <c r="J2267" t="n">
        <v>7.3</v>
      </c>
      <c r="K2267" t="n">
        <v>91</v>
      </c>
      <c r="L2267" t="n">
        <v>92.8</v>
      </c>
      <c r="M2267" t="n">
        <v>3.1</v>
      </c>
      <c r="N2267" t="inlineStr">
        <is>
          <t>1001–1200</t>
        </is>
      </c>
      <c r="O2267" t="inlineStr">
        <is>
          <t>28.3–32.6</t>
        </is>
      </c>
      <c r="P2267" t="n">
        <v>24.7</v>
      </c>
      <c r="Q2267" t="n">
        <v>19.3</v>
      </c>
      <c r="R2267" t="n">
        <v>50.5</v>
      </c>
      <c r="S2267" t="n">
        <v>26</v>
      </c>
      <c r="T2267" t="n">
        <v>41.4</v>
      </c>
      <c r="U2267" t="inlineStr">
        <is>
          <t>198,816</t>
        </is>
      </c>
      <c r="V2267" t="n">
        <v>114.2</v>
      </c>
      <c r="W2267" t="inlineStr">
        <is>
          <t>3%</t>
        </is>
      </c>
      <c r="X2267" t="inlineStr">
        <is>
          <t>74 : 26</t>
        </is>
      </c>
      <c r="Y2267" t="n">
        <v>851</v>
      </c>
      <c r="Z2267" t="n">
        <v>1001</v>
      </c>
      <c r="AA2267" t="n">
        <v>30.45</v>
      </c>
      <c r="AB2267" t="inlineStr">
        <is>
          <t>U2266</t>
        </is>
      </c>
      <c r="AC2267" t="inlineStr">
        <is>
          <t>SO</t>
        </is>
      </c>
      <c r="AD2267" t="n">
        <v>30.45</v>
      </c>
      <c r="AE2267" t="n">
        <v>7.3</v>
      </c>
      <c r="AF2267" t="n">
        <v>114.2</v>
      </c>
      <c r="AG2267" t="inlineStr">
        <is>
          <t>1:114.2</t>
        </is>
      </c>
      <c r="AH2267" t="inlineStr">
        <is>
          <t>3%</t>
        </is>
      </c>
      <c r="AI2267" t="n">
        <v>10.6</v>
      </c>
      <c r="AJ2267" t="n">
        <v>15.73</v>
      </c>
    </row>
    <row r="2268">
      <c r="A2268" t="inlineStr">
        <is>
          <t>University of South Alabama (USA)</t>
        </is>
      </c>
      <c r="B2268" t="inlineStr">
        <is>
          <t>United States</t>
        </is>
      </c>
      <c r="C2268" t="inlineStr">
        <is>
          <t>1201-1400</t>
        </is>
      </c>
      <c r="D2268" t="inlineStr"/>
      <c r="E2268" t="n">
        <v>4.7</v>
      </c>
      <c r="F2268" t="n">
        <v>5.9</v>
      </c>
      <c r="G2268" t="n">
        <v>19</v>
      </c>
      <c r="H2268" t="n">
        <v>6.1</v>
      </c>
      <c r="I2268" t="inlineStr"/>
      <c r="J2268" t="n">
        <v>2.1</v>
      </c>
      <c r="K2268" t="n">
        <v>13.6</v>
      </c>
      <c r="L2268" t="n">
        <v>2.3</v>
      </c>
      <c r="M2268" t="n">
        <v>1.2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n">
        <v>1201</v>
      </c>
      <c r="Z2268" t="inlineStr"/>
      <c r="AA2268" t="inlineStr"/>
      <c r="AB2268" t="inlineStr">
        <is>
          <t>U2267</t>
        </is>
      </c>
      <c r="AC2268" t="inlineStr">
        <is>
          <t>UN</t>
        </is>
      </c>
      <c r="AD2268" t="inlineStr"/>
      <c r="AE2268" t="n">
        <v>6.1</v>
      </c>
      <c r="AF2268" t="inlineStr"/>
      <c r="AG2268" t="inlineStr"/>
      <c r="AH2268" t="inlineStr"/>
      <c r="AI2268" t="n">
        <v>4.7</v>
      </c>
      <c r="AJ2268" t="n">
        <v>15.24</v>
      </c>
    </row>
    <row r="2269">
      <c r="A2269" t="inlineStr">
        <is>
          <t>University of South Australia</t>
        </is>
      </c>
      <c r="B2269" t="inlineStr">
        <is>
          <t>Australia</t>
        </is>
      </c>
      <c r="C2269" t="inlineStr">
        <is>
          <t>340</t>
        </is>
      </c>
      <c r="D2269" t="n">
        <v>33.2</v>
      </c>
      <c r="E2269" t="n">
        <v>21.3</v>
      </c>
      <c r="F2269" t="n">
        <v>12.7</v>
      </c>
      <c r="G2269" t="n">
        <v>24.9</v>
      </c>
      <c r="H2269" t="n">
        <v>31.9</v>
      </c>
      <c r="I2269" t="n">
        <v>99.8</v>
      </c>
      <c r="J2269" t="n">
        <v>50.9</v>
      </c>
      <c r="K2269" t="n">
        <v>85.5</v>
      </c>
      <c r="L2269" t="n">
        <v>15.5</v>
      </c>
      <c r="M2269" t="n">
        <v>83.59999999999999</v>
      </c>
      <c r="N2269" t="inlineStr">
        <is>
          <t>301–350</t>
        </is>
      </c>
      <c r="O2269" t="inlineStr">
        <is>
          <t>51.1–53.0</t>
        </is>
      </c>
      <c r="P2269" t="n">
        <v>25</v>
      </c>
      <c r="Q2269" t="n">
        <v>36.8</v>
      </c>
      <c r="R2269" t="n">
        <v>82.5</v>
      </c>
      <c r="S2269" t="n">
        <v>98.3</v>
      </c>
      <c r="T2269" t="n">
        <v>83.5</v>
      </c>
      <c r="U2269" t="inlineStr">
        <is>
          <t>22,822</t>
        </is>
      </c>
      <c r="V2269" t="n">
        <v>30.2</v>
      </c>
      <c r="W2269" t="inlineStr">
        <is>
          <t>17%</t>
        </is>
      </c>
      <c r="X2269" t="inlineStr">
        <is>
          <t>60 : 40</t>
        </is>
      </c>
      <c r="Y2269" t="n">
        <v>340</v>
      </c>
      <c r="Z2269" t="n">
        <v>301</v>
      </c>
      <c r="AA2269" t="n">
        <v>52.05</v>
      </c>
      <c r="AB2269" t="inlineStr">
        <is>
          <t>U2268</t>
        </is>
      </c>
      <c r="AC2269" t="inlineStr">
        <is>
          <t>AU</t>
        </is>
      </c>
      <c r="AD2269" t="n">
        <v>33.2</v>
      </c>
      <c r="AE2269" t="n">
        <v>31.9</v>
      </c>
      <c r="AF2269" t="n">
        <v>30.2</v>
      </c>
      <c r="AG2269" t="inlineStr">
        <is>
          <t>1:30.2</t>
        </is>
      </c>
      <c r="AH2269" t="inlineStr">
        <is>
          <t>17%</t>
        </is>
      </c>
      <c r="AI2269" t="n">
        <v>21.3</v>
      </c>
      <c r="AJ2269" t="n">
        <v>42.54</v>
      </c>
    </row>
    <row r="2270">
      <c r="A2270" t="inlineStr">
        <is>
          <t>University of South Bohemia</t>
        </is>
      </c>
      <c r="B2270" t="inlineStr">
        <is>
          <t>Czech Republic</t>
        </is>
      </c>
      <c r="C2270" t="inlineStr">
        <is>
          <t>951-1000</t>
        </is>
      </c>
      <c r="D2270" t="inlineStr"/>
      <c r="E2270" t="n">
        <v>5.2</v>
      </c>
      <c r="F2270" t="n">
        <v>2.3</v>
      </c>
      <c r="G2270" t="n">
        <v>56</v>
      </c>
      <c r="H2270" t="n">
        <v>5.7</v>
      </c>
      <c r="I2270" t="n">
        <v>21.5</v>
      </c>
      <c r="J2270" t="n">
        <v>11.4</v>
      </c>
      <c r="K2270" t="n">
        <v>55.3</v>
      </c>
      <c r="L2270" t="n">
        <v>1.6</v>
      </c>
      <c r="M2270" t="n">
        <v>5.7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n">
        <v>951</v>
      </c>
      <c r="Z2270" t="inlineStr"/>
      <c r="AA2270" t="inlineStr"/>
      <c r="AB2270" t="inlineStr">
        <is>
          <t>U2269</t>
        </is>
      </c>
      <c r="AC2270" t="inlineStr">
        <is>
          <t>CZ</t>
        </is>
      </c>
      <c r="AD2270" t="inlineStr"/>
      <c r="AE2270" t="n">
        <v>5.7</v>
      </c>
      <c r="AF2270" t="inlineStr"/>
      <c r="AG2270" t="inlineStr"/>
      <c r="AH2270" t="inlineStr"/>
      <c r="AI2270" t="n">
        <v>5.2</v>
      </c>
      <c r="AJ2270" t="n">
        <v>15.12</v>
      </c>
    </row>
    <row r="2271">
      <c r="A2271" t="inlineStr">
        <is>
          <t>University of South Bohemia in České Budějovice</t>
        </is>
      </c>
      <c r="B2271" t="inlineStr">
        <is>
          <t>Czech Republic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>
        <is>
          <t>1001–1200</t>
        </is>
      </c>
      <c r="O2271" t="inlineStr">
        <is>
          <t>28.3–32.6</t>
        </is>
      </c>
      <c r="P2271" t="n">
        <v>21.4</v>
      </c>
      <c r="Q2271" t="n">
        <v>18.2</v>
      </c>
      <c r="R2271" t="n">
        <v>51</v>
      </c>
      <c r="S2271" t="n">
        <v>19.5</v>
      </c>
      <c r="T2271" t="n">
        <v>53</v>
      </c>
      <c r="U2271" t="inlineStr">
        <is>
          <t>9,131</t>
        </is>
      </c>
      <c r="V2271" t="n">
        <v>14.6</v>
      </c>
      <c r="W2271" t="inlineStr">
        <is>
          <t>7%</t>
        </is>
      </c>
      <c r="X2271" t="inlineStr">
        <is>
          <t>70 : 30</t>
        </is>
      </c>
      <c r="Y2271" t="inlineStr"/>
      <c r="Z2271" t="n">
        <v>1001</v>
      </c>
      <c r="AA2271" t="n">
        <v>30.45</v>
      </c>
      <c r="AB2271" t="inlineStr">
        <is>
          <t>U2270</t>
        </is>
      </c>
      <c r="AC2271" t="inlineStr">
        <is>
          <t>CZ</t>
        </is>
      </c>
      <c r="AD2271" t="n">
        <v>30.45</v>
      </c>
      <c r="AE2271" t="n">
        <v>51</v>
      </c>
      <c r="AF2271" t="n">
        <v>14.6</v>
      </c>
      <c r="AG2271" t="inlineStr">
        <is>
          <t>1:14.6</t>
        </is>
      </c>
      <c r="AH2271" t="inlineStr">
        <is>
          <t>7%</t>
        </is>
      </c>
      <c r="AI2271" t="inlineStr"/>
      <c r="AJ2271" t="n">
        <v>31.2</v>
      </c>
    </row>
    <row r="2272">
      <c r="A2272" t="inlineStr">
        <is>
          <t>University of South Carolina</t>
        </is>
      </c>
      <c r="B2272" t="inlineStr">
        <is>
          <t>United States</t>
        </is>
      </c>
      <c r="C2272" t="inlineStr">
        <is>
          <t>601-610</t>
        </is>
      </c>
      <c r="D2272" t="inlineStr"/>
      <c r="E2272" t="n">
        <v>13.8</v>
      </c>
      <c r="F2272" t="n">
        <v>9.4</v>
      </c>
      <c r="G2272" t="n">
        <v>9.699999999999999</v>
      </c>
      <c r="H2272" t="n">
        <v>28.3</v>
      </c>
      <c r="I2272" t="n">
        <v>30.4</v>
      </c>
      <c r="J2272" t="n">
        <v>3.2</v>
      </c>
      <c r="K2272" t="n">
        <v>71.90000000000001</v>
      </c>
      <c r="L2272" t="n">
        <v>17.3</v>
      </c>
      <c r="M2272" t="n">
        <v>63.1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n">
        <v>601</v>
      </c>
      <c r="Z2272" t="inlineStr"/>
      <c r="AA2272" t="inlineStr"/>
      <c r="AB2272" t="inlineStr">
        <is>
          <t>U2271</t>
        </is>
      </c>
      <c r="AC2272" t="inlineStr">
        <is>
          <t>UN</t>
        </is>
      </c>
      <c r="AD2272" t="inlineStr"/>
      <c r="AE2272" t="n">
        <v>28.3</v>
      </c>
      <c r="AF2272" t="inlineStr"/>
      <c r="AG2272" t="inlineStr"/>
      <c r="AH2272" t="inlineStr"/>
      <c r="AI2272" t="n">
        <v>13.8</v>
      </c>
      <c r="AJ2272" t="n">
        <v>21.96</v>
      </c>
    </row>
    <row r="2273">
      <c r="A2273" t="inlineStr">
        <is>
          <t>University of South Carolina-Columbia</t>
        </is>
      </c>
      <c r="B2273" t="inlineStr">
        <is>
          <t>United States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>
        <is>
          <t>401–500</t>
        </is>
      </c>
      <c r="O2273" t="inlineStr">
        <is>
          <t>45.4–49.0</t>
        </is>
      </c>
      <c r="P2273" t="n">
        <v>35.9</v>
      </c>
      <c r="Q2273" t="n">
        <v>24.6</v>
      </c>
      <c r="R2273" t="n">
        <v>75.09999999999999</v>
      </c>
      <c r="S2273" t="n">
        <v>63.4</v>
      </c>
      <c r="T2273" t="n">
        <v>59.2</v>
      </c>
      <c r="U2273" t="inlineStr">
        <is>
          <t>32,770</t>
        </is>
      </c>
      <c r="V2273" t="n">
        <v>16.9</v>
      </c>
      <c r="W2273" t="inlineStr">
        <is>
          <t>5%</t>
        </is>
      </c>
      <c r="X2273" t="inlineStr">
        <is>
          <t>56 : 44</t>
        </is>
      </c>
      <c r="Y2273" t="inlineStr"/>
      <c r="Z2273" t="n">
        <v>401</v>
      </c>
      <c r="AA2273" t="n">
        <v>47.2</v>
      </c>
      <c r="AB2273" t="inlineStr">
        <is>
          <t>U2272</t>
        </is>
      </c>
      <c r="AC2273" t="inlineStr">
        <is>
          <t>UN</t>
        </is>
      </c>
      <c r="AD2273" t="n">
        <v>47.2</v>
      </c>
      <c r="AE2273" t="n">
        <v>75.09999999999999</v>
      </c>
      <c r="AF2273" t="n">
        <v>16.9</v>
      </c>
      <c r="AG2273" t="inlineStr">
        <is>
          <t>1:16.9</t>
        </is>
      </c>
      <c r="AH2273" t="inlineStr">
        <is>
          <t>5%</t>
        </is>
      </c>
      <c r="AI2273" t="inlineStr"/>
      <c r="AJ2273" t="n">
        <v>43.36</v>
      </c>
    </row>
    <row r="2274">
      <c r="A2274" t="inlineStr">
        <is>
          <t>University of South China</t>
        </is>
      </c>
      <c r="B2274" t="inlineStr">
        <is>
          <t>China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>
        <is>
          <t>1201–1500</t>
        </is>
      </c>
      <c r="O2274" t="inlineStr">
        <is>
          <t>22.8–28.2</t>
        </is>
      </c>
      <c r="P2274" t="n">
        <v>26.8</v>
      </c>
      <c r="Q2274" t="n">
        <v>13.9</v>
      </c>
      <c r="R2274" t="n">
        <v>27.7</v>
      </c>
      <c r="S2274" t="n">
        <v>30.6</v>
      </c>
      <c r="T2274" t="n">
        <v>22.3</v>
      </c>
      <c r="U2274" t="inlineStr">
        <is>
          <t>28,160</t>
        </is>
      </c>
      <c r="V2274" t="n">
        <v>7.4</v>
      </c>
      <c r="W2274" t="inlineStr">
        <is>
          <t>2%</t>
        </is>
      </c>
      <c r="X2274" t="inlineStr">
        <is>
          <t>38 : 62</t>
        </is>
      </c>
      <c r="Y2274" t="inlineStr"/>
      <c r="Z2274" t="n">
        <v>1201</v>
      </c>
      <c r="AA2274" t="n">
        <v>25.5</v>
      </c>
      <c r="AB2274" t="inlineStr">
        <is>
          <t>U2273</t>
        </is>
      </c>
      <c r="AC2274" t="inlineStr">
        <is>
          <t>CH</t>
        </is>
      </c>
      <c r="AD2274" t="n">
        <v>25.5</v>
      </c>
      <c r="AE2274" t="n">
        <v>27.7</v>
      </c>
      <c r="AF2274" t="n">
        <v>7.4</v>
      </c>
      <c r="AG2274" t="inlineStr">
        <is>
          <t>1:7.4</t>
        </is>
      </c>
      <c r="AH2274" t="inlineStr">
        <is>
          <t>2%</t>
        </is>
      </c>
      <c r="AI2274" t="inlineStr"/>
      <c r="AJ2274" t="n">
        <v>14.46</v>
      </c>
    </row>
    <row r="2275">
      <c r="A2275" t="inlineStr">
        <is>
          <t>University of South Dakota</t>
        </is>
      </c>
      <c r="B2275" t="inlineStr">
        <is>
          <t>United States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>
        <is>
          <t>1001–1200</t>
        </is>
      </c>
      <c r="O2275" t="inlineStr">
        <is>
          <t>28.3–32.6</t>
        </is>
      </c>
      <c r="P2275" t="n">
        <v>34.5</v>
      </c>
      <c r="Q2275" t="n">
        <v>15.9</v>
      </c>
      <c r="R2275" t="n">
        <v>33.6</v>
      </c>
      <c r="S2275" t="n">
        <v>36</v>
      </c>
      <c r="T2275" t="n">
        <v>29.6</v>
      </c>
      <c r="U2275" t="inlineStr">
        <is>
          <t>6,909</t>
        </is>
      </c>
      <c r="V2275" t="n">
        <v>16</v>
      </c>
      <c r="W2275" t="inlineStr">
        <is>
          <t>3%</t>
        </is>
      </c>
      <c r="X2275" t="inlineStr">
        <is>
          <t>63 : 37</t>
        </is>
      </c>
      <c r="Y2275" t="inlineStr"/>
      <c r="Z2275" t="n">
        <v>1001</v>
      </c>
      <c r="AA2275" t="n">
        <v>30.45</v>
      </c>
      <c r="AB2275" t="inlineStr">
        <is>
          <t>U2274</t>
        </is>
      </c>
      <c r="AC2275" t="inlineStr">
        <is>
          <t>UN</t>
        </is>
      </c>
      <c r="AD2275" t="n">
        <v>30.45</v>
      </c>
      <c r="AE2275" t="n">
        <v>33.6</v>
      </c>
      <c r="AF2275" t="n">
        <v>16</v>
      </c>
      <c r="AG2275" t="inlineStr">
        <is>
          <t>1:16.0</t>
        </is>
      </c>
      <c r="AH2275" t="inlineStr">
        <is>
          <t>3%</t>
        </is>
      </c>
      <c r="AI2275" t="inlineStr"/>
      <c r="AJ2275" t="n">
        <v>19.07</v>
      </c>
    </row>
    <row r="2276">
      <c r="A2276" t="inlineStr">
        <is>
          <t>University of South Florida</t>
        </is>
      </c>
      <c r="B2276" t="inlineStr">
        <is>
          <t>United States</t>
        </is>
      </c>
      <c r="C2276" t="inlineStr">
        <is>
          <t>621-630</t>
        </is>
      </c>
      <c r="D2276" t="inlineStr"/>
      <c r="E2276" t="n">
        <v>12.9</v>
      </c>
      <c r="F2276" t="n">
        <v>9.5</v>
      </c>
      <c r="G2276" t="n">
        <v>8.800000000000001</v>
      </c>
      <c r="H2276" t="n">
        <v>36.3</v>
      </c>
      <c r="I2276" t="n">
        <v>19.9</v>
      </c>
      <c r="J2276" t="n">
        <v>22.2</v>
      </c>
      <c r="K2276" t="n">
        <v>86.7</v>
      </c>
      <c r="L2276" t="n">
        <v>6.1</v>
      </c>
      <c r="M2276" t="n">
        <v>15.9</v>
      </c>
      <c r="N2276" t="inlineStr">
        <is>
          <t>251–300</t>
        </is>
      </c>
      <c r="O2276" t="inlineStr">
        <is>
          <t>53.1–55.8</t>
        </is>
      </c>
      <c r="P2276" t="n">
        <v>31.7</v>
      </c>
      <c r="Q2276" t="n">
        <v>36.4</v>
      </c>
      <c r="R2276" t="n">
        <v>87.59999999999999</v>
      </c>
      <c r="S2276" t="n">
        <v>99.90000000000001</v>
      </c>
      <c r="T2276" t="n">
        <v>66.7</v>
      </c>
      <c r="U2276" t="inlineStr">
        <is>
          <t>40,379</t>
        </is>
      </c>
      <c r="V2276" t="n">
        <v>19</v>
      </c>
      <c r="W2276" t="inlineStr">
        <is>
          <t>13%</t>
        </is>
      </c>
      <c r="X2276" t="inlineStr"/>
      <c r="Y2276" t="n">
        <v>621</v>
      </c>
      <c r="Z2276" t="n">
        <v>251</v>
      </c>
      <c r="AA2276" t="n">
        <v>54.45</v>
      </c>
      <c r="AB2276" t="inlineStr">
        <is>
          <t>U2275</t>
        </is>
      </c>
      <c r="AC2276" t="inlineStr">
        <is>
          <t>UN</t>
        </is>
      </c>
      <c r="AD2276" t="n">
        <v>54.45</v>
      </c>
      <c r="AE2276" t="n">
        <v>36.3</v>
      </c>
      <c r="AF2276" t="n">
        <v>19</v>
      </c>
      <c r="AG2276" t="inlineStr">
        <is>
          <t>1:19.0</t>
        </is>
      </c>
      <c r="AH2276" t="inlineStr">
        <is>
          <t>13%</t>
        </is>
      </c>
      <c r="AI2276" t="n">
        <v>12.9</v>
      </c>
      <c r="AJ2276" t="n">
        <v>39.6</v>
      </c>
    </row>
    <row r="2277">
      <c r="A2277" t="inlineStr">
        <is>
          <t>University of South Wales</t>
        </is>
      </c>
      <c r="B2277" t="inlineStr">
        <is>
          <t>United Kingdom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>
        <is>
          <t>1001–1200</t>
        </is>
      </c>
      <c r="O2277" t="inlineStr">
        <is>
          <t>28.3–32.6</t>
        </is>
      </c>
      <c r="P2277" t="n">
        <v>18.3</v>
      </c>
      <c r="Q2277" t="n">
        <v>11.8</v>
      </c>
      <c r="R2277" t="n">
        <v>42</v>
      </c>
      <c r="S2277" t="n">
        <v>56.5</v>
      </c>
      <c r="T2277" t="n">
        <v>77.2</v>
      </c>
      <c r="U2277" t="inlineStr">
        <is>
          <t>15,780</t>
        </is>
      </c>
      <c r="V2277" t="n">
        <v>16</v>
      </c>
      <c r="W2277" t="inlineStr">
        <is>
          <t>21%</t>
        </is>
      </c>
      <c r="X2277" t="inlineStr">
        <is>
          <t>53 : 47</t>
        </is>
      </c>
      <c r="Y2277" t="inlineStr"/>
      <c r="Z2277" t="n">
        <v>1001</v>
      </c>
      <c r="AA2277" t="n">
        <v>30.45</v>
      </c>
      <c r="AB2277" t="inlineStr">
        <is>
          <t>U2276</t>
        </is>
      </c>
      <c r="AC2277" t="inlineStr">
        <is>
          <t>UN</t>
        </is>
      </c>
      <c r="AD2277" t="n">
        <v>30.45</v>
      </c>
      <c r="AE2277" t="n">
        <v>42</v>
      </c>
      <c r="AF2277" t="n">
        <v>16</v>
      </c>
      <c r="AG2277" t="inlineStr">
        <is>
          <t>1:16.0</t>
        </is>
      </c>
      <c r="AH2277" t="inlineStr">
        <is>
          <t>21%</t>
        </is>
      </c>
      <c r="AI2277" t="inlineStr"/>
      <c r="AJ2277" t="n">
        <v>30.97</v>
      </c>
    </row>
    <row r="2278">
      <c r="A2278" t="inlineStr">
        <is>
          <t>University of Southampton</t>
        </is>
      </c>
      <c r="B2278" t="inlineStr">
        <is>
          <t>United Kingdom</t>
        </is>
      </c>
      <c r="C2278" t="inlineStr">
        <is>
          <t>80</t>
        </is>
      </c>
      <c r="D2278" t="n">
        <v>64.09999999999999</v>
      </c>
      <c r="E2278" t="n">
        <v>50.1</v>
      </c>
      <c r="F2278" t="n">
        <v>44.3</v>
      </c>
      <c r="G2278" t="n">
        <v>40.7</v>
      </c>
      <c r="H2278" t="n">
        <v>83.40000000000001</v>
      </c>
      <c r="I2278" t="n">
        <v>92.5</v>
      </c>
      <c r="J2278" t="n">
        <v>98</v>
      </c>
      <c r="K2278" t="n">
        <v>97.09999999999999</v>
      </c>
      <c r="L2278" t="n">
        <v>49.2</v>
      </c>
      <c r="M2278" t="n">
        <v>96.90000000000001</v>
      </c>
      <c r="N2278">
        <f>97</f>
        <v/>
      </c>
      <c r="O2278" t="inlineStr">
        <is>
          <t>66.9</t>
        </is>
      </c>
      <c r="P2278" t="n">
        <v>48.9</v>
      </c>
      <c r="Q2278" t="n">
        <v>50.1</v>
      </c>
      <c r="R2278" t="n">
        <v>92.7</v>
      </c>
      <c r="S2278" t="n">
        <v>73.09999999999999</v>
      </c>
      <c r="T2278" t="n">
        <v>96.5</v>
      </c>
      <c r="U2278" t="inlineStr">
        <is>
          <t>19,920</t>
        </is>
      </c>
      <c r="V2278" t="n">
        <v>13</v>
      </c>
      <c r="W2278" t="inlineStr">
        <is>
          <t>35%</t>
        </is>
      </c>
      <c r="X2278" t="inlineStr">
        <is>
          <t>51 : 49</t>
        </is>
      </c>
      <c r="Y2278" t="n">
        <v>80</v>
      </c>
      <c r="Z2278" t="n">
        <v>97</v>
      </c>
      <c r="AA2278" t="n">
        <v>66.90000000000001</v>
      </c>
      <c r="AB2278" t="inlineStr">
        <is>
          <t>U2277</t>
        </is>
      </c>
      <c r="AC2278" t="inlineStr">
        <is>
          <t>UN</t>
        </is>
      </c>
      <c r="AD2278" t="n">
        <v>64.09999999999999</v>
      </c>
      <c r="AE2278" t="n">
        <v>83.40000000000001</v>
      </c>
      <c r="AF2278" t="n">
        <v>13</v>
      </c>
      <c r="AG2278" t="inlineStr">
        <is>
          <t>1:13.0</t>
        </is>
      </c>
      <c r="AH2278" t="inlineStr">
        <is>
          <t>35%</t>
        </is>
      </c>
      <c r="AI2278" t="n">
        <v>50.1</v>
      </c>
      <c r="AJ2278" t="n">
        <v>68.26000000000001</v>
      </c>
    </row>
    <row r="2279">
      <c r="A2279" t="inlineStr">
        <is>
          <t>University of Southern California</t>
        </is>
      </c>
      <c r="B2279" t="inlineStr">
        <is>
          <t>United States</t>
        </is>
      </c>
      <c r="C2279" t="inlineStr">
        <is>
          <t>125</t>
        </is>
      </c>
      <c r="D2279" t="n">
        <v>55.2</v>
      </c>
      <c r="E2279" t="n">
        <v>50.4</v>
      </c>
      <c r="F2279" t="n">
        <v>54.5</v>
      </c>
      <c r="G2279" t="n">
        <v>17.3</v>
      </c>
      <c r="H2279" t="n">
        <v>58</v>
      </c>
      <c r="I2279" t="n">
        <v>26</v>
      </c>
      <c r="J2279" t="n">
        <v>74.09999999999999</v>
      </c>
      <c r="K2279" t="n">
        <v>85.8</v>
      </c>
      <c r="L2279" t="n">
        <v>92.59999999999999</v>
      </c>
      <c r="M2279" t="n">
        <v>97.7</v>
      </c>
      <c r="N2279" t="inlineStr">
        <is>
          <t>74</t>
        </is>
      </c>
      <c r="O2279" t="inlineStr">
        <is>
          <t>70.8</t>
        </is>
      </c>
      <c r="P2279" t="n">
        <v>59.2</v>
      </c>
      <c r="Q2279" t="n">
        <v>58.8</v>
      </c>
      <c r="R2279" t="n">
        <v>92.5</v>
      </c>
      <c r="S2279" t="n">
        <v>74.40000000000001</v>
      </c>
      <c r="T2279" t="n">
        <v>74.3</v>
      </c>
      <c r="U2279" t="inlineStr">
        <is>
          <t>44,083</t>
        </is>
      </c>
      <c r="V2279" t="n">
        <v>14.2</v>
      </c>
      <c r="W2279" t="inlineStr">
        <is>
          <t>24%</t>
        </is>
      </c>
      <c r="X2279" t="inlineStr">
        <is>
          <t>49 : 51</t>
        </is>
      </c>
      <c r="Y2279" t="n">
        <v>125</v>
      </c>
      <c r="Z2279" t="n">
        <v>74</v>
      </c>
      <c r="AA2279" t="n">
        <v>70.8</v>
      </c>
      <c r="AB2279" t="inlineStr">
        <is>
          <t>U2278</t>
        </is>
      </c>
      <c r="AC2279" t="inlineStr">
        <is>
          <t>UN</t>
        </is>
      </c>
      <c r="AD2279" t="n">
        <v>55.2</v>
      </c>
      <c r="AE2279" t="n">
        <v>58</v>
      </c>
      <c r="AF2279" t="n">
        <v>14.2</v>
      </c>
      <c r="AG2279" t="inlineStr">
        <is>
          <t>1:14.2</t>
        </is>
      </c>
      <c r="AH2279" t="inlineStr">
        <is>
          <t>24%</t>
        </is>
      </c>
      <c r="AI2279" t="n">
        <v>50.4</v>
      </c>
      <c r="AJ2279" t="n">
        <v>59.75</v>
      </c>
    </row>
    <row r="2280">
      <c r="A2280" t="inlineStr">
        <is>
          <t>University of Southern Denmark (SDU)</t>
        </is>
      </c>
      <c r="B2280" t="inlineStr">
        <is>
          <t>Denmark</t>
        </is>
      </c>
      <c r="C2280" t="inlineStr">
        <is>
          <t>324</t>
        </is>
      </c>
      <c r="D2280" t="n">
        <v>34.1</v>
      </c>
      <c r="E2280" t="n">
        <v>20.2</v>
      </c>
      <c r="F2280" t="n">
        <v>15.9</v>
      </c>
      <c r="G2280" t="n">
        <v>22.3</v>
      </c>
      <c r="H2280" t="n">
        <v>49.3</v>
      </c>
      <c r="I2280" t="n">
        <v>85.5</v>
      </c>
      <c r="J2280" t="n">
        <v>24.1</v>
      </c>
      <c r="K2280" t="n">
        <v>81.09999999999999</v>
      </c>
      <c r="L2280" t="n">
        <v>21.3</v>
      </c>
      <c r="M2280" t="n">
        <v>73.2</v>
      </c>
      <c r="N2280" t="inlineStr">
        <is>
          <t>251–300</t>
        </is>
      </c>
      <c r="O2280" t="inlineStr">
        <is>
          <t>53.1–55.8</t>
        </is>
      </c>
      <c r="P2280" t="n">
        <v>29.8</v>
      </c>
      <c r="Q2280" t="n">
        <v>33.5</v>
      </c>
      <c r="R2280" t="n">
        <v>89.09999999999999</v>
      </c>
      <c r="S2280" t="n">
        <v>91.5</v>
      </c>
      <c r="T2280" t="n">
        <v>76.90000000000001</v>
      </c>
      <c r="U2280" t="inlineStr">
        <is>
          <t>18,279</t>
        </is>
      </c>
      <c r="V2280" t="n">
        <v>9.9</v>
      </c>
      <c r="W2280" t="inlineStr">
        <is>
          <t>13%</t>
        </is>
      </c>
      <c r="X2280" t="inlineStr">
        <is>
          <t>52 : 48</t>
        </is>
      </c>
      <c r="Y2280" t="n">
        <v>324</v>
      </c>
      <c r="Z2280" t="n">
        <v>251</v>
      </c>
      <c r="AA2280" t="n">
        <v>54.45</v>
      </c>
      <c r="AB2280" t="inlineStr">
        <is>
          <t>U2279</t>
        </is>
      </c>
      <c r="AC2280" t="inlineStr">
        <is>
          <t>DE</t>
        </is>
      </c>
      <c r="AD2280" t="n">
        <v>34.1</v>
      </c>
      <c r="AE2280" t="n">
        <v>49.3</v>
      </c>
      <c r="AF2280" t="n">
        <v>9.9</v>
      </c>
      <c r="AG2280" t="inlineStr">
        <is>
          <t>1:9.9</t>
        </is>
      </c>
      <c r="AH2280" t="inlineStr">
        <is>
          <t>13%</t>
        </is>
      </c>
      <c r="AI2280" t="n">
        <v>20.2</v>
      </c>
      <c r="AJ2280" t="n">
        <v>44.49</v>
      </c>
    </row>
    <row r="2281">
      <c r="A2281" t="inlineStr">
        <is>
          <t xml:space="preserve">University of Southern Queensland </t>
        </is>
      </c>
      <c r="B2281" t="inlineStr">
        <is>
          <t>Australia</t>
        </is>
      </c>
      <c r="C2281" t="inlineStr">
        <is>
          <t>396</t>
        </is>
      </c>
      <c r="D2281" t="n">
        <v>29.7</v>
      </c>
      <c r="E2281" t="n">
        <v>8.800000000000001</v>
      </c>
      <c r="F2281" t="n">
        <v>5.7</v>
      </c>
      <c r="G2281" t="n">
        <v>4.8</v>
      </c>
      <c r="H2281" t="n">
        <v>73.09999999999999</v>
      </c>
      <c r="I2281" t="n">
        <v>84.09999999999999</v>
      </c>
      <c r="J2281" t="n">
        <v>23</v>
      </c>
      <c r="K2281" t="n">
        <v>81</v>
      </c>
      <c r="L2281" t="n">
        <v>8.6</v>
      </c>
      <c r="M2281" t="n">
        <v>43</v>
      </c>
      <c r="N2281" t="inlineStr">
        <is>
          <t>351–400</t>
        </is>
      </c>
      <c r="O2281" t="inlineStr">
        <is>
          <t>49.1–51.0</t>
        </is>
      </c>
      <c r="P2281" t="n">
        <v>28.4</v>
      </c>
      <c r="Q2281" t="n">
        <v>25.9</v>
      </c>
      <c r="R2281" t="n">
        <v>88</v>
      </c>
      <c r="S2281" t="n">
        <v>46.9</v>
      </c>
      <c r="T2281" t="n">
        <v>81.8</v>
      </c>
      <c r="U2281" t="inlineStr">
        <is>
          <t>11,650</t>
        </is>
      </c>
      <c r="V2281" t="n">
        <v>24.8</v>
      </c>
      <c r="W2281" t="inlineStr">
        <is>
          <t>15%</t>
        </is>
      </c>
      <c r="X2281" t="inlineStr">
        <is>
          <t>63 : 37</t>
        </is>
      </c>
      <c r="Y2281" t="n">
        <v>396</v>
      </c>
      <c r="Z2281" t="n">
        <v>351</v>
      </c>
      <c r="AA2281" t="n">
        <v>50.05</v>
      </c>
      <c r="AB2281" t="inlineStr">
        <is>
          <t>U2280</t>
        </is>
      </c>
      <c r="AC2281" t="inlineStr">
        <is>
          <t>AU</t>
        </is>
      </c>
      <c r="AD2281" t="n">
        <v>29.7</v>
      </c>
      <c r="AE2281" t="n">
        <v>73.09999999999999</v>
      </c>
      <c r="AF2281" t="n">
        <v>24.8</v>
      </c>
      <c r="AG2281" t="inlineStr">
        <is>
          <t>1:24.8</t>
        </is>
      </c>
      <c r="AH2281" t="inlineStr">
        <is>
          <t>15%</t>
        </is>
      </c>
      <c r="AI2281" t="n">
        <v>8.800000000000001</v>
      </c>
      <c r="AJ2281" t="n">
        <v>48.9</v>
      </c>
    </row>
    <row r="2282">
      <c r="A2282" t="inlineStr">
        <is>
          <t>University of Split</t>
        </is>
      </c>
      <c r="B2282" t="inlineStr">
        <is>
          <t>Croatia</t>
        </is>
      </c>
      <c r="C2282" t="inlineStr">
        <is>
          <t>1201-1400</t>
        </is>
      </c>
      <c r="D2282" t="inlineStr"/>
      <c r="E2282" t="n">
        <v>6.3</v>
      </c>
      <c r="F2282" t="n">
        <v>4</v>
      </c>
      <c r="G2282" t="n">
        <v>5</v>
      </c>
      <c r="H2282" t="n">
        <v>4.2</v>
      </c>
      <c r="I2282" t="n">
        <v>1.4</v>
      </c>
      <c r="J2282" t="n">
        <v>2</v>
      </c>
      <c r="K2282" t="n">
        <v>47.5</v>
      </c>
      <c r="L2282" t="n">
        <v>12.3</v>
      </c>
      <c r="M2282" t="n">
        <v>4.5</v>
      </c>
      <c r="N2282" t="inlineStr">
        <is>
          <t>1201–1500</t>
        </is>
      </c>
      <c r="O2282" t="inlineStr">
        <is>
          <t>22.8–28.2</t>
        </is>
      </c>
      <c r="P2282" t="n">
        <v>17.9</v>
      </c>
      <c r="Q2282" t="n">
        <v>13.9</v>
      </c>
      <c r="R2282" t="n">
        <v>49.1</v>
      </c>
      <c r="S2282" t="n">
        <v>23.1</v>
      </c>
      <c r="T2282" t="n">
        <v>36</v>
      </c>
      <c r="U2282" t="inlineStr">
        <is>
          <t>19,354</t>
        </is>
      </c>
      <c r="V2282" t="n">
        <v>15.7</v>
      </c>
      <c r="W2282" t="inlineStr">
        <is>
          <t>2%</t>
        </is>
      </c>
      <c r="X2282" t="inlineStr">
        <is>
          <t>58 : 42</t>
        </is>
      </c>
      <c r="Y2282" t="n">
        <v>1201</v>
      </c>
      <c r="Z2282" t="n">
        <v>1201</v>
      </c>
      <c r="AA2282" t="n">
        <v>25.5</v>
      </c>
      <c r="AB2282" t="inlineStr">
        <is>
          <t>U2281</t>
        </is>
      </c>
      <c r="AC2282" t="inlineStr">
        <is>
          <t>CR</t>
        </is>
      </c>
      <c r="AD2282" t="n">
        <v>25.5</v>
      </c>
      <c r="AE2282" t="n">
        <v>4.2</v>
      </c>
      <c r="AF2282" t="n">
        <v>15.7</v>
      </c>
      <c r="AG2282" t="inlineStr">
        <is>
          <t>1:15.7</t>
        </is>
      </c>
      <c r="AH2282" t="inlineStr">
        <is>
          <t>2%</t>
        </is>
      </c>
      <c r="AI2282" t="n">
        <v>6.3</v>
      </c>
      <c r="AJ2282" t="n">
        <v>10.66</v>
      </c>
    </row>
    <row r="2283">
      <c r="A2283" t="inlineStr">
        <is>
          <t>University of Sri Jayewardenepura</t>
        </is>
      </c>
      <c r="B2283" t="inlineStr">
        <is>
          <t>Sri Lanka</t>
        </is>
      </c>
      <c r="C2283" t="inlineStr">
        <is>
          <t>1201-1400</t>
        </is>
      </c>
      <c r="D2283" t="inlineStr"/>
      <c r="E2283" t="n">
        <v>6</v>
      </c>
      <c r="F2283" t="n">
        <v>10.4</v>
      </c>
      <c r="G2283" t="n">
        <v>4.5</v>
      </c>
      <c r="H2283" t="n">
        <v>3.3</v>
      </c>
      <c r="I2283" t="inlineStr"/>
      <c r="J2283" t="n">
        <v>1</v>
      </c>
      <c r="K2283" t="n">
        <v>14.1</v>
      </c>
      <c r="L2283" t="n">
        <v>11</v>
      </c>
      <c r="M2283" t="n">
        <v>1</v>
      </c>
      <c r="N2283" t="inlineStr">
        <is>
          <t>1501+</t>
        </is>
      </c>
      <c r="O2283" t="inlineStr">
        <is>
          <t>9.7–22.7</t>
        </is>
      </c>
      <c r="P2283" t="n">
        <v>13</v>
      </c>
      <c r="Q2283" t="n">
        <v>9</v>
      </c>
      <c r="R2283" t="n">
        <v>35.7</v>
      </c>
      <c r="S2283" t="n">
        <v>18.4</v>
      </c>
      <c r="T2283" t="n">
        <v>35.8</v>
      </c>
      <c r="U2283" t="inlineStr">
        <is>
          <t>17,629</t>
        </is>
      </c>
      <c r="V2283" t="n">
        <v>22.9</v>
      </c>
      <c r="W2283" t="inlineStr">
        <is>
          <t>0%</t>
        </is>
      </c>
      <c r="X2283" t="inlineStr">
        <is>
          <t>63 : 37</t>
        </is>
      </c>
      <c r="Y2283" t="n">
        <v>1201</v>
      </c>
      <c r="Z2283" t="n">
        <v>1501</v>
      </c>
      <c r="AA2283" t="n">
        <v>16.2</v>
      </c>
      <c r="AB2283" t="inlineStr">
        <is>
          <t>U2282</t>
        </is>
      </c>
      <c r="AC2283" t="inlineStr">
        <is>
          <t>SR</t>
        </is>
      </c>
      <c r="AD2283" t="n">
        <v>16.2</v>
      </c>
      <c r="AE2283" t="n">
        <v>3.3</v>
      </c>
      <c r="AF2283" t="n">
        <v>22.9</v>
      </c>
      <c r="AG2283" t="inlineStr">
        <is>
          <t>1:22.9</t>
        </is>
      </c>
      <c r="AH2283" t="inlineStr">
        <is>
          <t>0%</t>
        </is>
      </c>
      <c r="AI2283" t="n">
        <v>6</v>
      </c>
      <c r="AJ2283" t="n">
        <v>7.77</v>
      </c>
    </row>
    <row r="2284">
      <c r="A2284" t="inlineStr">
        <is>
          <t>University of St Andrews</t>
        </is>
      </c>
      <c r="B2284" t="inlineStr">
        <is>
          <t>United Kingdom</t>
        </is>
      </c>
      <c r="C2284" t="inlineStr">
        <is>
          <t>104</t>
        </is>
      </c>
      <c r="D2284" t="n">
        <v>59.2</v>
      </c>
      <c r="E2284" t="n">
        <v>46.5</v>
      </c>
      <c r="F2284" t="n">
        <v>63.2</v>
      </c>
      <c r="G2284" t="n">
        <v>64.7</v>
      </c>
      <c r="H2284" t="n">
        <v>49.2</v>
      </c>
      <c r="I2284" t="n">
        <v>98.40000000000001</v>
      </c>
      <c r="J2284" t="n">
        <v>100</v>
      </c>
      <c r="K2284" t="n">
        <v>83.8</v>
      </c>
      <c r="L2284" t="n">
        <v>18.5</v>
      </c>
      <c r="M2284" t="n">
        <v>91.09999999999999</v>
      </c>
      <c r="N2284">
        <f>193</f>
        <v/>
      </c>
      <c r="O2284" t="inlineStr">
        <is>
          <t>59.0</t>
        </is>
      </c>
      <c r="P2284" t="n">
        <v>46</v>
      </c>
      <c r="Q2284" t="n">
        <v>42.6</v>
      </c>
      <c r="R2284" t="n">
        <v>77.7</v>
      </c>
      <c r="S2284" t="n">
        <v>63.6</v>
      </c>
      <c r="T2284" t="n">
        <v>95.8</v>
      </c>
      <c r="U2284" t="inlineStr">
        <is>
          <t>10,325</t>
        </is>
      </c>
      <c r="V2284" t="n">
        <v>12.4</v>
      </c>
      <c r="W2284" t="inlineStr">
        <is>
          <t>46%</t>
        </is>
      </c>
      <c r="X2284" t="inlineStr">
        <is>
          <t>58 : 42</t>
        </is>
      </c>
      <c r="Y2284" t="n">
        <v>104</v>
      </c>
      <c r="Z2284" t="n">
        <v>193</v>
      </c>
      <c r="AA2284" t="n">
        <v>59</v>
      </c>
      <c r="AB2284" t="inlineStr">
        <is>
          <t>U2283</t>
        </is>
      </c>
      <c r="AC2284" t="inlineStr">
        <is>
          <t>UN</t>
        </is>
      </c>
      <c r="AD2284" t="n">
        <v>59.2</v>
      </c>
      <c r="AE2284" t="n">
        <v>49.2</v>
      </c>
      <c r="AF2284" t="n">
        <v>12.4</v>
      </c>
      <c r="AG2284" t="inlineStr">
        <is>
          <t>1:12.4</t>
        </is>
      </c>
      <c r="AH2284" t="inlineStr">
        <is>
          <t>46%</t>
        </is>
      </c>
      <c r="AI2284" t="n">
        <v>46.5</v>
      </c>
      <c r="AJ2284" t="n">
        <v>53.8</v>
      </c>
    </row>
    <row r="2285">
      <c r="A2285" t="inlineStr">
        <is>
          <t>University of St Gallen</t>
        </is>
      </c>
      <c r="B2285" t="inlineStr">
        <is>
          <t>Switzerland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>
        <is>
          <t>351–400</t>
        </is>
      </c>
      <c r="O2285" t="inlineStr">
        <is>
          <t>49.1–51.0</t>
        </is>
      </c>
      <c r="P2285" t="n">
        <v>33.8</v>
      </c>
      <c r="Q2285" t="n">
        <v>21</v>
      </c>
      <c r="R2285" t="n">
        <v>81.40000000000001</v>
      </c>
      <c r="S2285" t="n">
        <v>66.59999999999999</v>
      </c>
      <c r="T2285" t="n">
        <v>93.59999999999999</v>
      </c>
      <c r="U2285" t="inlineStr">
        <is>
          <t>8,799</t>
        </is>
      </c>
      <c r="V2285" t="n">
        <v>12.9</v>
      </c>
      <c r="W2285" t="inlineStr">
        <is>
          <t>33%</t>
        </is>
      </c>
      <c r="X2285" t="inlineStr">
        <is>
          <t>36 : 64</t>
        </is>
      </c>
      <c r="Y2285" t="inlineStr"/>
      <c r="Z2285" t="n">
        <v>351</v>
      </c>
      <c r="AA2285" t="n">
        <v>50.05</v>
      </c>
      <c r="AB2285" t="inlineStr">
        <is>
          <t>U2284</t>
        </is>
      </c>
      <c r="AC2285" t="inlineStr">
        <is>
          <t>SW</t>
        </is>
      </c>
      <c r="AD2285" t="n">
        <v>50.05</v>
      </c>
      <c r="AE2285" t="n">
        <v>81.40000000000001</v>
      </c>
      <c r="AF2285" t="n">
        <v>12.9</v>
      </c>
      <c r="AG2285" t="inlineStr">
        <is>
          <t>1:12.9</t>
        </is>
      </c>
      <c r="AH2285" t="inlineStr">
        <is>
          <t>33%</t>
        </is>
      </c>
      <c r="AI2285" t="inlineStr"/>
      <c r="AJ2285" t="n">
        <v>51.7</v>
      </c>
    </row>
    <row r="2286">
      <c r="A2286" t="inlineStr">
        <is>
          <t>University of Stavanger</t>
        </is>
      </c>
      <c r="B2286" t="inlineStr">
        <is>
          <t>Norway</t>
        </is>
      </c>
      <c r="C2286" t="inlineStr">
        <is>
          <t>801-850</t>
        </is>
      </c>
      <c r="D2286" t="inlineStr"/>
      <c r="E2286" t="n">
        <v>7.1</v>
      </c>
      <c r="F2286" t="n">
        <v>5.8</v>
      </c>
      <c r="G2286" t="n">
        <v>84.59999999999999</v>
      </c>
      <c r="H2286" t="n">
        <v>5</v>
      </c>
      <c r="I2286" t="inlineStr"/>
      <c r="J2286" t="inlineStr"/>
      <c r="K2286" t="n">
        <v>69.59999999999999</v>
      </c>
      <c r="L2286" t="n">
        <v>10</v>
      </c>
      <c r="M2286" t="n">
        <v>5.1</v>
      </c>
      <c r="N2286" t="inlineStr">
        <is>
          <t>601–800</t>
        </is>
      </c>
      <c r="O2286" t="inlineStr">
        <is>
          <t>37.0–41.8</t>
        </is>
      </c>
      <c r="P2286" t="n">
        <v>24.7</v>
      </c>
      <c r="Q2286" t="n">
        <v>15.6</v>
      </c>
      <c r="R2286" t="n">
        <v>66.59999999999999</v>
      </c>
      <c r="S2286" t="n">
        <v>30.2</v>
      </c>
      <c r="T2286" t="n">
        <v>74.40000000000001</v>
      </c>
      <c r="U2286" t="inlineStr">
        <is>
          <t>11,428</t>
        </is>
      </c>
      <c r="V2286" t="n">
        <v>10.5</v>
      </c>
      <c r="W2286" t="inlineStr">
        <is>
          <t>13%</t>
        </is>
      </c>
      <c r="X2286" t="inlineStr">
        <is>
          <t>58 : 42</t>
        </is>
      </c>
      <c r="Y2286" t="n">
        <v>801</v>
      </c>
      <c r="Z2286" t="n">
        <v>601</v>
      </c>
      <c r="AA2286" t="n">
        <v>39.4</v>
      </c>
      <c r="AB2286" t="inlineStr">
        <is>
          <t>U2285</t>
        </is>
      </c>
      <c r="AC2286" t="inlineStr">
        <is>
          <t>NO</t>
        </is>
      </c>
      <c r="AD2286" t="n">
        <v>39.4</v>
      </c>
      <c r="AE2286" t="n">
        <v>5</v>
      </c>
      <c r="AF2286" t="n">
        <v>10.5</v>
      </c>
      <c r="AG2286" t="inlineStr">
        <is>
          <t>1:10.5</t>
        </is>
      </c>
      <c r="AH2286" t="inlineStr">
        <is>
          <t>13%</t>
        </is>
      </c>
      <c r="AI2286" t="n">
        <v>7.1</v>
      </c>
      <c r="AJ2286" t="n">
        <v>21.08</v>
      </c>
    </row>
    <row r="2287">
      <c r="A2287" t="inlineStr">
        <is>
          <t>University of Stirling</t>
        </is>
      </c>
      <c r="B2287" t="inlineStr">
        <is>
          <t>United Kingdom</t>
        </is>
      </c>
      <c r="C2287" t="inlineStr">
        <is>
          <t>452</t>
        </is>
      </c>
      <c r="D2287" t="n">
        <v>26.4</v>
      </c>
      <c r="E2287" t="n">
        <v>11.2</v>
      </c>
      <c r="F2287" t="n">
        <v>9.4</v>
      </c>
      <c r="G2287" t="n">
        <v>9.300000000000001</v>
      </c>
      <c r="H2287" t="n">
        <v>30.3</v>
      </c>
      <c r="I2287" t="n">
        <v>76.90000000000001</v>
      </c>
      <c r="J2287" t="n">
        <v>81.3</v>
      </c>
      <c r="K2287" t="n">
        <v>61.6</v>
      </c>
      <c r="L2287" t="n">
        <v>15.8</v>
      </c>
      <c r="M2287" t="n">
        <v>76.09999999999999</v>
      </c>
      <c r="N2287" t="inlineStr">
        <is>
          <t>401–500</t>
        </is>
      </c>
      <c r="O2287" t="inlineStr">
        <is>
          <t>45.4–49.0</t>
        </is>
      </c>
      <c r="P2287" t="n">
        <v>23</v>
      </c>
      <c r="Q2287" t="n">
        <v>26.2</v>
      </c>
      <c r="R2287" t="n">
        <v>82.40000000000001</v>
      </c>
      <c r="S2287" t="n">
        <v>41</v>
      </c>
      <c r="T2287" t="n">
        <v>91.40000000000001</v>
      </c>
      <c r="U2287" t="inlineStr">
        <is>
          <t>10,650</t>
        </is>
      </c>
      <c r="V2287" t="n">
        <v>18.7</v>
      </c>
      <c r="W2287" t="inlineStr">
        <is>
          <t>28%</t>
        </is>
      </c>
      <c r="X2287" t="inlineStr">
        <is>
          <t>64 : 36</t>
        </is>
      </c>
      <c r="Y2287" t="n">
        <v>452</v>
      </c>
      <c r="Z2287" t="n">
        <v>401</v>
      </c>
      <c r="AA2287" t="n">
        <v>47.2</v>
      </c>
      <c r="AB2287" t="inlineStr">
        <is>
          <t>U2286</t>
        </is>
      </c>
      <c r="AC2287" t="inlineStr">
        <is>
          <t>UN</t>
        </is>
      </c>
      <c r="AD2287" t="n">
        <v>26.4</v>
      </c>
      <c r="AE2287" t="n">
        <v>30.3</v>
      </c>
      <c r="AF2287" t="n">
        <v>18.7</v>
      </c>
      <c r="AG2287" t="inlineStr">
        <is>
          <t>1:18.7</t>
        </is>
      </c>
      <c r="AH2287" t="inlineStr">
        <is>
          <t>28%</t>
        </is>
      </c>
      <c r="AI2287" t="n">
        <v>11.2</v>
      </c>
      <c r="AJ2287" t="n">
        <v>38.41</v>
      </c>
    </row>
    <row r="2288">
      <c r="A2288" t="inlineStr">
        <is>
          <t>University of Strathclyde</t>
        </is>
      </c>
      <c r="B2288" t="inlineStr">
        <is>
          <t>United Kingdom</t>
        </is>
      </c>
      <c r="C2288" t="inlineStr">
        <is>
          <t>281</t>
        </is>
      </c>
      <c r="D2288" t="n">
        <v>37.9</v>
      </c>
      <c r="E2288" t="n">
        <v>25.9</v>
      </c>
      <c r="F2288" t="n">
        <v>30</v>
      </c>
      <c r="G2288" t="n">
        <v>16.7</v>
      </c>
      <c r="H2288" t="n">
        <v>31.8</v>
      </c>
      <c r="I2288" t="n">
        <v>93</v>
      </c>
      <c r="J2288" t="n">
        <v>64</v>
      </c>
      <c r="K2288" t="n">
        <v>85</v>
      </c>
      <c r="L2288" t="n">
        <v>33.6</v>
      </c>
      <c r="M2288" t="n">
        <v>88.59999999999999</v>
      </c>
      <c r="N2288" t="inlineStr">
        <is>
          <t>301–350</t>
        </is>
      </c>
      <c r="O2288" t="inlineStr">
        <is>
          <t>51.1–53.0</t>
        </is>
      </c>
      <c r="P2288" t="n">
        <v>32.4</v>
      </c>
      <c r="Q2288" t="n">
        <v>35.5</v>
      </c>
      <c r="R2288" t="n">
        <v>71.2</v>
      </c>
      <c r="S2288" t="n">
        <v>75.5</v>
      </c>
      <c r="T2288" t="n">
        <v>91.90000000000001</v>
      </c>
      <c r="U2288" t="inlineStr">
        <is>
          <t>20,400</t>
        </is>
      </c>
      <c r="V2288" t="n">
        <v>16.3</v>
      </c>
      <c r="W2288" t="inlineStr">
        <is>
          <t>25%</t>
        </is>
      </c>
      <c r="X2288" t="inlineStr">
        <is>
          <t>51 : 49</t>
        </is>
      </c>
      <c r="Y2288" t="n">
        <v>281</v>
      </c>
      <c r="Z2288" t="n">
        <v>301</v>
      </c>
      <c r="AA2288" t="n">
        <v>52.05</v>
      </c>
      <c r="AB2288" t="inlineStr">
        <is>
          <t>U2287</t>
        </is>
      </c>
      <c r="AC2288" t="inlineStr">
        <is>
          <t>UN</t>
        </is>
      </c>
      <c r="AD2288" t="n">
        <v>37.9</v>
      </c>
      <c r="AE2288" t="n">
        <v>31.8</v>
      </c>
      <c r="AF2288" t="n">
        <v>16.3</v>
      </c>
      <c r="AG2288" t="inlineStr">
        <is>
          <t>1:16.3</t>
        </is>
      </c>
      <c r="AH2288" t="inlineStr">
        <is>
          <t>25%</t>
        </is>
      </c>
      <c r="AI2288" t="n">
        <v>25.9</v>
      </c>
      <c r="AJ2288" t="n">
        <v>43.86</v>
      </c>
    </row>
    <row r="2289">
      <c r="A2289" t="inlineStr">
        <is>
          <t>University of Stuttgart</t>
        </is>
      </c>
      <c r="B2289" t="inlineStr">
        <is>
          <t>Germany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>
        <is>
          <t>251–300</t>
        </is>
      </c>
      <c r="O2289" t="inlineStr">
        <is>
          <t>53.1–55.8</t>
        </is>
      </c>
      <c r="P2289" t="n">
        <v>44.8</v>
      </c>
      <c r="Q2289" t="n">
        <v>49.5</v>
      </c>
      <c r="R2289" t="n">
        <v>63.1</v>
      </c>
      <c r="S2289" t="n">
        <v>99.59999999999999</v>
      </c>
      <c r="T2289" t="n">
        <v>58.9</v>
      </c>
      <c r="U2289" t="inlineStr">
        <is>
          <t>15,152</t>
        </is>
      </c>
      <c r="V2289" t="n">
        <v>25.3</v>
      </c>
      <c r="W2289" t="inlineStr">
        <is>
          <t>20%</t>
        </is>
      </c>
      <c r="X2289" t="inlineStr">
        <is>
          <t>34 : 66</t>
        </is>
      </c>
      <c r="Y2289" t="inlineStr"/>
      <c r="Z2289" t="n">
        <v>251</v>
      </c>
      <c r="AA2289" t="n">
        <v>54.45</v>
      </c>
      <c r="AB2289" t="inlineStr">
        <is>
          <t>U2288</t>
        </is>
      </c>
      <c r="AC2289" t="inlineStr">
        <is>
          <t>GE</t>
        </is>
      </c>
      <c r="AD2289" t="n">
        <v>54.45</v>
      </c>
      <c r="AE2289" t="n">
        <v>63.1</v>
      </c>
      <c r="AF2289" t="n">
        <v>25.3</v>
      </c>
      <c r="AG2289" t="inlineStr">
        <is>
          <t>1:25.3</t>
        </is>
      </c>
      <c r="AH2289" t="inlineStr">
        <is>
          <t>20%</t>
        </is>
      </c>
      <c r="AI2289" t="inlineStr"/>
      <c r="AJ2289" t="n">
        <v>52.7</v>
      </c>
    </row>
    <row r="2290">
      <c r="A2290" t="inlineStr">
        <is>
          <t>University of Sunderland</t>
        </is>
      </c>
      <c r="B2290" t="inlineStr">
        <is>
          <t>United Kingdom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>
        <is>
          <t>1201–1500</t>
        </is>
      </c>
      <c r="O2290" t="inlineStr">
        <is>
          <t>22.8–28.2</t>
        </is>
      </c>
      <c r="P2290" t="n">
        <v>18.2</v>
      </c>
      <c r="Q2290" t="n">
        <v>9.9</v>
      </c>
      <c r="R2290" t="n">
        <v>40.2</v>
      </c>
      <c r="S2290" t="n">
        <v>42.1</v>
      </c>
      <c r="T2290" t="n">
        <v>71.59999999999999</v>
      </c>
      <c r="U2290" t="inlineStr">
        <is>
          <t>13,320</t>
        </is>
      </c>
      <c r="V2290" t="n">
        <v>16</v>
      </c>
      <c r="W2290" t="inlineStr">
        <is>
          <t>42%</t>
        </is>
      </c>
      <c r="X2290" t="inlineStr">
        <is>
          <t>61 : 39</t>
        </is>
      </c>
      <c r="Y2290" t="inlineStr"/>
      <c r="Z2290" t="n">
        <v>1201</v>
      </c>
      <c r="AA2290" t="n">
        <v>25.5</v>
      </c>
      <c r="AB2290" t="inlineStr">
        <is>
          <t>U2289</t>
        </is>
      </c>
      <c r="AC2290" t="inlineStr">
        <is>
          <t>UN</t>
        </is>
      </c>
      <c r="AD2290" t="n">
        <v>25.5</v>
      </c>
      <c r="AE2290" t="n">
        <v>40.2</v>
      </c>
      <c r="AF2290" t="n">
        <v>16</v>
      </c>
      <c r="AG2290" t="inlineStr">
        <is>
          <t>1:16.0</t>
        </is>
      </c>
      <c r="AH2290" t="inlineStr">
        <is>
          <t>42%</t>
        </is>
      </c>
      <c r="AI2290" t="inlineStr"/>
      <c r="AJ2290" t="n">
        <v>28.08</v>
      </c>
    </row>
    <row r="2291">
      <c r="A2291" t="inlineStr">
        <is>
          <t>University of Surrey</t>
        </is>
      </c>
      <c r="B2291" t="inlineStr">
        <is>
          <t>United Kingdom</t>
        </is>
      </c>
      <c r="C2291" t="inlineStr">
        <is>
          <t>285</t>
        </is>
      </c>
      <c r="D2291" t="n">
        <v>37.2</v>
      </c>
      <c r="E2291" t="n">
        <v>19.7</v>
      </c>
      <c r="F2291" t="n">
        <v>17.9</v>
      </c>
      <c r="G2291" t="n">
        <v>22.8</v>
      </c>
      <c r="H2291" t="n">
        <v>55.2</v>
      </c>
      <c r="I2291" t="n">
        <v>97.09999999999999</v>
      </c>
      <c r="J2291" t="n">
        <v>87.09999999999999</v>
      </c>
      <c r="K2291" t="n">
        <v>86.40000000000001</v>
      </c>
      <c r="L2291" t="n">
        <v>20.4</v>
      </c>
      <c r="M2291" t="n">
        <v>28.4</v>
      </c>
      <c r="N2291" t="inlineStr">
        <is>
          <t>251–300</t>
        </is>
      </c>
      <c r="O2291" t="inlineStr">
        <is>
          <t>53.1–55.8</t>
        </is>
      </c>
      <c r="P2291" t="n">
        <v>31.3</v>
      </c>
      <c r="Q2291" t="n">
        <v>34.5</v>
      </c>
      <c r="R2291" t="n">
        <v>88</v>
      </c>
      <c r="S2291" t="n">
        <v>73</v>
      </c>
      <c r="T2291" t="n">
        <v>96.8</v>
      </c>
      <c r="U2291" t="inlineStr">
        <is>
          <t>14,630</t>
        </is>
      </c>
      <c r="V2291" t="n">
        <v>16.3</v>
      </c>
      <c r="W2291" t="inlineStr">
        <is>
          <t>33%</t>
        </is>
      </c>
      <c r="X2291" t="inlineStr">
        <is>
          <t>54 : 46</t>
        </is>
      </c>
      <c r="Y2291" t="n">
        <v>285</v>
      </c>
      <c r="Z2291" t="n">
        <v>251</v>
      </c>
      <c r="AA2291" t="n">
        <v>54.45</v>
      </c>
      <c r="AB2291" t="inlineStr">
        <is>
          <t>U2290</t>
        </is>
      </c>
      <c r="AC2291" t="inlineStr">
        <is>
          <t>UN</t>
        </is>
      </c>
      <c r="AD2291" t="n">
        <v>37.2</v>
      </c>
      <c r="AE2291" t="n">
        <v>55.2</v>
      </c>
      <c r="AF2291" t="n">
        <v>16.3</v>
      </c>
      <c r="AG2291" t="inlineStr">
        <is>
          <t>1:16.3</t>
        </is>
      </c>
      <c r="AH2291" t="inlineStr">
        <is>
          <t>33%</t>
        </is>
      </c>
      <c r="AI2291" t="n">
        <v>19.7</v>
      </c>
      <c r="AJ2291" t="n">
        <v>51.61</v>
      </c>
    </row>
    <row r="2292">
      <c r="A2292" t="inlineStr">
        <is>
          <t>University of Sussex</t>
        </is>
      </c>
      <c r="B2292" t="inlineStr">
        <is>
          <t>United Kingdom</t>
        </is>
      </c>
      <c r="C2292" t="inlineStr">
        <is>
          <t>246</t>
        </is>
      </c>
      <c r="D2292" t="n">
        <v>41</v>
      </c>
      <c r="E2292" t="n">
        <v>22.6</v>
      </c>
      <c r="F2292" t="n">
        <v>10.4</v>
      </c>
      <c r="G2292" t="n">
        <v>15.5</v>
      </c>
      <c r="H2292" t="n">
        <v>56.8</v>
      </c>
      <c r="I2292" t="n">
        <v>99.59999999999999</v>
      </c>
      <c r="J2292" t="n">
        <v>84.90000000000001</v>
      </c>
      <c r="K2292" t="n">
        <v>84.7</v>
      </c>
      <c r="L2292" t="n">
        <v>39.9</v>
      </c>
      <c r="M2292" t="n">
        <v>97.7</v>
      </c>
      <c r="N2292" t="inlineStr">
        <is>
          <t>201–250</t>
        </is>
      </c>
      <c r="O2292" t="inlineStr">
        <is>
          <t>55.9–58.6</t>
        </is>
      </c>
      <c r="P2292" t="n">
        <v>29.7</v>
      </c>
      <c r="Q2292" t="n">
        <v>35.6</v>
      </c>
      <c r="R2292" t="n">
        <v>92.7</v>
      </c>
      <c r="S2292" t="n">
        <v>66.09999999999999</v>
      </c>
      <c r="T2292" t="n">
        <v>95.40000000000001</v>
      </c>
      <c r="U2292" t="inlineStr">
        <is>
          <t>17,640</t>
        </is>
      </c>
      <c r="V2292" t="n">
        <v>17.3</v>
      </c>
      <c r="W2292" t="inlineStr">
        <is>
          <t>34%</t>
        </is>
      </c>
      <c r="X2292" t="inlineStr">
        <is>
          <t>55 : 45</t>
        </is>
      </c>
      <c r="Y2292" t="n">
        <v>246</v>
      </c>
      <c r="Z2292" t="n">
        <v>201</v>
      </c>
      <c r="AA2292" t="n">
        <v>57.25</v>
      </c>
      <c r="AB2292" t="inlineStr">
        <is>
          <t>U2291</t>
        </is>
      </c>
      <c r="AC2292" t="inlineStr">
        <is>
          <t>UN</t>
        </is>
      </c>
      <c r="AD2292" t="n">
        <v>41</v>
      </c>
      <c r="AE2292" t="n">
        <v>56.8</v>
      </c>
      <c r="AF2292" t="n">
        <v>17.3</v>
      </c>
      <c r="AG2292" t="inlineStr">
        <is>
          <t>1:17.3</t>
        </is>
      </c>
      <c r="AH2292" t="inlineStr">
        <is>
          <t>34%</t>
        </is>
      </c>
      <c r="AI2292" t="n">
        <v>22.6</v>
      </c>
      <c r="AJ2292" t="n">
        <v>52.33</v>
      </c>
    </row>
    <row r="2293">
      <c r="A2293" t="inlineStr">
        <is>
          <t>The University of Sydney</t>
        </is>
      </c>
      <c r="B2293" t="inlineStr">
        <is>
          <t>Australia</t>
        </is>
      </c>
      <c r="C2293" t="inlineStr">
        <is>
          <t>18</t>
        </is>
      </c>
      <c r="D2293" t="n">
        <v>87.3</v>
      </c>
      <c r="E2293" t="n">
        <v>96.40000000000001</v>
      </c>
      <c r="F2293" t="n">
        <v>90</v>
      </c>
      <c r="G2293" t="n">
        <v>10.9</v>
      </c>
      <c r="H2293" t="n">
        <v>93.7</v>
      </c>
      <c r="I2293" t="n">
        <v>99.90000000000001</v>
      </c>
      <c r="J2293" t="n">
        <v>100</v>
      </c>
      <c r="K2293" t="n">
        <v>95.8</v>
      </c>
      <c r="L2293" t="n">
        <v>93.09999999999999</v>
      </c>
      <c r="M2293" t="n">
        <v>99.59999999999999</v>
      </c>
      <c r="N2293" t="inlineStr">
        <is>
          <t>60</t>
        </is>
      </c>
      <c r="O2293" t="inlineStr">
        <is>
          <t>73.8</t>
        </is>
      </c>
      <c r="P2293" t="n">
        <v>52.6</v>
      </c>
      <c r="Q2293" t="n">
        <v>68.90000000000001</v>
      </c>
      <c r="R2293" t="n">
        <v>92</v>
      </c>
      <c r="S2293" t="n">
        <v>97.7</v>
      </c>
      <c r="T2293" t="n">
        <v>90.2</v>
      </c>
      <c r="U2293" t="inlineStr">
        <is>
          <t>57,414</t>
        </is>
      </c>
      <c r="V2293" t="n">
        <v>23.1</v>
      </c>
      <c r="W2293" t="inlineStr">
        <is>
          <t>51%</t>
        </is>
      </c>
      <c r="X2293" t="inlineStr">
        <is>
          <t>58 : 42</t>
        </is>
      </c>
      <c r="Y2293" t="n">
        <v>18</v>
      </c>
      <c r="Z2293" t="n">
        <v>60</v>
      </c>
      <c r="AA2293" t="n">
        <v>73.8</v>
      </c>
      <c r="AB2293" t="inlineStr">
        <is>
          <t>U2292</t>
        </is>
      </c>
      <c r="AC2293" t="inlineStr">
        <is>
          <t>AU</t>
        </is>
      </c>
      <c r="AD2293" t="n">
        <v>87.3</v>
      </c>
      <c r="AE2293" t="n">
        <v>93.7</v>
      </c>
      <c r="AF2293" t="n">
        <v>23.1</v>
      </c>
      <c r="AG2293" t="inlineStr">
        <is>
          <t>1:23.1</t>
        </is>
      </c>
      <c r="AH2293" t="inlineStr">
        <is>
          <t>51%</t>
        </is>
      </c>
      <c r="AI2293" t="n">
        <v>96.40000000000001</v>
      </c>
      <c r="AJ2293" t="n">
        <v>79.70999999999999</v>
      </c>
    </row>
    <row r="2294">
      <c r="A2294" t="inlineStr">
        <is>
          <t>University of Szeged</t>
        </is>
      </c>
      <c r="B2294" t="inlineStr">
        <is>
          <t>Hungary</t>
        </is>
      </c>
      <c r="C2294" t="inlineStr">
        <is>
          <t>570</t>
        </is>
      </c>
      <c r="D2294" t="n">
        <v>21.8</v>
      </c>
      <c r="E2294" t="n">
        <v>18.5</v>
      </c>
      <c r="F2294" t="n">
        <v>16.8</v>
      </c>
      <c r="G2294" t="n">
        <v>37</v>
      </c>
      <c r="H2294" t="n">
        <v>4.8</v>
      </c>
      <c r="I2294" t="n">
        <v>11.8</v>
      </c>
      <c r="J2294" t="n">
        <v>41.2</v>
      </c>
      <c r="K2294" t="n">
        <v>73.09999999999999</v>
      </c>
      <c r="L2294" t="n">
        <v>15</v>
      </c>
      <c r="M2294" t="n">
        <v>61.9</v>
      </c>
      <c r="N2294" t="inlineStr">
        <is>
          <t>1001–1200</t>
        </is>
      </c>
      <c r="O2294" t="inlineStr">
        <is>
          <t>28.3–32.6</t>
        </is>
      </c>
      <c r="P2294" t="n">
        <v>29.9</v>
      </c>
      <c r="Q2294" t="n">
        <v>15.8</v>
      </c>
      <c r="R2294" t="n">
        <v>40.5</v>
      </c>
      <c r="S2294" t="n">
        <v>48.1</v>
      </c>
      <c r="T2294" t="n">
        <v>57.8</v>
      </c>
      <c r="U2294" t="inlineStr">
        <is>
          <t>20,050</t>
        </is>
      </c>
      <c r="V2294" t="n">
        <v>12.3</v>
      </c>
      <c r="W2294" t="inlineStr">
        <is>
          <t>20%</t>
        </is>
      </c>
      <c r="X2294" t="inlineStr">
        <is>
          <t>56 : 44</t>
        </is>
      </c>
      <c r="Y2294" t="n">
        <v>570</v>
      </c>
      <c r="Z2294" t="n">
        <v>1001</v>
      </c>
      <c r="AA2294" t="n">
        <v>30.45</v>
      </c>
      <c r="AB2294" t="inlineStr">
        <is>
          <t>U2293</t>
        </is>
      </c>
      <c r="AC2294" t="inlineStr">
        <is>
          <t>HU</t>
        </is>
      </c>
      <c r="AD2294" t="n">
        <v>21.8</v>
      </c>
      <c r="AE2294" t="n">
        <v>4.8</v>
      </c>
      <c r="AF2294" t="n">
        <v>12.3</v>
      </c>
      <c r="AG2294" t="inlineStr">
        <is>
          <t>1:12.3</t>
        </is>
      </c>
      <c r="AH2294" t="inlineStr">
        <is>
          <t>20%</t>
        </is>
      </c>
      <c r="AI2294" t="n">
        <v>18.5</v>
      </c>
      <c r="AJ2294" t="n">
        <v>17.11</v>
      </c>
    </row>
    <row r="2295">
      <c r="A2295" t="inlineStr">
        <is>
          <t>University of Tübingen</t>
        </is>
      </c>
      <c r="B2295" t="inlineStr">
        <is>
          <t>Germany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>
        <f>95</f>
        <v/>
      </c>
      <c r="O2295" t="inlineStr">
        <is>
          <t>67.0</t>
        </is>
      </c>
      <c r="P2295" t="n">
        <v>49.1</v>
      </c>
      <c r="Q2295" t="n">
        <v>56.5</v>
      </c>
      <c r="R2295" t="n">
        <v>89</v>
      </c>
      <c r="S2295" t="n">
        <v>99.8</v>
      </c>
      <c r="T2295" t="n">
        <v>72</v>
      </c>
      <c r="U2295" t="inlineStr">
        <is>
          <t>21,632</t>
        </is>
      </c>
      <c r="V2295" t="n">
        <v>27.1</v>
      </c>
      <c r="W2295" t="inlineStr">
        <is>
          <t>14%</t>
        </is>
      </c>
      <c r="X2295" t="inlineStr">
        <is>
          <t>59 : 41</t>
        </is>
      </c>
      <c r="Y2295" t="inlineStr"/>
      <c r="Z2295" t="n">
        <v>95</v>
      </c>
      <c r="AA2295" t="n">
        <v>67</v>
      </c>
      <c r="AB2295" t="inlineStr">
        <is>
          <t>U2294</t>
        </is>
      </c>
      <c r="AC2295" t="inlineStr">
        <is>
          <t>GE</t>
        </is>
      </c>
      <c r="AD2295" t="n">
        <v>67</v>
      </c>
      <c r="AE2295" t="n">
        <v>89</v>
      </c>
      <c r="AF2295" t="n">
        <v>27.1</v>
      </c>
      <c r="AG2295" t="inlineStr">
        <is>
          <t>1:27.1</t>
        </is>
      </c>
      <c r="AH2295" t="inlineStr">
        <is>
          <t>14%</t>
        </is>
      </c>
      <c r="AI2295" t="inlineStr"/>
      <c r="AJ2295" t="n">
        <v>67.39</v>
      </c>
    </row>
    <row r="2296">
      <c r="A2296" t="inlineStr">
        <is>
          <t>University of Tabriz</t>
        </is>
      </c>
      <c r="B2296" t="inlineStr">
        <is>
          <t>Iran</t>
        </is>
      </c>
      <c r="C2296" t="inlineStr">
        <is>
          <t>552</t>
        </is>
      </c>
      <c r="D2296" t="n">
        <v>22.5</v>
      </c>
      <c r="E2296" t="n">
        <v>5.9</v>
      </c>
      <c r="F2296" t="n">
        <v>5</v>
      </c>
      <c r="G2296" t="n">
        <v>3.4</v>
      </c>
      <c r="H2296" t="n">
        <v>81.7</v>
      </c>
      <c r="I2296" t="n">
        <v>1.5</v>
      </c>
      <c r="J2296" t="n">
        <v>6.8</v>
      </c>
      <c r="K2296" t="n">
        <v>71.8</v>
      </c>
      <c r="L2296" t="n">
        <v>5.3</v>
      </c>
      <c r="M2296" t="n">
        <v>1.2</v>
      </c>
      <c r="N2296" t="inlineStr">
        <is>
          <t>501–600</t>
        </is>
      </c>
      <c r="O2296" t="inlineStr">
        <is>
          <t>41.9–45.3</t>
        </is>
      </c>
      <c r="P2296" t="n">
        <v>26.7</v>
      </c>
      <c r="Q2296" t="n">
        <v>23.4</v>
      </c>
      <c r="R2296" t="n">
        <v>80.09999999999999</v>
      </c>
      <c r="S2296" t="n">
        <v>43.1</v>
      </c>
      <c r="T2296" t="n">
        <v>40.8</v>
      </c>
      <c r="U2296" t="inlineStr">
        <is>
          <t>20,177</t>
        </is>
      </c>
      <c r="V2296" t="n">
        <v>26.7</v>
      </c>
      <c r="W2296" t="inlineStr">
        <is>
          <t>4%</t>
        </is>
      </c>
      <c r="X2296" t="inlineStr">
        <is>
          <t>52 : 48</t>
        </is>
      </c>
      <c r="Y2296" t="n">
        <v>552</v>
      </c>
      <c r="Z2296" t="n">
        <v>501</v>
      </c>
      <c r="AA2296" t="n">
        <v>43.59999999999999</v>
      </c>
      <c r="AB2296" t="inlineStr">
        <is>
          <t>U2295</t>
        </is>
      </c>
      <c r="AC2296" t="inlineStr">
        <is>
          <t>IR</t>
        </is>
      </c>
      <c r="AD2296" t="n">
        <v>22.5</v>
      </c>
      <c r="AE2296" t="n">
        <v>81.7</v>
      </c>
      <c r="AF2296" t="n">
        <v>26.7</v>
      </c>
      <c r="AG2296" t="inlineStr">
        <is>
          <t>1:26.7</t>
        </is>
      </c>
      <c r="AH2296" t="inlineStr">
        <is>
          <t>4%</t>
        </is>
      </c>
      <c r="AI2296" t="n">
        <v>5.9</v>
      </c>
      <c r="AJ2296" t="n">
        <v>40.28</v>
      </c>
    </row>
    <row r="2297">
      <c r="A2297" t="inlineStr">
        <is>
          <t>University of Tabuk</t>
        </is>
      </c>
      <c r="B2297" t="inlineStr">
        <is>
          <t>Saudi Arabia</t>
        </is>
      </c>
      <c r="C2297" t="inlineStr">
        <is>
          <t>1001-1200</t>
        </is>
      </c>
      <c r="D2297" t="inlineStr"/>
      <c r="E2297" t="n">
        <v>5.2</v>
      </c>
      <c r="F2297" t="n">
        <v>2.4</v>
      </c>
      <c r="G2297" t="n">
        <v>18.7</v>
      </c>
      <c r="H2297" t="n">
        <v>3</v>
      </c>
      <c r="I2297" t="n">
        <v>92.40000000000001</v>
      </c>
      <c r="J2297" t="n">
        <v>2.2</v>
      </c>
      <c r="K2297" t="n">
        <v>38</v>
      </c>
      <c r="L2297" t="n">
        <v>2.2</v>
      </c>
      <c r="M2297" t="n">
        <v>1</v>
      </c>
      <c r="N2297" t="inlineStr">
        <is>
          <t>801–1000</t>
        </is>
      </c>
      <c r="O2297" t="inlineStr">
        <is>
          <t>32.7–36.9</t>
        </is>
      </c>
      <c r="P2297" t="n">
        <v>16.9</v>
      </c>
      <c r="Q2297" t="n">
        <v>10.4</v>
      </c>
      <c r="R2297" t="n">
        <v>69</v>
      </c>
      <c r="S2297" t="n">
        <v>26.1</v>
      </c>
      <c r="T2297" t="n">
        <v>75.59999999999999</v>
      </c>
      <c r="U2297" t="inlineStr">
        <is>
          <t>31,635</t>
        </is>
      </c>
      <c r="V2297" t="n">
        <v>19.5</v>
      </c>
      <c r="W2297" t="inlineStr">
        <is>
          <t>2%</t>
        </is>
      </c>
      <c r="X2297" t="inlineStr">
        <is>
          <t>60 : 40</t>
        </is>
      </c>
      <c r="Y2297" t="n">
        <v>1001</v>
      </c>
      <c r="Z2297" t="n">
        <v>801</v>
      </c>
      <c r="AA2297" t="n">
        <v>34.8</v>
      </c>
      <c r="AB2297" t="inlineStr">
        <is>
          <t>U2296</t>
        </is>
      </c>
      <c r="AC2297" t="inlineStr">
        <is>
          <t>SA</t>
        </is>
      </c>
      <c r="AD2297" t="n">
        <v>34.8</v>
      </c>
      <c r="AE2297" t="n">
        <v>3</v>
      </c>
      <c r="AF2297" t="n">
        <v>19.5</v>
      </c>
      <c r="AG2297" t="inlineStr">
        <is>
          <t>1:19.5</t>
        </is>
      </c>
      <c r="AH2297" t="inlineStr">
        <is>
          <t>2%</t>
        </is>
      </c>
      <c r="AI2297" t="n">
        <v>5.2</v>
      </c>
      <c r="AJ2297" t="n">
        <v>18.04</v>
      </c>
    </row>
    <row r="2298">
      <c r="A2298" t="inlineStr">
        <is>
          <t>University of Talca</t>
        </is>
      </c>
      <c r="B2298" t="inlineStr">
        <is>
          <t>Chile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>
        <is>
          <t>1201–1500</t>
        </is>
      </c>
      <c r="O2298" t="inlineStr">
        <is>
          <t>22.8–28.2</t>
        </is>
      </c>
      <c r="P2298" t="n">
        <v>17.4</v>
      </c>
      <c r="Q2298" t="n">
        <v>13.7</v>
      </c>
      <c r="R2298" t="n">
        <v>31.5</v>
      </c>
      <c r="S2298" t="n">
        <v>36.7</v>
      </c>
      <c r="T2298" t="n">
        <v>52.3</v>
      </c>
      <c r="U2298" t="inlineStr">
        <is>
          <t>12,510</t>
        </is>
      </c>
      <c r="V2298" t="n">
        <v>15.5</v>
      </c>
      <c r="W2298" t="inlineStr">
        <is>
          <t>0%</t>
        </is>
      </c>
      <c r="X2298" t="inlineStr">
        <is>
          <t>48 : 52</t>
        </is>
      </c>
      <c r="Y2298" t="inlineStr"/>
      <c r="Z2298" t="n">
        <v>1201</v>
      </c>
      <c r="AA2298" t="n">
        <v>25.5</v>
      </c>
      <c r="AB2298" t="inlineStr">
        <is>
          <t>U2297</t>
        </is>
      </c>
      <c r="AC2298" t="inlineStr">
        <is>
          <t>CH</t>
        </is>
      </c>
      <c r="AD2298" t="n">
        <v>25.5</v>
      </c>
      <c r="AE2298" t="n">
        <v>31.5</v>
      </c>
      <c r="AF2298" t="n">
        <v>15.5</v>
      </c>
      <c r="AG2298" t="inlineStr">
        <is>
          <t>1:15.5</t>
        </is>
      </c>
      <c r="AH2298" t="inlineStr">
        <is>
          <t>0%</t>
        </is>
      </c>
      <c r="AI2298" t="inlineStr"/>
      <c r="AJ2298" t="n">
        <v>22.77</v>
      </c>
    </row>
    <row r="2299">
      <c r="A2299" t="inlineStr">
        <is>
          <t>University of Tarapacá</t>
        </is>
      </c>
      <c r="B2299" t="inlineStr">
        <is>
          <t>Chile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>
        <is>
          <t>1201–1500</t>
        </is>
      </c>
      <c r="O2299" t="inlineStr">
        <is>
          <t>22.8–28.2</t>
        </is>
      </c>
      <c r="P2299" t="n">
        <v>12.4</v>
      </c>
      <c r="Q2299" t="n">
        <v>19</v>
      </c>
      <c r="R2299" t="n">
        <v>45.1</v>
      </c>
      <c r="S2299" t="n">
        <v>19.4</v>
      </c>
      <c r="T2299" t="n">
        <v>59</v>
      </c>
      <c r="U2299" t="inlineStr">
        <is>
          <t>10,496</t>
        </is>
      </c>
      <c r="V2299" t="n">
        <v>31.8</v>
      </c>
      <c r="W2299" t="inlineStr">
        <is>
          <t>4%</t>
        </is>
      </c>
      <c r="X2299" t="inlineStr">
        <is>
          <t>54 : 46</t>
        </is>
      </c>
      <c r="Y2299" t="inlineStr"/>
      <c r="Z2299" t="n">
        <v>1201</v>
      </c>
      <c r="AA2299" t="n">
        <v>25.5</v>
      </c>
      <c r="AB2299" t="inlineStr">
        <is>
          <t>U2298</t>
        </is>
      </c>
      <c r="AC2299" t="inlineStr">
        <is>
          <t>CH</t>
        </is>
      </c>
      <c r="AD2299" t="n">
        <v>25.5</v>
      </c>
      <c r="AE2299" t="n">
        <v>45.1</v>
      </c>
      <c r="AF2299" t="n">
        <v>31.8</v>
      </c>
      <c r="AG2299" t="inlineStr">
        <is>
          <t>1:31.8</t>
        </is>
      </c>
      <c r="AH2299" t="inlineStr">
        <is>
          <t>4%</t>
        </is>
      </c>
      <c r="AI2299" t="inlineStr"/>
      <c r="AJ2299" t="n">
        <v>31.29</v>
      </c>
    </row>
    <row r="2300">
      <c r="A2300" t="inlineStr">
        <is>
          <t>University of Tartu</t>
        </is>
      </c>
      <c r="B2300" t="inlineStr">
        <is>
          <t>Estonia</t>
        </is>
      </c>
      <c r="C2300" t="inlineStr">
        <is>
          <t>358</t>
        </is>
      </c>
      <c r="D2300" t="n">
        <v>32</v>
      </c>
      <c r="E2300" t="n">
        <v>22.9</v>
      </c>
      <c r="F2300" t="n">
        <v>10.5</v>
      </c>
      <c r="G2300" t="n">
        <v>93.7</v>
      </c>
      <c r="H2300" t="n">
        <v>10.8</v>
      </c>
      <c r="I2300" t="n">
        <v>48.6</v>
      </c>
      <c r="J2300" t="n">
        <v>15.1</v>
      </c>
      <c r="K2300" t="n">
        <v>88.8</v>
      </c>
      <c r="L2300" t="n">
        <v>85.7</v>
      </c>
      <c r="M2300" t="n">
        <v>18</v>
      </c>
      <c r="N2300" t="inlineStr">
        <is>
          <t>301–350</t>
        </is>
      </c>
      <c r="O2300" t="inlineStr">
        <is>
          <t>51.1–53.0</t>
        </is>
      </c>
      <c r="P2300" t="n">
        <v>32.8</v>
      </c>
      <c r="Q2300" t="n">
        <v>31.8</v>
      </c>
      <c r="R2300" t="n">
        <v>86.5</v>
      </c>
      <c r="S2300" t="n">
        <v>64.09999999999999</v>
      </c>
      <c r="T2300" t="n">
        <v>60.7</v>
      </c>
      <c r="U2300" t="inlineStr">
        <is>
          <t>9,694</t>
        </is>
      </c>
      <c r="V2300" t="n">
        <v>9</v>
      </c>
      <c r="W2300" t="inlineStr">
        <is>
          <t>12%</t>
        </is>
      </c>
      <c r="X2300" t="inlineStr">
        <is>
          <t>68 : 32</t>
        </is>
      </c>
      <c r="Y2300" t="n">
        <v>358</v>
      </c>
      <c r="Z2300" t="n">
        <v>301</v>
      </c>
      <c r="AA2300" t="n">
        <v>52.05</v>
      </c>
      <c r="AB2300" t="inlineStr">
        <is>
          <t>U2299</t>
        </is>
      </c>
      <c r="AC2300" t="inlineStr">
        <is>
          <t>ES</t>
        </is>
      </c>
      <c r="AD2300" t="n">
        <v>32</v>
      </c>
      <c r="AE2300" t="n">
        <v>10.8</v>
      </c>
      <c r="AF2300" t="n">
        <v>9</v>
      </c>
      <c r="AG2300" t="inlineStr">
        <is>
          <t>1:9.0</t>
        </is>
      </c>
      <c r="AH2300" t="inlineStr">
        <is>
          <t>12%</t>
        </is>
      </c>
      <c r="AI2300" t="n">
        <v>22.9</v>
      </c>
      <c r="AJ2300" t="n">
        <v>28.01</v>
      </c>
    </row>
    <row r="2301">
      <c r="A2301" t="inlineStr">
        <is>
          <t>University of Tasmania</t>
        </is>
      </c>
      <c r="B2301" t="inlineStr">
        <is>
          <t>Australia</t>
        </is>
      </c>
      <c r="C2301" t="inlineStr">
        <is>
          <t>293</t>
        </is>
      </c>
      <c r="D2301" t="n">
        <v>37</v>
      </c>
      <c r="E2301" t="n">
        <v>16</v>
      </c>
      <c r="F2301" t="n">
        <v>7.4</v>
      </c>
      <c r="G2301" t="n">
        <v>22.1</v>
      </c>
      <c r="H2301" t="n">
        <v>59.8</v>
      </c>
      <c r="I2301" t="n">
        <v>79.90000000000001</v>
      </c>
      <c r="J2301" t="n">
        <v>89.7</v>
      </c>
      <c r="K2301" t="n">
        <v>80</v>
      </c>
      <c r="L2301" t="n">
        <v>15.9</v>
      </c>
      <c r="M2301" t="n">
        <v>85.59999999999999</v>
      </c>
      <c r="N2301" t="inlineStr">
        <is>
          <t>251–300</t>
        </is>
      </c>
      <c r="O2301" t="inlineStr">
        <is>
          <t>53.1–55.8</t>
        </is>
      </c>
      <c r="P2301" t="n">
        <v>31.6</v>
      </c>
      <c r="Q2301" t="n">
        <v>38.4</v>
      </c>
      <c r="R2301" t="n">
        <v>82</v>
      </c>
      <c r="S2301" t="n">
        <v>70.5</v>
      </c>
      <c r="T2301" t="n">
        <v>90.90000000000001</v>
      </c>
      <c r="U2301" t="inlineStr">
        <is>
          <t>16,894</t>
        </is>
      </c>
      <c r="V2301" t="n">
        <v>22.5</v>
      </c>
      <c r="W2301" t="inlineStr">
        <is>
          <t>31%</t>
        </is>
      </c>
      <c r="X2301" t="inlineStr">
        <is>
          <t>60 : 40</t>
        </is>
      </c>
      <c r="Y2301" t="n">
        <v>293</v>
      </c>
      <c r="Z2301" t="n">
        <v>251</v>
      </c>
      <c r="AA2301" t="n">
        <v>54.45</v>
      </c>
      <c r="AB2301" t="inlineStr">
        <is>
          <t>U2300</t>
        </is>
      </c>
      <c r="AC2301" t="inlineStr">
        <is>
          <t>AU</t>
        </is>
      </c>
      <c r="AD2301" t="n">
        <v>37</v>
      </c>
      <c r="AE2301" t="n">
        <v>59.8</v>
      </c>
      <c r="AF2301" t="n">
        <v>22.5</v>
      </c>
      <c r="AG2301" t="inlineStr">
        <is>
          <t>1:22.5</t>
        </is>
      </c>
      <c r="AH2301" t="inlineStr">
        <is>
          <t>31%</t>
        </is>
      </c>
      <c r="AI2301" t="n">
        <v>16</v>
      </c>
      <c r="AJ2301" t="n">
        <v>53.62</v>
      </c>
    </row>
    <row r="2302">
      <c r="A2302" t="inlineStr">
        <is>
          <t>University of Technology, Iraq</t>
        </is>
      </c>
      <c r="B2302" t="inlineStr">
        <is>
          <t>Iraq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>
        <is>
          <t>801–1000</t>
        </is>
      </c>
      <c r="O2302" t="inlineStr">
        <is>
          <t>32.7–36.9</t>
        </is>
      </c>
      <c r="P2302" t="n">
        <v>25.8</v>
      </c>
      <c r="Q2302" t="n">
        <v>9.199999999999999</v>
      </c>
      <c r="R2302" t="n">
        <v>65.7</v>
      </c>
      <c r="S2302" t="n">
        <v>20</v>
      </c>
      <c r="T2302" t="n">
        <v>25</v>
      </c>
      <c r="U2302" t="inlineStr">
        <is>
          <t>10,321</t>
        </is>
      </c>
      <c r="V2302" t="n">
        <v>6.9</v>
      </c>
      <c r="W2302" t="inlineStr">
        <is>
          <t>0%</t>
        </is>
      </c>
      <c r="X2302" t="inlineStr">
        <is>
          <t>46 : 54</t>
        </is>
      </c>
      <c r="Y2302" t="inlineStr"/>
      <c r="Z2302" t="n">
        <v>801</v>
      </c>
      <c r="AA2302" t="n">
        <v>34.8</v>
      </c>
      <c r="AB2302" t="inlineStr">
        <is>
          <t>U2301</t>
        </is>
      </c>
      <c r="AC2302" t="inlineStr">
        <is>
          <t>IR</t>
        </is>
      </c>
      <c r="AD2302" t="n">
        <v>34.8</v>
      </c>
      <c r="AE2302" t="n">
        <v>65.7</v>
      </c>
      <c r="AF2302" t="n">
        <v>6.9</v>
      </c>
      <c r="AG2302" t="inlineStr">
        <is>
          <t>1:6.9</t>
        </is>
      </c>
      <c r="AH2302" t="inlineStr">
        <is>
          <t>0%</t>
        </is>
      </c>
      <c r="AI2302" t="inlineStr"/>
      <c r="AJ2302" t="n">
        <v>24.17</v>
      </c>
    </row>
    <row r="2303">
      <c r="A2303" t="inlineStr">
        <is>
          <t>University of Technology of Compiègne</t>
        </is>
      </c>
      <c r="B2303" t="inlineStr">
        <is>
          <t>France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>
        <is>
          <t>1201–1500</t>
        </is>
      </c>
      <c r="O2303" t="inlineStr">
        <is>
          <t>22.8–28.2</t>
        </is>
      </c>
      <c r="P2303" t="n">
        <v>26.7</v>
      </c>
      <c r="Q2303" t="n">
        <v>10.9</v>
      </c>
      <c r="R2303" t="n">
        <v>24.3</v>
      </c>
      <c r="S2303" t="n">
        <v>48.8</v>
      </c>
      <c r="T2303" t="n">
        <v>83.8</v>
      </c>
      <c r="U2303" t="inlineStr">
        <is>
          <t>4,170</t>
        </is>
      </c>
      <c r="V2303" t="n">
        <v>15.6</v>
      </c>
      <c r="W2303" t="inlineStr">
        <is>
          <t>19%</t>
        </is>
      </c>
      <c r="X2303" t="inlineStr">
        <is>
          <t>39 : 61</t>
        </is>
      </c>
      <c r="Y2303" t="inlineStr"/>
      <c r="Z2303" t="n">
        <v>1201</v>
      </c>
      <c r="AA2303" t="n">
        <v>25.5</v>
      </c>
      <c r="AB2303" t="inlineStr">
        <is>
          <t>U2302</t>
        </is>
      </c>
      <c r="AC2303" t="inlineStr">
        <is>
          <t>FR</t>
        </is>
      </c>
      <c r="AD2303" t="n">
        <v>25.5</v>
      </c>
      <c r="AE2303" t="n">
        <v>24.3</v>
      </c>
      <c r="AF2303" t="n">
        <v>15.6</v>
      </c>
      <c r="AG2303" t="inlineStr">
        <is>
          <t>1:15.6</t>
        </is>
      </c>
      <c r="AH2303" t="inlineStr">
        <is>
          <t>19%</t>
        </is>
      </c>
      <c r="AI2303" t="inlineStr"/>
      <c r="AJ2303" t="n">
        <v>26.73</v>
      </c>
    </row>
    <row r="2304">
      <c r="A2304" t="inlineStr">
        <is>
          <t>University of Technology of Troyes</t>
        </is>
      </c>
      <c r="B2304" t="inlineStr">
        <is>
          <t>France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>
        <is>
          <t>1001–1200</t>
        </is>
      </c>
      <c r="O2304" t="inlineStr">
        <is>
          <t>28.3–32.6</t>
        </is>
      </c>
      <c r="P2304" t="n">
        <v>31.5</v>
      </c>
      <c r="Q2304" t="n">
        <v>11.9</v>
      </c>
      <c r="R2304" t="n">
        <v>29.1</v>
      </c>
      <c r="S2304" t="n">
        <v>42</v>
      </c>
      <c r="T2304" t="n">
        <v>74.8</v>
      </c>
      <c r="U2304" t="inlineStr">
        <is>
          <t>3,174</t>
        </is>
      </c>
      <c r="V2304" t="n">
        <v>20.1</v>
      </c>
      <c r="W2304" t="inlineStr">
        <is>
          <t>22%</t>
        </is>
      </c>
      <c r="X2304" t="inlineStr">
        <is>
          <t>25 : 75</t>
        </is>
      </c>
      <c r="Y2304" t="inlineStr"/>
      <c r="Z2304" t="n">
        <v>1001</v>
      </c>
      <c r="AA2304" t="n">
        <v>30.45</v>
      </c>
      <c r="AB2304" t="inlineStr">
        <is>
          <t>U2303</t>
        </is>
      </c>
      <c r="AC2304" t="inlineStr">
        <is>
          <t>FR</t>
        </is>
      </c>
      <c r="AD2304" t="n">
        <v>30.45</v>
      </c>
      <c r="AE2304" t="n">
        <v>29.1</v>
      </c>
      <c r="AF2304" t="n">
        <v>20.1</v>
      </c>
      <c r="AG2304" t="inlineStr">
        <is>
          <t>1:20.1</t>
        </is>
      </c>
      <c r="AH2304" t="inlineStr">
        <is>
          <t>22%</t>
        </is>
      </c>
      <c r="AI2304" t="inlineStr"/>
      <c r="AJ2304" t="n">
        <v>26.54</v>
      </c>
    </row>
    <row r="2305">
      <c r="A2305" t="inlineStr">
        <is>
          <t>University of Technology Sydney</t>
        </is>
      </c>
      <c r="B2305" t="inlineStr">
        <is>
          <t>Australia</t>
        </is>
      </c>
      <c r="C2305" t="inlineStr">
        <is>
          <t>88</t>
        </is>
      </c>
      <c r="D2305" t="n">
        <v>62.4</v>
      </c>
      <c r="E2305" t="n">
        <v>43.9</v>
      </c>
      <c r="F2305" t="n">
        <v>55</v>
      </c>
      <c r="G2305" t="n">
        <v>9.800000000000001</v>
      </c>
      <c r="H2305" t="n">
        <v>97.7</v>
      </c>
      <c r="I2305" t="n">
        <v>96.59999999999999</v>
      </c>
      <c r="J2305" t="n">
        <v>86</v>
      </c>
      <c r="K2305" t="n">
        <v>91.40000000000001</v>
      </c>
      <c r="L2305" t="n">
        <v>40.2</v>
      </c>
      <c r="M2305" t="n">
        <v>96.3</v>
      </c>
      <c r="N2305" t="inlineStr">
        <is>
          <t>148</t>
        </is>
      </c>
      <c r="O2305" t="inlineStr">
        <is>
          <t>62.3</t>
        </is>
      </c>
      <c r="P2305" t="n">
        <v>36.2</v>
      </c>
      <c r="Q2305" t="n">
        <v>43.3</v>
      </c>
      <c r="R2305" t="n">
        <v>95.90000000000001</v>
      </c>
      <c r="S2305" t="n">
        <v>78.90000000000001</v>
      </c>
      <c r="T2305" t="n">
        <v>94.3</v>
      </c>
      <c r="U2305" t="inlineStr">
        <is>
          <t>28,223</t>
        </is>
      </c>
      <c r="V2305" t="n">
        <v>37.4</v>
      </c>
      <c r="W2305" t="inlineStr">
        <is>
          <t>25%</t>
        </is>
      </c>
      <c r="X2305" t="inlineStr">
        <is>
          <t>50 : 50</t>
        </is>
      </c>
      <c r="Y2305" t="n">
        <v>88</v>
      </c>
      <c r="Z2305" t="n">
        <v>148</v>
      </c>
      <c r="AA2305" t="n">
        <v>62.3</v>
      </c>
      <c r="AB2305" t="inlineStr">
        <is>
          <t>U2304</t>
        </is>
      </c>
      <c r="AC2305" t="inlineStr">
        <is>
          <t>AU</t>
        </is>
      </c>
      <c r="AD2305" t="n">
        <v>62.4</v>
      </c>
      <c r="AE2305" t="n">
        <v>97.7</v>
      </c>
      <c r="AF2305" t="n">
        <v>37.4</v>
      </c>
      <c r="AG2305" t="inlineStr">
        <is>
          <t>1:37.4</t>
        </is>
      </c>
      <c r="AH2305" t="inlineStr">
        <is>
          <t>25%</t>
        </is>
      </c>
      <c r="AI2305" t="n">
        <v>43.9</v>
      </c>
      <c r="AJ2305" t="n">
        <v>68.5</v>
      </c>
    </row>
    <row r="2306">
      <c r="A2306" t="inlineStr">
        <is>
          <t>University of Tehran</t>
        </is>
      </c>
      <c r="B2306" t="inlineStr">
        <is>
          <t>Iran</t>
        </is>
      </c>
      <c r="C2306" t="inlineStr">
        <is>
          <t>368</t>
        </is>
      </c>
      <c r="D2306" t="n">
        <v>31.4</v>
      </c>
      <c r="E2306" t="n">
        <v>20.6</v>
      </c>
      <c r="F2306" t="n">
        <v>26.8</v>
      </c>
      <c r="G2306" t="n">
        <v>3</v>
      </c>
      <c r="H2306" t="n">
        <v>79.09999999999999</v>
      </c>
      <c r="I2306" t="n">
        <v>2</v>
      </c>
      <c r="J2306" t="n">
        <v>2</v>
      </c>
      <c r="K2306" t="n">
        <v>86.2</v>
      </c>
      <c r="L2306" t="n">
        <v>23.1</v>
      </c>
      <c r="M2306" t="n">
        <v>4.7</v>
      </c>
      <c r="N2306" t="inlineStr">
        <is>
          <t>401–500</t>
        </is>
      </c>
      <c r="O2306" t="inlineStr">
        <is>
          <t>45.4–49.0</t>
        </is>
      </c>
      <c r="P2306" t="n">
        <v>37.7</v>
      </c>
      <c r="Q2306" t="n">
        <v>28.4</v>
      </c>
      <c r="R2306" t="n">
        <v>71.90000000000001</v>
      </c>
      <c r="S2306" t="n">
        <v>60.5</v>
      </c>
      <c r="T2306" t="n">
        <v>33.6</v>
      </c>
      <c r="U2306" t="inlineStr">
        <is>
          <t>54,890</t>
        </is>
      </c>
      <c r="V2306" t="n">
        <v>26.6</v>
      </c>
      <c r="W2306" t="inlineStr">
        <is>
          <t>2%</t>
        </is>
      </c>
      <c r="X2306" t="inlineStr">
        <is>
          <t>5 : 95</t>
        </is>
      </c>
      <c r="Y2306" t="n">
        <v>368</v>
      </c>
      <c r="Z2306" t="n">
        <v>401</v>
      </c>
      <c r="AA2306" t="n">
        <v>47.2</v>
      </c>
      <c r="AB2306" t="inlineStr">
        <is>
          <t>U2305</t>
        </is>
      </c>
      <c r="AC2306" t="inlineStr">
        <is>
          <t>IR</t>
        </is>
      </c>
      <c r="AD2306" t="n">
        <v>31.4</v>
      </c>
      <c r="AE2306" t="n">
        <v>79.09999999999999</v>
      </c>
      <c r="AF2306" t="n">
        <v>26.6</v>
      </c>
      <c r="AG2306" t="inlineStr">
        <is>
          <t>1:26.6</t>
        </is>
      </c>
      <c r="AH2306" t="inlineStr">
        <is>
          <t>2%</t>
        </is>
      </c>
      <c r="AI2306" t="n">
        <v>20.6</v>
      </c>
      <c r="AJ2306" t="n">
        <v>40.37</v>
      </c>
    </row>
    <row r="2307">
      <c r="A2307" t="inlineStr">
        <is>
          <t>The University of Tennessee, Knoxville</t>
        </is>
      </c>
      <c r="B2307" t="inlineStr">
        <is>
          <t>United States</t>
        </is>
      </c>
      <c r="C2307" t="inlineStr">
        <is>
          <t>481</t>
        </is>
      </c>
      <c r="D2307" t="n">
        <v>25</v>
      </c>
      <c r="E2307" t="n">
        <v>10.1</v>
      </c>
      <c r="F2307" t="n">
        <v>8.199999999999999</v>
      </c>
      <c r="G2307" t="n">
        <v>9.5</v>
      </c>
      <c r="H2307" t="n">
        <v>76.3</v>
      </c>
      <c r="I2307" t="n">
        <v>4.9</v>
      </c>
      <c r="J2307" t="n">
        <v>2.4</v>
      </c>
      <c r="K2307" t="n">
        <v>77.3</v>
      </c>
      <c r="L2307" t="n">
        <v>11</v>
      </c>
      <c r="M2307" t="n">
        <v>15</v>
      </c>
      <c r="N2307" t="inlineStr">
        <is>
          <t>301–350</t>
        </is>
      </c>
      <c r="O2307" t="inlineStr">
        <is>
          <t>51.1–53.0</t>
        </is>
      </c>
      <c r="P2307" t="n">
        <v>38</v>
      </c>
      <c r="Q2307" t="n">
        <v>31.6</v>
      </c>
      <c r="R2307" t="n">
        <v>84.5</v>
      </c>
      <c r="S2307" t="n">
        <v>72.90000000000001</v>
      </c>
      <c r="T2307" t="n">
        <v>56.1</v>
      </c>
      <c r="U2307" t="inlineStr">
        <is>
          <t>28,377</t>
        </is>
      </c>
      <c r="V2307" t="n">
        <v>17</v>
      </c>
      <c r="W2307" t="inlineStr">
        <is>
          <t>3%</t>
        </is>
      </c>
      <c r="X2307" t="inlineStr"/>
      <c r="Y2307" t="n">
        <v>481</v>
      </c>
      <c r="Z2307" t="n">
        <v>301</v>
      </c>
      <c r="AA2307" t="n">
        <v>52.05</v>
      </c>
      <c r="AB2307" t="inlineStr">
        <is>
          <t>U2306</t>
        </is>
      </c>
      <c r="AC2307" t="inlineStr">
        <is>
          <t>UN</t>
        </is>
      </c>
      <c r="AD2307" t="n">
        <v>25</v>
      </c>
      <c r="AE2307" t="n">
        <v>76.3</v>
      </c>
      <c r="AF2307" t="n">
        <v>17</v>
      </c>
      <c r="AG2307" t="inlineStr">
        <is>
          <t>1:17.0</t>
        </is>
      </c>
      <c r="AH2307" t="inlineStr">
        <is>
          <t>3%</t>
        </is>
      </c>
      <c r="AI2307" t="n">
        <v>10.1</v>
      </c>
      <c r="AJ2307" t="n">
        <v>46.64</v>
      </c>
    </row>
    <row r="2308">
      <c r="A2308" t="inlineStr">
        <is>
          <t>The University of Texas at Arlington</t>
        </is>
      </c>
      <c r="B2308" t="inlineStr">
        <is>
          <t>United States</t>
        </is>
      </c>
      <c r="C2308" t="inlineStr">
        <is>
          <t>1001-1200</t>
        </is>
      </c>
      <c r="D2308" t="inlineStr"/>
      <c r="E2308" t="n">
        <v>4.6</v>
      </c>
      <c r="F2308" t="n">
        <v>5.1</v>
      </c>
      <c r="G2308" t="n">
        <v>4.5</v>
      </c>
      <c r="H2308" t="n">
        <v>9.800000000000001</v>
      </c>
      <c r="I2308" t="n">
        <v>1.9</v>
      </c>
      <c r="J2308" t="n">
        <v>29.6</v>
      </c>
      <c r="K2308" t="n">
        <v>61.6</v>
      </c>
      <c r="L2308" t="n">
        <v>8.1</v>
      </c>
      <c r="M2308" t="n">
        <v>40.4</v>
      </c>
      <c r="N2308" t="inlineStr">
        <is>
          <t>601–800</t>
        </is>
      </c>
      <c r="O2308" t="inlineStr">
        <is>
          <t>37.0–41.8</t>
        </is>
      </c>
      <c r="P2308" t="n">
        <v>25.2</v>
      </c>
      <c r="Q2308" t="n">
        <v>20.5</v>
      </c>
      <c r="R2308" t="n">
        <v>65.5</v>
      </c>
      <c r="S2308" t="n">
        <v>62.9</v>
      </c>
      <c r="T2308" t="n">
        <v>55</v>
      </c>
      <c r="U2308" t="inlineStr">
        <is>
          <t>40,412</t>
        </is>
      </c>
      <c r="V2308" t="n">
        <v>31.9</v>
      </c>
      <c r="W2308" t="inlineStr">
        <is>
          <t>11%</t>
        </is>
      </c>
      <c r="X2308" t="inlineStr">
        <is>
          <t>63 : 37</t>
        </is>
      </c>
      <c r="Y2308" t="n">
        <v>1001</v>
      </c>
      <c r="Z2308" t="n">
        <v>601</v>
      </c>
      <c r="AA2308" t="n">
        <v>39.4</v>
      </c>
      <c r="AB2308" t="inlineStr">
        <is>
          <t>U2307</t>
        </is>
      </c>
      <c r="AC2308" t="inlineStr">
        <is>
          <t>UN</t>
        </is>
      </c>
      <c r="AD2308" t="n">
        <v>39.4</v>
      </c>
      <c r="AE2308" t="n">
        <v>9.800000000000001</v>
      </c>
      <c r="AF2308" t="n">
        <v>31.9</v>
      </c>
      <c r="AG2308" t="inlineStr">
        <is>
          <t>1:31.9</t>
        </is>
      </c>
      <c r="AH2308" t="inlineStr">
        <is>
          <t>11%</t>
        </is>
      </c>
      <c r="AI2308" t="n">
        <v>4.6</v>
      </c>
      <c r="AJ2308" t="n">
        <v>20.41</v>
      </c>
    </row>
    <row r="2309">
      <c r="A2309" t="inlineStr">
        <is>
          <t>University of Texas at Austin</t>
        </is>
      </c>
      <c r="B2309" t="inlineStr">
        <is>
          <t>United States</t>
        </is>
      </c>
      <c r="C2309" t="inlineStr">
        <is>
          <t>66</t>
        </is>
      </c>
      <c r="D2309" t="n">
        <v>69.5</v>
      </c>
      <c r="E2309" t="n">
        <v>93.5</v>
      </c>
      <c r="F2309" t="n">
        <v>86.59999999999999</v>
      </c>
      <c r="G2309" t="n">
        <v>8.1</v>
      </c>
      <c r="H2309" t="n">
        <v>76.7</v>
      </c>
      <c r="I2309" t="n">
        <v>6.1</v>
      </c>
      <c r="J2309" t="n">
        <v>11.7</v>
      </c>
      <c r="K2309" t="n">
        <v>91.7</v>
      </c>
      <c r="L2309" t="n">
        <v>81.7</v>
      </c>
      <c r="M2309" t="n">
        <v>52.1</v>
      </c>
      <c r="N2309" t="inlineStr">
        <is>
          <t>52</t>
        </is>
      </c>
      <c r="O2309" t="inlineStr">
        <is>
          <t>75.5</t>
        </is>
      </c>
      <c r="P2309" t="n">
        <v>66</v>
      </c>
      <c r="Q2309" t="n">
        <v>75.7</v>
      </c>
      <c r="R2309" t="n">
        <v>91</v>
      </c>
      <c r="S2309" t="n">
        <v>81.40000000000001</v>
      </c>
      <c r="T2309" t="n">
        <v>47.3</v>
      </c>
      <c r="U2309" t="inlineStr">
        <is>
          <t>48,558</t>
        </is>
      </c>
      <c r="V2309" t="n">
        <v>16.4</v>
      </c>
      <c r="W2309" t="inlineStr">
        <is>
          <t>8%</t>
        </is>
      </c>
      <c r="X2309" t="inlineStr">
        <is>
          <t>55 : 45</t>
        </is>
      </c>
      <c r="Y2309" t="n">
        <v>66</v>
      </c>
      <c r="Z2309" t="n">
        <v>52</v>
      </c>
      <c r="AA2309" t="n">
        <v>75.5</v>
      </c>
      <c r="AB2309" t="inlineStr">
        <is>
          <t>U2308</t>
        </is>
      </c>
      <c r="AC2309" t="inlineStr">
        <is>
          <t>UN</t>
        </is>
      </c>
      <c r="AD2309" t="n">
        <v>69.5</v>
      </c>
      <c r="AE2309" t="n">
        <v>76.7</v>
      </c>
      <c r="AF2309" t="n">
        <v>16.4</v>
      </c>
      <c r="AG2309" t="inlineStr">
        <is>
          <t>1:16.4</t>
        </is>
      </c>
      <c r="AH2309" t="inlineStr">
        <is>
          <t>8%</t>
        </is>
      </c>
      <c r="AI2309" t="n">
        <v>93.5</v>
      </c>
      <c r="AJ2309" t="n">
        <v>67.75</v>
      </c>
    </row>
    <row r="2310">
      <c r="A2310" t="inlineStr">
        <is>
          <t>University of Texas at Dallas</t>
        </is>
      </c>
      <c r="B2310" t="inlineStr">
        <is>
          <t>United States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>
        <is>
          <t>351–400</t>
        </is>
      </c>
      <c r="O2310" t="inlineStr">
        <is>
          <t>49.1–51.0</t>
        </is>
      </c>
      <c r="P2310" t="n">
        <v>29.5</v>
      </c>
      <c r="Q2310" t="n">
        <v>28.3</v>
      </c>
      <c r="R2310" t="n">
        <v>84.90000000000001</v>
      </c>
      <c r="S2310" t="n">
        <v>72.3</v>
      </c>
      <c r="T2310" t="n">
        <v>62.7</v>
      </c>
      <c r="U2310" t="inlineStr">
        <is>
          <t>24,679</t>
        </is>
      </c>
      <c r="V2310" t="n">
        <v>21.6</v>
      </c>
      <c r="W2310" t="inlineStr">
        <is>
          <t>15%</t>
        </is>
      </c>
      <c r="X2310" t="inlineStr">
        <is>
          <t>44 : 56</t>
        </is>
      </c>
      <c r="Y2310" t="inlineStr"/>
      <c r="Z2310" t="n">
        <v>351</v>
      </c>
      <c r="AA2310" t="n">
        <v>50.05</v>
      </c>
      <c r="AB2310" t="inlineStr">
        <is>
          <t>U2309</t>
        </is>
      </c>
      <c r="AC2310" t="inlineStr">
        <is>
          <t>UN</t>
        </is>
      </c>
      <c r="AD2310" t="n">
        <v>50.05</v>
      </c>
      <c r="AE2310" t="n">
        <v>84.90000000000001</v>
      </c>
      <c r="AF2310" t="n">
        <v>21.6</v>
      </c>
      <c r="AG2310" t="inlineStr">
        <is>
          <t>1:21.6</t>
        </is>
      </c>
      <c r="AH2310" t="inlineStr">
        <is>
          <t>15%</t>
        </is>
      </c>
      <c r="AI2310" t="inlineStr"/>
      <c r="AJ2310" t="n">
        <v>49.12</v>
      </c>
    </row>
    <row r="2311">
      <c r="A2311" t="inlineStr">
        <is>
          <t>University of Texas at El Paso</t>
        </is>
      </c>
      <c r="B2311" t="inlineStr">
        <is>
          <t>United States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>
        <is>
          <t>801–1000</t>
        </is>
      </c>
      <c r="O2311" t="inlineStr">
        <is>
          <t>32.7–36.9</t>
        </is>
      </c>
      <c r="P2311" t="n">
        <v>24.5</v>
      </c>
      <c r="Q2311" t="n">
        <v>28.7</v>
      </c>
      <c r="R2311" t="n">
        <v>44.8</v>
      </c>
      <c r="S2311" t="n">
        <v>51.9</v>
      </c>
      <c r="T2311" t="n">
        <v>46.8</v>
      </c>
      <c r="U2311" t="inlineStr">
        <is>
          <t>18,012</t>
        </is>
      </c>
      <c r="V2311" t="n">
        <v>22.9</v>
      </c>
      <c r="W2311" t="inlineStr">
        <is>
          <t>6%</t>
        </is>
      </c>
      <c r="X2311" t="inlineStr">
        <is>
          <t>55 : 45</t>
        </is>
      </c>
      <c r="Y2311" t="inlineStr"/>
      <c r="Z2311" t="n">
        <v>801</v>
      </c>
      <c r="AA2311" t="n">
        <v>34.8</v>
      </c>
      <c r="AB2311" t="inlineStr">
        <is>
          <t>U2310</t>
        </is>
      </c>
      <c r="AC2311" t="inlineStr">
        <is>
          <t>UN</t>
        </is>
      </c>
      <c r="AD2311" t="n">
        <v>34.8</v>
      </c>
      <c r="AE2311" t="n">
        <v>44.8</v>
      </c>
      <c r="AF2311" t="n">
        <v>22.9</v>
      </c>
      <c r="AG2311" t="inlineStr">
        <is>
          <t>1:22.9</t>
        </is>
      </c>
      <c r="AH2311" t="inlineStr">
        <is>
          <t>6%</t>
        </is>
      </c>
      <c r="AI2311" t="inlineStr"/>
      <c r="AJ2311" t="n">
        <v>33.33</v>
      </c>
    </row>
    <row r="2312">
      <c r="A2312" t="inlineStr">
        <is>
          <t>University of Texas at San Antonio</t>
        </is>
      </c>
      <c r="B2312" t="inlineStr">
        <is>
          <t>United States</t>
        </is>
      </c>
      <c r="C2312" t="inlineStr">
        <is>
          <t>1001-1200</t>
        </is>
      </c>
      <c r="D2312" t="inlineStr"/>
      <c r="E2312" t="n">
        <v>6</v>
      </c>
      <c r="F2312" t="n">
        <v>3</v>
      </c>
      <c r="G2312" t="n">
        <v>3.9</v>
      </c>
      <c r="H2312" t="n">
        <v>22.8</v>
      </c>
      <c r="I2312" t="n">
        <v>8.800000000000001</v>
      </c>
      <c r="J2312" t="n">
        <v>2.7</v>
      </c>
      <c r="K2312" t="n">
        <v>60.5</v>
      </c>
      <c r="L2312" t="n">
        <v>5.1</v>
      </c>
      <c r="M2312" t="n">
        <v>3.8</v>
      </c>
      <c r="N2312" t="inlineStr">
        <is>
          <t>501–600</t>
        </is>
      </c>
      <c r="O2312" t="inlineStr">
        <is>
          <t>41.9–45.3</t>
        </is>
      </c>
      <c r="P2312" t="n">
        <v>21</v>
      </c>
      <c r="Q2312" t="n">
        <v>22.5</v>
      </c>
      <c r="R2312" t="n">
        <v>79.2</v>
      </c>
      <c r="S2312" t="n">
        <v>63.6</v>
      </c>
      <c r="T2312" t="n">
        <v>42.8</v>
      </c>
      <c r="U2312" t="inlineStr">
        <is>
          <t>28,469</t>
        </is>
      </c>
      <c r="V2312" t="n">
        <v>26.4</v>
      </c>
      <c r="W2312" t="inlineStr">
        <is>
          <t>3%</t>
        </is>
      </c>
      <c r="X2312" t="inlineStr">
        <is>
          <t>52 : 48</t>
        </is>
      </c>
      <c r="Y2312" t="n">
        <v>1001</v>
      </c>
      <c r="Z2312" t="n">
        <v>501</v>
      </c>
      <c r="AA2312" t="n">
        <v>43.59999999999999</v>
      </c>
      <c r="AB2312" t="inlineStr">
        <is>
          <t>U2311</t>
        </is>
      </c>
      <c r="AC2312" t="inlineStr">
        <is>
          <t>UN</t>
        </is>
      </c>
      <c r="AD2312" t="n">
        <v>43.59999999999999</v>
      </c>
      <c r="AE2312" t="n">
        <v>22.8</v>
      </c>
      <c r="AF2312" t="n">
        <v>26.4</v>
      </c>
      <c r="AG2312" t="inlineStr">
        <is>
          <t>1:26.4</t>
        </is>
      </c>
      <c r="AH2312" t="inlineStr">
        <is>
          <t>3%</t>
        </is>
      </c>
      <c r="AI2312" t="n">
        <v>6</v>
      </c>
      <c r="AJ2312" t="n">
        <v>22.44</v>
      </c>
    </row>
    <row r="2313">
      <c r="A2313" t="inlineStr">
        <is>
          <t>University of Texas Dallas</t>
        </is>
      </c>
      <c r="B2313" t="inlineStr">
        <is>
          <t>United States</t>
        </is>
      </c>
      <c r="C2313" t="inlineStr">
        <is>
          <t>596</t>
        </is>
      </c>
      <c r="D2313" t="n">
        <v>20.8</v>
      </c>
      <c r="E2313" t="n">
        <v>13.1</v>
      </c>
      <c r="F2313" t="n">
        <v>15.9</v>
      </c>
      <c r="G2313" t="n">
        <v>3.4</v>
      </c>
      <c r="H2313" t="n">
        <v>43.3</v>
      </c>
      <c r="I2313" t="n">
        <v>9.699999999999999</v>
      </c>
      <c r="J2313" t="n">
        <v>47.4</v>
      </c>
      <c r="K2313" t="n">
        <v>60.4</v>
      </c>
      <c r="L2313" t="n">
        <v>4.9</v>
      </c>
      <c r="M2313" t="n">
        <v>9.5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n">
        <v>596</v>
      </c>
      <c r="Z2313" t="inlineStr"/>
      <c r="AA2313" t="inlineStr"/>
      <c r="AB2313" t="inlineStr">
        <is>
          <t>U2312</t>
        </is>
      </c>
      <c r="AC2313" t="inlineStr">
        <is>
          <t>UN</t>
        </is>
      </c>
      <c r="AD2313" t="n">
        <v>20.8</v>
      </c>
      <c r="AE2313" t="n">
        <v>43.3</v>
      </c>
      <c r="AF2313" t="inlineStr"/>
      <c r="AG2313" t="inlineStr"/>
      <c r="AH2313" t="inlineStr"/>
      <c r="AI2313" t="n">
        <v>13.1</v>
      </c>
      <c r="AJ2313" t="n">
        <v>26.51</v>
      </c>
    </row>
    <row r="2314">
      <c r="A2314" t="inlineStr">
        <is>
          <t xml:space="preserve">University of Texas El Paso </t>
        </is>
      </c>
      <c r="B2314" t="inlineStr">
        <is>
          <t>United States</t>
        </is>
      </c>
      <c r="C2314" t="inlineStr">
        <is>
          <t>1001-1200</t>
        </is>
      </c>
      <c r="D2314" t="inlineStr"/>
      <c r="E2314" t="n">
        <v>4.4</v>
      </c>
      <c r="F2314" t="n">
        <v>2.6</v>
      </c>
      <c r="G2314" t="n">
        <v>5.7</v>
      </c>
      <c r="H2314" t="n">
        <v>14.2</v>
      </c>
      <c r="I2314" t="n">
        <v>9</v>
      </c>
      <c r="J2314" t="n">
        <v>5.3</v>
      </c>
      <c r="K2314" t="n">
        <v>66.2</v>
      </c>
      <c r="L2314" t="n">
        <v>3</v>
      </c>
      <c r="M2314" t="n">
        <v>2.9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n">
        <v>1001</v>
      </c>
      <c r="Z2314" t="inlineStr"/>
      <c r="AA2314" t="inlineStr"/>
      <c r="AB2314" t="inlineStr">
        <is>
          <t>U2313</t>
        </is>
      </c>
      <c r="AC2314" t="inlineStr">
        <is>
          <t>UN</t>
        </is>
      </c>
      <c r="AD2314" t="inlineStr"/>
      <c r="AE2314" t="n">
        <v>14.2</v>
      </c>
      <c r="AF2314" t="inlineStr"/>
      <c r="AG2314" t="inlineStr"/>
      <c r="AH2314" t="inlineStr"/>
      <c r="AI2314" t="n">
        <v>4.4</v>
      </c>
      <c r="AJ2314" t="n">
        <v>17.69</v>
      </c>
    </row>
    <row r="2315">
      <c r="A2315" t="inlineStr">
        <is>
          <t>University of Texas Rio Grande Valley</t>
        </is>
      </c>
      <c r="B2315" t="inlineStr">
        <is>
          <t>United States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>
        <is>
          <t>1201–1500</t>
        </is>
      </c>
      <c r="O2315" t="inlineStr">
        <is>
          <t>22.8–28.2</t>
        </is>
      </c>
      <c r="P2315" t="n">
        <v>17.9</v>
      </c>
      <c r="Q2315" t="n">
        <v>8.5</v>
      </c>
      <c r="R2315" t="n">
        <v>45.1</v>
      </c>
      <c r="S2315" t="n">
        <v>17.4</v>
      </c>
      <c r="T2315" t="n">
        <v>46.1</v>
      </c>
      <c r="U2315" t="inlineStr">
        <is>
          <t>28,703</t>
        </is>
      </c>
      <c r="V2315" t="n">
        <v>21.7</v>
      </c>
      <c r="W2315" t="inlineStr">
        <is>
          <t>2%</t>
        </is>
      </c>
      <c r="X2315" t="inlineStr">
        <is>
          <t>61 : 39</t>
        </is>
      </c>
      <c r="Y2315" t="inlineStr"/>
      <c r="Z2315" t="n">
        <v>1201</v>
      </c>
      <c r="AA2315" t="n">
        <v>25.5</v>
      </c>
      <c r="AB2315" t="inlineStr">
        <is>
          <t>U2314</t>
        </is>
      </c>
      <c r="AC2315" t="inlineStr">
        <is>
          <t>UN</t>
        </is>
      </c>
      <c r="AD2315" t="n">
        <v>25.5</v>
      </c>
      <c r="AE2315" t="n">
        <v>45.1</v>
      </c>
      <c r="AF2315" t="n">
        <v>21.7</v>
      </c>
      <c r="AG2315" t="inlineStr">
        <is>
          <t>1:21.7</t>
        </is>
      </c>
      <c r="AH2315" t="inlineStr">
        <is>
          <t>2%</t>
        </is>
      </c>
      <c r="AI2315" t="inlineStr"/>
      <c r="AJ2315" t="n">
        <v>22.66</v>
      </c>
    </row>
    <row r="2316">
      <c r="A2316" t="inlineStr">
        <is>
          <t>University of the Aegean</t>
        </is>
      </c>
      <c r="B2316" t="inlineStr">
        <is>
          <t>Greece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>
        <is>
          <t>801–1000</t>
        </is>
      </c>
      <c r="O2316" t="inlineStr">
        <is>
          <t>32.7–36.9</t>
        </is>
      </c>
      <c r="P2316" t="n">
        <v>18.3</v>
      </c>
      <c r="Q2316" t="n">
        <v>21.9</v>
      </c>
      <c r="R2316" t="n">
        <v>54.4</v>
      </c>
      <c r="S2316" t="n">
        <v>80</v>
      </c>
      <c r="T2316" t="n">
        <v>33.9</v>
      </c>
      <c r="U2316" t="inlineStr">
        <is>
          <t>20,139</t>
        </is>
      </c>
      <c r="V2316" t="n">
        <v>63.5</v>
      </c>
      <c r="W2316" t="inlineStr">
        <is>
          <t>1%</t>
        </is>
      </c>
      <c r="X2316" t="inlineStr">
        <is>
          <t>55 : 45</t>
        </is>
      </c>
      <c r="Y2316" t="inlineStr"/>
      <c r="Z2316" t="n">
        <v>801</v>
      </c>
      <c r="AA2316" t="n">
        <v>34.8</v>
      </c>
      <c r="AB2316" t="inlineStr">
        <is>
          <t>U2315</t>
        </is>
      </c>
      <c r="AC2316" t="inlineStr">
        <is>
          <t>GR</t>
        </is>
      </c>
      <c r="AD2316" t="n">
        <v>34.8</v>
      </c>
      <c r="AE2316" t="n">
        <v>54.4</v>
      </c>
      <c r="AF2316" t="n">
        <v>63.5</v>
      </c>
      <c r="AG2316" t="inlineStr">
        <is>
          <t>1:63.5</t>
        </is>
      </c>
      <c r="AH2316" t="inlineStr">
        <is>
          <t>1%</t>
        </is>
      </c>
      <c r="AI2316" t="inlineStr"/>
      <c r="AJ2316" t="n">
        <v>29.55</v>
      </c>
    </row>
    <row r="2317">
      <c r="A2317" t="inlineStr">
        <is>
          <t>University of the Andes, Chile</t>
        </is>
      </c>
      <c r="B2317" t="inlineStr">
        <is>
          <t>Chile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>
        <is>
          <t>1201–1500</t>
        </is>
      </c>
      <c r="O2317" t="inlineStr">
        <is>
          <t>22.8–28.2</t>
        </is>
      </c>
      <c r="P2317" t="n">
        <v>20.6</v>
      </c>
      <c r="Q2317" t="n">
        <v>15.7</v>
      </c>
      <c r="R2317" t="n">
        <v>30.1</v>
      </c>
      <c r="S2317" t="n">
        <v>17.2</v>
      </c>
      <c r="T2317" t="n">
        <v>50</v>
      </c>
      <c r="U2317" t="inlineStr">
        <is>
          <t>9,711</t>
        </is>
      </c>
      <c r="V2317" t="n">
        <v>17.9</v>
      </c>
      <c r="W2317" t="inlineStr">
        <is>
          <t>2%</t>
        </is>
      </c>
      <c r="X2317" t="inlineStr">
        <is>
          <t>66 : 34</t>
        </is>
      </c>
      <c r="Y2317" t="inlineStr"/>
      <c r="Z2317" t="n">
        <v>1201</v>
      </c>
      <c r="AA2317" t="n">
        <v>25.5</v>
      </c>
      <c r="AB2317" t="inlineStr">
        <is>
          <t>U2316</t>
        </is>
      </c>
      <c r="AC2317" t="inlineStr">
        <is>
          <t>CH</t>
        </is>
      </c>
      <c r="AD2317" t="n">
        <v>25.5</v>
      </c>
      <c r="AE2317" t="n">
        <v>30.1</v>
      </c>
      <c r="AF2317" t="n">
        <v>17.9</v>
      </c>
      <c r="AG2317" t="inlineStr">
        <is>
          <t>1:17.9</t>
        </is>
      </c>
      <c r="AH2317" t="inlineStr">
        <is>
          <t>2%</t>
        </is>
      </c>
      <c r="AI2317" t="inlineStr"/>
      <c r="AJ2317" t="n">
        <v>22.83</v>
      </c>
    </row>
    <row r="2318">
      <c r="A2318" t="inlineStr">
        <is>
          <t>University of the Andes, Colombia</t>
        </is>
      </c>
      <c r="B2318" t="inlineStr">
        <is>
          <t>Colombia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>
        <is>
          <t>801–1000</t>
        </is>
      </c>
      <c r="O2318" t="inlineStr">
        <is>
          <t>32.7–36.9</t>
        </is>
      </c>
      <c r="P2318" t="n">
        <v>24.4</v>
      </c>
      <c r="Q2318" t="n">
        <v>19.6</v>
      </c>
      <c r="R2318" t="n">
        <v>48.4</v>
      </c>
      <c r="S2318" t="n">
        <v>28.5</v>
      </c>
      <c r="T2318" t="n">
        <v>60.8</v>
      </c>
      <c r="U2318" t="inlineStr">
        <is>
          <t>15,951</t>
        </is>
      </c>
      <c r="V2318" t="n">
        <v>13.5</v>
      </c>
      <c r="W2318" t="inlineStr">
        <is>
          <t>2%</t>
        </is>
      </c>
      <c r="X2318" t="inlineStr">
        <is>
          <t>45 : 55</t>
        </is>
      </c>
      <c r="Y2318" t="inlineStr"/>
      <c r="Z2318" t="n">
        <v>801</v>
      </c>
      <c r="AA2318" t="n">
        <v>34.8</v>
      </c>
      <c r="AB2318" t="inlineStr">
        <is>
          <t>U2317</t>
        </is>
      </c>
      <c r="AC2318" t="inlineStr">
        <is>
          <t>CO</t>
        </is>
      </c>
      <c r="AD2318" t="n">
        <v>34.8</v>
      </c>
      <c r="AE2318" t="n">
        <v>48.4</v>
      </c>
      <c r="AF2318" t="n">
        <v>13.5</v>
      </c>
      <c r="AG2318" t="inlineStr">
        <is>
          <t>1:13.5</t>
        </is>
      </c>
      <c r="AH2318" t="inlineStr">
        <is>
          <t>2%</t>
        </is>
      </c>
      <c r="AI2318" t="inlineStr"/>
      <c r="AJ2318" t="n">
        <v>33.04</v>
      </c>
    </row>
    <row r="2319">
      <c r="A2319" t="inlineStr">
        <is>
          <t>University of the Andes, Venezuela</t>
        </is>
      </c>
      <c r="B2319" t="inlineStr">
        <is>
          <t>Venezuela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>
        <is>
          <t>1501+</t>
        </is>
      </c>
      <c r="O2319" t="inlineStr">
        <is>
          <t>9.7–22.7</t>
        </is>
      </c>
      <c r="P2319" t="n">
        <v>21.9</v>
      </c>
      <c r="Q2319" t="n">
        <v>8.6</v>
      </c>
      <c r="R2319" t="n">
        <v>8.800000000000001</v>
      </c>
      <c r="S2319" t="n">
        <v>27.7</v>
      </c>
      <c r="T2319" t="n">
        <v>50.2</v>
      </c>
      <c r="U2319" t="inlineStr">
        <is>
          <t>20,302</t>
        </is>
      </c>
      <c r="V2319" t="n">
        <v>10.1</v>
      </c>
      <c r="W2319" t="inlineStr">
        <is>
          <t>2%</t>
        </is>
      </c>
      <c r="X2319" t="inlineStr">
        <is>
          <t>61 : 39</t>
        </is>
      </c>
      <c r="Y2319" t="inlineStr"/>
      <c r="Z2319" t="n">
        <v>1501</v>
      </c>
      <c r="AA2319" t="n">
        <v>16.2</v>
      </c>
      <c r="AB2319" t="inlineStr">
        <is>
          <t>U2318</t>
        </is>
      </c>
      <c r="AC2319" t="inlineStr">
        <is>
          <t>VE</t>
        </is>
      </c>
      <c r="AD2319" t="n">
        <v>16.2</v>
      </c>
      <c r="AE2319" t="n">
        <v>8.800000000000001</v>
      </c>
      <c r="AF2319" t="n">
        <v>10.1</v>
      </c>
      <c r="AG2319" t="inlineStr">
        <is>
          <t>1:10.1</t>
        </is>
      </c>
      <c r="AH2319" t="inlineStr">
        <is>
          <t>2%</t>
        </is>
      </c>
      <c r="AI2319" t="inlineStr"/>
      <c r="AJ2319" t="n">
        <v>12.71</v>
      </c>
    </row>
    <row r="2320">
      <c r="A2320" t="inlineStr">
        <is>
          <t>University of the Balearic Islands</t>
        </is>
      </c>
      <c r="B2320" t="inlineStr">
        <is>
          <t>Spain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>
        <is>
          <t>801–1000</t>
        </is>
      </c>
      <c r="O2320" t="inlineStr">
        <is>
          <t>32.7–36.9</t>
        </is>
      </c>
      <c r="P2320" t="n">
        <v>26.8</v>
      </c>
      <c r="Q2320" t="n">
        <v>15.1</v>
      </c>
      <c r="R2320" t="n">
        <v>56.4</v>
      </c>
      <c r="S2320" t="n">
        <v>32</v>
      </c>
      <c r="T2320" t="n">
        <v>58.1</v>
      </c>
      <c r="U2320" t="inlineStr">
        <is>
          <t>12,276</t>
        </is>
      </c>
      <c r="V2320" t="n">
        <v>9.4</v>
      </c>
      <c r="W2320" t="inlineStr">
        <is>
          <t>8%</t>
        </is>
      </c>
      <c r="X2320" t="inlineStr">
        <is>
          <t>60 : 40</t>
        </is>
      </c>
      <c r="Y2320" t="inlineStr"/>
      <c r="Z2320" t="n">
        <v>801</v>
      </c>
      <c r="AA2320" t="n">
        <v>34.8</v>
      </c>
      <c r="AB2320" t="inlineStr">
        <is>
          <t>U2319</t>
        </is>
      </c>
      <c r="AC2320" t="inlineStr">
        <is>
          <t>SP</t>
        </is>
      </c>
      <c r="AD2320" t="n">
        <v>34.8</v>
      </c>
      <c r="AE2320" t="n">
        <v>56.4</v>
      </c>
      <c r="AF2320" t="n">
        <v>9.4</v>
      </c>
      <c r="AG2320" t="inlineStr">
        <is>
          <t>1:9.4</t>
        </is>
      </c>
      <c r="AH2320" t="inlineStr">
        <is>
          <t>8%</t>
        </is>
      </c>
      <c r="AI2320" t="inlineStr"/>
      <c r="AJ2320" t="n">
        <v>32.45</v>
      </c>
    </row>
    <row r="2321">
      <c r="A2321" t="inlineStr">
        <is>
          <t>University of the Basque Country</t>
        </is>
      </c>
      <c r="B2321" t="inlineStr">
        <is>
          <t>Spain</t>
        </is>
      </c>
      <c r="C2321" t="inlineStr">
        <is>
          <t>641-650</t>
        </is>
      </c>
      <c r="D2321" t="inlineStr"/>
      <c r="E2321" t="n">
        <v>19.5</v>
      </c>
      <c r="F2321" t="n">
        <v>7.3</v>
      </c>
      <c r="G2321" t="n">
        <v>32.8</v>
      </c>
      <c r="H2321" t="n">
        <v>19</v>
      </c>
      <c r="I2321" t="n">
        <v>2.4</v>
      </c>
      <c r="J2321" t="n">
        <v>3.5</v>
      </c>
      <c r="K2321" t="n">
        <v>90.8</v>
      </c>
      <c r="L2321" t="n">
        <v>22.8</v>
      </c>
      <c r="M2321" t="n">
        <v>7.3</v>
      </c>
      <c r="N2321" t="inlineStr">
        <is>
          <t>601–800</t>
        </is>
      </c>
      <c r="O2321" t="inlineStr">
        <is>
          <t>37.0–41.8</t>
        </is>
      </c>
      <c r="P2321" t="n">
        <v>27</v>
      </c>
      <c r="Q2321" t="n">
        <v>23.9</v>
      </c>
      <c r="R2321" t="n">
        <v>65.8</v>
      </c>
      <c r="S2321" t="n">
        <v>65.5</v>
      </c>
      <c r="T2321" t="n">
        <v>46.2</v>
      </c>
      <c r="U2321" t="inlineStr">
        <is>
          <t>38,301</t>
        </is>
      </c>
      <c r="V2321" t="n">
        <v>13.8</v>
      </c>
      <c r="W2321" t="inlineStr">
        <is>
          <t>5%</t>
        </is>
      </c>
      <c r="X2321" t="inlineStr">
        <is>
          <t>55 : 45</t>
        </is>
      </c>
      <c r="Y2321" t="n">
        <v>641</v>
      </c>
      <c r="Z2321" t="n">
        <v>601</v>
      </c>
      <c r="AA2321" t="n">
        <v>39.4</v>
      </c>
      <c r="AB2321" t="inlineStr">
        <is>
          <t>U2320</t>
        </is>
      </c>
      <c r="AC2321" t="inlineStr">
        <is>
          <t>SP</t>
        </is>
      </c>
      <c r="AD2321" t="n">
        <v>39.4</v>
      </c>
      <c r="AE2321" t="n">
        <v>19</v>
      </c>
      <c r="AF2321" t="n">
        <v>13.8</v>
      </c>
      <c r="AG2321" t="inlineStr">
        <is>
          <t>1:13.8</t>
        </is>
      </c>
      <c r="AH2321" t="inlineStr">
        <is>
          <t>5%</t>
        </is>
      </c>
      <c r="AI2321" t="n">
        <v>19.5</v>
      </c>
      <c r="AJ2321" t="n">
        <v>22.85</v>
      </c>
    </row>
    <row r="2322">
      <c r="A2322" t="inlineStr">
        <is>
          <t>University of the Free State</t>
        </is>
      </c>
      <c r="B2322" t="inlineStr">
        <is>
          <t>South Africa</t>
        </is>
      </c>
      <c r="C2322" t="inlineStr">
        <is>
          <t>1001-1200</t>
        </is>
      </c>
      <c r="D2322" t="inlineStr"/>
      <c r="E2322" t="n">
        <v>6.1</v>
      </c>
      <c r="F2322" t="n">
        <v>5.8</v>
      </c>
      <c r="G2322" t="n">
        <v>3.4</v>
      </c>
      <c r="H2322" t="n">
        <v>8.800000000000001</v>
      </c>
      <c r="I2322" t="inlineStr"/>
      <c r="J2322" t="n">
        <v>4.4</v>
      </c>
      <c r="K2322" t="n">
        <v>92.40000000000001</v>
      </c>
      <c r="L2322" t="n">
        <v>11.6</v>
      </c>
      <c r="M2322" t="n">
        <v>1.7</v>
      </c>
      <c r="N2322" t="inlineStr">
        <is>
          <t>801–1000</t>
        </is>
      </c>
      <c r="O2322" t="inlineStr">
        <is>
          <t>32.7–36.9</t>
        </is>
      </c>
      <c r="P2322" t="n">
        <v>22.4</v>
      </c>
      <c r="Q2322" t="n">
        <v>18.7</v>
      </c>
      <c r="R2322" t="n">
        <v>56.4</v>
      </c>
      <c r="S2322" t="n">
        <v>26.9</v>
      </c>
      <c r="T2322" t="n">
        <v>51.7</v>
      </c>
      <c r="U2322" t="inlineStr">
        <is>
          <t>33,247</t>
        </is>
      </c>
      <c r="V2322" t="n">
        <v>35.6</v>
      </c>
      <c r="W2322" t="inlineStr">
        <is>
          <t>2%</t>
        </is>
      </c>
      <c r="X2322" t="inlineStr">
        <is>
          <t>63 : 37</t>
        </is>
      </c>
      <c r="Y2322" t="n">
        <v>1001</v>
      </c>
      <c r="Z2322" t="n">
        <v>801</v>
      </c>
      <c r="AA2322" t="n">
        <v>34.8</v>
      </c>
      <c r="AB2322" t="inlineStr">
        <is>
          <t>U2321</t>
        </is>
      </c>
      <c r="AC2322" t="inlineStr">
        <is>
          <t>SO</t>
        </is>
      </c>
      <c r="AD2322" t="n">
        <v>34.8</v>
      </c>
      <c r="AE2322" t="n">
        <v>8.800000000000001</v>
      </c>
      <c r="AF2322" t="n">
        <v>35.6</v>
      </c>
      <c r="AG2322" t="inlineStr">
        <is>
          <t>1:35.6</t>
        </is>
      </c>
      <c r="AH2322" t="inlineStr">
        <is>
          <t>2%</t>
        </is>
      </c>
      <c r="AI2322" t="n">
        <v>6.1</v>
      </c>
      <c r="AJ2322" t="n">
        <v>18.36</v>
      </c>
    </row>
    <row r="2323">
      <c r="A2323" t="inlineStr">
        <is>
          <t>University of the North, Colombia</t>
        </is>
      </c>
      <c r="B2323" t="inlineStr">
        <is>
          <t>Colombia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>
        <is>
          <t>1501+</t>
        </is>
      </c>
      <c r="O2323" t="inlineStr">
        <is>
          <t>9.7–22.7</t>
        </is>
      </c>
      <c r="P2323" t="n">
        <v>18.3</v>
      </c>
      <c r="Q2323" t="n">
        <v>13</v>
      </c>
      <c r="R2323" t="n">
        <v>26</v>
      </c>
      <c r="S2323" t="n">
        <v>24</v>
      </c>
      <c r="T2323" t="n">
        <v>52.8</v>
      </c>
      <c r="U2323" t="inlineStr">
        <is>
          <t>13,471</t>
        </is>
      </c>
      <c r="V2323" t="n">
        <v>17.3</v>
      </c>
      <c r="W2323" t="inlineStr">
        <is>
          <t>0%</t>
        </is>
      </c>
      <c r="X2323" t="inlineStr">
        <is>
          <t>52 : 48</t>
        </is>
      </c>
      <c r="Y2323" t="inlineStr"/>
      <c r="Z2323" t="n">
        <v>1501</v>
      </c>
      <c r="AA2323" t="n">
        <v>16.2</v>
      </c>
      <c r="AB2323" t="inlineStr">
        <is>
          <t>U2322</t>
        </is>
      </c>
      <c r="AC2323" t="inlineStr">
        <is>
          <t>CO</t>
        </is>
      </c>
      <c r="AD2323" t="n">
        <v>16.2</v>
      </c>
      <c r="AE2323" t="n">
        <v>26</v>
      </c>
      <c r="AF2323" t="n">
        <v>17.3</v>
      </c>
      <c r="AG2323" t="inlineStr">
        <is>
          <t>1:17.3</t>
        </is>
      </c>
      <c r="AH2323" t="inlineStr">
        <is>
          <t>0%</t>
        </is>
      </c>
      <c r="AI2323" t="inlineStr"/>
      <c r="AJ2323" t="n">
        <v>20.85</v>
      </c>
    </row>
    <row r="2324">
      <c r="A2324" t="inlineStr">
        <is>
          <t>University of the Pacific</t>
        </is>
      </c>
      <c r="B2324" t="inlineStr">
        <is>
          <t>United States</t>
        </is>
      </c>
      <c r="C2324" t="inlineStr">
        <is>
          <t>1201-1400</t>
        </is>
      </c>
      <c r="D2324" t="inlineStr"/>
      <c r="E2324" t="n">
        <v>2.2</v>
      </c>
      <c r="F2324" t="n">
        <v>3.5</v>
      </c>
      <c r="G2324" t="n">
        <v>31.9</v>
      </c>
      <c r="H2324" t="n">
        <v>3</v>
      </c>
      <c r="I2324" t="n">
        <v>3.2</v>
      </c>
      <c r="J2324" t="n">
        <v>12</v>
      </c>
      <c r="K2324" t="n">
        <v>7.6</v>
      </c>
      <c r="L2324" t="n">
        <v>8.1</v>
      </c>
      <c r="M2324" t="n">
        <v>1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n">
        <v>1201</v>
      </c>
      <c r="Z2324" t="inlineStr"/>
      <c r="AA2324" t="inlineStr"/>
      <c r="AB2324" t="inlineStr">
        <is>
          <t>U2323</t>
        </is>
      </c>
      <c r="AC2324" t="inlineStr">
        <is>
          <t>UN</t>
        </is>
      </c>
      <c r="AD2324" t="inlineStr"/>
      <c r="AE2324" t="n">
        <v>3</v>
      </c>
      <c r="AF2324" t="inlineStr"/>
      <c r="AG2324" t="inlineStr"/>
      <c r="AH2324" t="inlineStr"/>
      <c r="AI2324" t="n">
        <v>2.2</v>
      </c>
      <c r="AJ2324" t="n">
        <v>14.3</v>
      </c>
    </row>
    <row r="2325">
      <c r="A2325" t="inlineStr">
        <is>
          <t>University of the Peloponnese</t>
        </is>
      </c>
      <c r="B2325" t="inlineStr">
        <is>
          <t>Greece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>
        <is>
          <t>1501+</t>
        </is>
      </c>
      <c r="O2325" t="inlineStr">
        <is>
          <t>9.7–22.7</t>
        </is>
      </c>
      <c r="P2325" t="n">
        <v>16.1</v>
      </c>
      <c r="Q2325" t="n">
        <v>12.6</v>
      </c>
      <c r="R2325" t="n">
        <v>28.9</v>
      </c>
      <c r="S2325" t="n">
        <v>29</v>
      </c>
      <c r="T2325" t="n">
        <v>27.8</v>
      </c>
      <c r="U2325" t="inlineStr">
        <is>
          <t>12,801</t>
        </is>
      </c>
      <c r="V2325" t="n">
        <v>39.4</v>
      </c>
      <c r="W2325" t="inlineStr">
        <is>
          <t>1%</t>
        </is>
      </c>
      <c r="X2325" t="inlineStr">
        <is>
          <t>52 : 48</t>
        </is>
      </c>
      <c r="Y2325" t="inlineStr"/>
      <c r="Z2325" t="n">
        <v>1501</v>
      </c>
      <c r="AA2325" t="n">
        <v>16.2</v>
      </c>
      <c r="AB2325" t="inlineStr">
        <is>
          <t>U2324</t>
        </is>
      </c>
      <c r="AC2325" t="inlineStr">
        <is>
          <t>GR</t>
        </is>
      </c>
      <c r="AD2325" t="n">
        <v>16.2</v>
      </c>
      <c r="AE2325" t="n">
        <v>28.9</v>
      </c>
      <c r="AF2325" t="n">
        <v>39.4</v>
      </c>
      <c r="AG2325" t="inlineStr">
        <is>
          <t>1:39.4</t>
        </is>
      </c>
      <c r="AH2325" t="inlineStr">
        <is>
          <t>1%</t>
        </is>
      </c>
      <c r="AI2325" t="inlineStr"/>
      <c r="AJ2325" t="n">
        <v>15.48</v>
      </c>
    </row>
    <row r="2326">
      <c r="A2326" t="inlineStr">
        <is>
          <t>University of the Philippines</t>
        </is>
      </c>
      <c r="B2326" t="inlineStr">
        <is>
          <t>Philippines</t>
        </is>
      </c>
      <c r="C2326" t="inlineStr">
        <is>
          <t>336</t>
        </is>
      </c>
      <c r="D2326" t="n">
        <v>33.3</v>
      </c>
      <c r="E2326" t="n">
        <v>36.3</v>
      </c>
      <c r="F2326" t="n">
        <v>65.3</v>
      </c>
      <c r="G2326" t="n">
        <v>31.1</v>
      </c>
      <c r="H2326" t="n">
        <v>1.9</v>
      </c>
      <c r="I2326" t="n">
        <v>1.6</v>
      </c>
      <c r="J2326" t="n">
        <v>1.1</v>
      </c>
      <c r="K2326" t="n">
        <v>60.9</v>
      </c>
      <c r="L2326" t="n">
        <v>65.59999999999999</v>
      </c>
      <c r="M2326" t="n">
        <v>67.7</v>
      </c>
      <c r="N2326" t="inlineStr">
        <is>
          <t>1201–1500</t>
        </is>
      </c>
      <c r="O2326" t="inlineStr">
        <is>
          <t>22.8–28.2</t>
        </is>
      </c>
      <c r="P2326" t="n">
        <v>25.4</v>
      </c>
      <c r="Q2326" t="n">
        <v>15.3</v>
      </c>
      <c r="R2326" t="n">
        <v>38.7</v>
      </c>
      <c r="S2326" t="n">
        <v>22.8</v>
      </c>
      <c r="T2326" t="n">
        <v>38.4</v>
      </c>
      <c r="U2326" t="inlineStr">
        <is>
          <t>53,676</t>
        </is>
      </c>
      <c r="V2326" t="n">
        <v>11.1</v>
      </c>
      <c r="W2326" t="inlineStr">
        <is>
          <t>0%</t>
        </is>
      </c>
      <c r="X2326" t="inlineStr">
        <is>
          <t>59 : 41</t>
        </is>
      </c>
      <c r="Y2326" t="n">
        <v>336</v>
      </c>
      <c r="Z2326" t="n">
        <v>1201</v>
      </c>
      <c r="AA2326" t="n">
        <v>25.5</v>
      </c>
      <c r="AB2326" t="inlineStr">
        <is>
          <t>U2325</t>
        </is>
      </c>
      <c r="AC2326" t="inlineStr">
        <is>
          <t>PH</t>
        </is>
      </c>
      <c r="AD2326" t="n">
        <v>33.3</v>
      </c>
      <c r="AE2326" t="n">
        <v>1.9</v>
      </c>
      <c r="AF2326" t="n">
        <v>11.1</v>
      </c>
      <c r="AG2326" t="inlineStr">
        <is>
          <t>1:11.1</t>
        </is>
      </c>
      <c r="AH2326" t="inlineStr">
        <is>
          <t>0%</t>
        </is>
      </c>
      <c r="AI2326" t="n">
        <v>36.3</v>
      </c>
      <c r="AJ2326" t="n">
        <v>11.27</v>
      </c>
    </row>
    <row r="2327">
      <c r="A2327" t="inlineStr">
        <is>
          <t>University of the Punjab</t>
        </is>
      </c>
      <c r="B2327" t="inlineStr">
        <is>
          <t>Pakistan</t>
        </is>
      </c>
      <c r="C2327" t="inlineStr">
        <is>
          <t>570</t>
        </is>
      </c>
      <c r="D2327" t="n">
        <v>21.8</v>
      </c>
      <c r="E2327" t="n">
        <v>15.6</v>
      </c>
      <c r="F2327" t="n">
        <v>52.2</v>
      </c>
      <c r="G2327" t="n">
        <v>4.5</v>
      </c>
      <c r="H2327" t="n">
        <v>11.6</v>
      </c>
      <c r="I2327" t="n">
        <v>3.2</v>
      </c>
      <c r="J2327" t="n">
        <v>1.3</v>
      </c>
      <c r="K2327" t="n">
        <v>62.2</v>
      </c>
      <c r="L2327" t="n">
        <v>81.40000000000001</v>
      </c>
      <c r="M2327" t="n">
        <v>4.3</v>
      </c>
      <c r="N2327" t="inlineStr">
        <is>
          <t>801–1000</t>
        </is>
      </c>
      <c r="O2327" t="inlineStr">
        <is>
          <t>32.7–36.9</t>
        </is>
      </c>
      <c r="P2327" t="n">
        <v>27.7</v>
      </c>
      <c r="Q2327" t="n">
        <v>14.7</v>
      </c>
      <c r="R2327" t="n">
        <v>62.4</v>
      </c>
      <c r="S2327" t="n">
        <v>24.9</v>
      </c>
      <c r="T2327" t="n">
        <v>46.7</v>
      </c>
      <c r="U2327" t="inlineStr">
        <is>
          <t>28,692</t>
        </is>
      </c>
      <c r="V2327" t="n">
        <v>22</v>
      </c>
      <c r="W2327" t="inlineStr">
        <is>
          <t>1%</t>
        </is>
      </c>
      <c r="X2327" t="inlineStr">
        <is>
          <t>52 : 48</t>
        </is>
      </c>
      <c r="Y2327" t="n">
        <v>570</v>
      </c>
      <c r="Z2327" t="n">
        <v>801</v>
      </c>
      <c r="AA2327" t="n">
        <v>34.8</v>
      </c>
      <c r="AB2327" t="inlineStr">
        <is>
          <t>U2326</t>
        </is>
      </c>
      <c r="AC2327" t="inlineStr">
        <is>
          <t>PA</t>
        </is>
      </c>
      <c r="AD2327" t="n">
        <v>21.8</v>
      </c>
      <c r="AE2327" t="n">
        <v>11.6</v>
      </c>
      <c r="AF2327" t="n">
        <v>22</v>
      </c>
      <c r="AG2327" t="inlineStr">
        <is>
          <t>1:22.0</t>
        </is>
      </c>
      <c r="AH2327" t="inlineStr">
        <is>
          <t>1%</t>
        </is>
      </c>
      <c r="AI2327" t="n">
        <v>15.6</v>
      </c>
      <c r="AJ2327" t="n">
        <v>15.91</v>
      </c>
    </row>
    <row r="2328">
      <c r="A2328" t="inlineStr">
        <is>
          <t>University of the Ryukyus</t>
        </is>
      </c>
      <c r="B2328" t="inlineStr">
        <is>
          <t>Japan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>
        <is>
          <t>1501+</t>
        </is>
      </c>
      <c r="O2328" t="inlineStr">
        <is>
          <t>9.7–22.7</t>
        </is>
      </c>
      <c r="P2328" t="n">
        <v>25.4</v>
      </c>
      <c r="Q2328" t="n">
        <v>14.1</v>
      </c>
      <c r="R2328" t="n">
        <v>22.6</v>
      </c>
      <c r="S2328" t="n">
        <v>37.2</v>
      </c>
      <c r="T2328" t="n">
        <v>37.6</v>
      </c>
      <c r="U2328" t="inlineStr">
        <is>
          <t>7,534</t>
        </is>
      </c>
      <c r="V2328" t="n">
        <v>9.9</v>
      </c>
      <c r="W2328" t="inlineStr">
        <is>
          <t>2%</t>
        </is>
      </c>
      <c r="X2328" t="inlineStr">
        <is>
          <t>39 : 61</t>
        </is>
      </c>
      <c r="Y2328" t="inlineStr"/>
      <c r="Z2328" t="n">
        <v>1501</v>
      </c>
      <c r="AA2328" t="n">
        <v>16.2</v>
      </c>
      <c r="AB2328" t="inlineStr">
        <is>
          <t>U2327</t>
        </is>
      </c>
      <c r="AC2328" t="inlineStr">
        <is>
          <t>JA</t>
        </is>
      </c>
      <c r="AD2328" t="n">
        <v>16.2</v>
      </c>
      <c r="AE2328" t="n">
        <v>22.6</v>
      </c>
      <c r="AF2328" t="n">
        <v>9.9</v>
      </c>
      <c r="AG2328" t="inlineStr">
        <is>
          <t>1:9.9</t>
        </is>
      </c>
      <c r="AH2328" t="inlineStr">
        <is>
          <t>2%</t>
        </is>
      </c>
      <c r="AI2328" t="inlineStr"/>
      <c r="AJ2328" t="n">
        <v>16.72</v>
      </c>
    </row>
    <row r="2329">
      <c r="A2329" t="inlineStr">
        <is>
          <t>University of the South Pacific</t>
        </is>
      </c>
      <c r="B2329" t="inlineStr">
        <is>
          <t>Fiji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>
        <is>
          <t>1001–1200</t>
        </is>
      </c>
      <c r="O2329" t="inlineStr">
        <is>
          <t>28.3–32.6</t>
        </is>
      </c>
      <c r="P2329" t="n">
        <v>14.1</v>
      </c>
      <c r="Q2329" t="n">
        <v>17.6</v>
      </c>
      <c r="R2329" t="n">
        <v>53.5</v>
      </c>
      <c r="S2329" t="n">
        <v>43</v>
      </c>
      <c r="T2329" t="n">
        <v>62.9</v>
      </c>
      <c r="U2329" t="inlineStr">
        <is>
          <t>12,622</t>
        </is>
      </c>
      <c r="V2329" t="n">
        <v>36.9</v>
      </c>
      <c r="W2329" t="inlineStr">
        <is>
          <t>1%</t>
        </is>
      </c>
      <c r="X2329" t="inlineStr">
        <is>
          <t>59 : 41</t>
        </is>
      </c>
      <c r="Y2329" t="inlineStr"/>
      <c r="Z2329" t="n">
        <v>1001</v>
      </c>
      <c r="AA2329" t="n">
        <v>30.45</v>
      </c>
      <c r="AB2329" t="inlineStr">
        <is>
          <t>U2328</t>
        </is>
      </c>
      <c r="AC2329" t="inlineStr">
        <is>
          <t>FI</t>
        </is>
      </c>
      <c r="AD2329" t="n">
        <v>30.45</v>
      </c>
      <c r="AE2329" t="n">
        <v>53.5</v>
      </c>
      <c r="AF2329" t="n">
        <v>36.9</v>
      </c>
      <c r="AG2329" t="inlineStr">
        <is>
          <t>1:36.9</t>
        </is>
      </c>
      <c r="AH2329" t="inlineStr">
        <is>
          <t>1%</t>
        </is>
      </c>
      <c r="AI2329" t="inlineStr"/>
      <c r="AJ2329" t="n">
        <v>34.04</v>
      </c>
    </row>
    <row r="2330">
      <c r="A2330" t="inlineStr">
        <is>
          <t xml:space="preserve">University of the Sunshine Coast </t>
        </is>
      </c>
      <c r="B2330" t="inlineStr">
        <is>
          <t>Australia</t>
        </is>
      </c>
      <c r="C2330" t="inlineStr">
        <is>
          <t>1001-1200</t>
        </is>
      </c>
      <c r="D2330" t="inlineStr"/>
      <c r="E2330" t="n">
        <v>3.6</v>
      </c>
      <c r="F2330" t="n">
        <v>1.9</v>
      </c>
      <c r="G2330" t="n">
        <v>2.6</v>
      </c>
      <c r="H2330" t="n">
        <v>25.2</v>
      </c>
      <c r="I2330" t="n">
        <v>2.7</v>
      </c>
      <c r="J2330" t="n">
        <v>16.4</v>
      </c>
      <c r="K2330" t="n">
        <v>48.3</v>
      </c>
      <c r="L2330" t="n">
        <v>1.6</v>
      </c>
      <c r="M2330" t="n">
        <v>6.5</v>
      </c>
      <c r="N2330" t="inlineStr">
        <is>
          <t>501–600</t>
        </is>
      </c>
      <c r="O2330" t="inlineStr">
        <is>
          <t>41.9–45.3</t>
        </is>
      </c>
      <c r="P2330" t="n">
        <v>20.9</v>
      </c>
      <c r="Q2330" t="n">
        <v>27.7</v>
      </c>
      <c r="R2330" t="n">
        <v>70.2</v>
      </c>
      <c r="S2330" t="n">
        <v>37.3</v>
      </c>
      <c r="T2330" t="n">
        <v>69.09999999999999</v>
      </c>
      <c r="U2330" t="inlineStr">
        <is>
          <t>11,542</t>
        </is>
      </c>
      <c r="V2330" t="n">
        <v>29.8</v>
      </c>
      <c r="W2330" t="inlineStr">
        <is>
          <t>13%</t>
        </is>
      </c>
      <c r="X2330" t="inlineStr">
        <is>
          <t>69 : 31</t>
        </is>
      </c>
      <c r="Y2330" t="n">
        <v>1001</v>
      </c>
      <c r="Z2330" t="n">
        <v>501</v>
      </c>
      <c r="AA2330" t="n">
        <v>43.59999999999999</v>
      </c>
      <c r="AB2330" t="inlineStr">
        <is>
          <t>U2329</t>
        </is>
      </c>
      <c r="AC2330" t="inlineStr">
        <is>
          <t>AU</t>
        </is>
      </c>
      <c r="AD2330" t="n">
        <v>43.59999999999999</v>
      </c>
      <c r="AE2330" t="n">
        <v>25.2</v>
      </c>
      <c r="AF2330" t="n">
        <v>29.8</v>
      </c>
      <c r="AG2330" t="inlineStr">
        <is>
          <t>1:29.8</t>
        </is>
      </c>
      <c r="AH2330" t="inlineStr">
        <is>
          <t>13%</t>
        </is>
      </c>
      <c r="AI2330" t="n">
        <v>3.6</v>
      </c>
      <c r="AJ2330" t="n">
        <v>32.26</v>
      </c>
    </row>
    <row r="2331">
      <c r="A2331" t="inlineStr">
        <is>
          <t>The University of the West Indies</t>
        </is>
      </c>
      <c r="B2331" t="inlineStr">
        <is>
          <t>Jamaica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>
        <is>
          <t>1001–1200</t>
        </is>
      </c>
      <c r="O2331" t="inlineStr">
        <is>
          <t>28.3–32.6</t>
        </is>
      </c>
      <c r="P2331" t="n">
        <v>19.7</v>
      </c>
      <c r="Q2331" t="n">
        <v>11.8</v>
      </c>
      <c r="R2331" t="n">
        <v>51.9</v>
      </c>
      <c r="S2331" t="n">
        <v>31.5</v>
      </c>
      <c r="T2331" t="n">
        <v>47.3</v>
      </c>
      <c r="U2331" t="inlineStr">
        <is>
          <t>39,257</t>
        </is>
      </c>
      <c r="V2331" t="n">
        <v>16.3</v>
      </c>
      <c r="W2331" t="inlineStr">
        <is>
          <t>1%</t>
        </is>
      </c>
      <c r="X2331" t="inlineStr">
        <is>
          <t>68 : 32</t>
        </is>
      </c>
      <c r="Y2331" t="inlineStr"/>
      <c r="Z2331" t="n">
        <v>1001</v>
      </c>
      <c r="AA2331" t="n">
        <v>30.45</v>
      </c>
      <c r="AB2331" t="inlineStr">
        <is>
          <t>U2330</t>
        </is>
      </c>
      <c r="AC2331" t="inlineStr">
        <is>
          <t>JA</t>
        </is>
      </c>
      <c r="AD2331" t="n">
        <v>30.45</v>
      </c>
      <c r="AE2331" t="n">
        <v>51.9</v>
      </c>
      <c r="AF2331" t="n">
        <v>16.3</v>
      </c>
      <c r="AG2331" t="inlineStr">
        <is>
          <t>1:16.3</t>
        </is>
      </c>
      <c r="AH2331" t="inlineStr">
        <is>
          <t>1%</t>
        </is>
      </c>
      <c r="AI2331" t="inlineStr"/>
      <c r="AJ2331" t="n">
        <v>26.74</v>
      </c>
    </row>
    <row r="2332">
      <c r="A2332" t="inlineStr">
        <is>
          <t>University of the West of England</t>
        </is>
      </c>
      <c r="B2332" t="inlineStr">
        <is>
          <t>United Kingdom</t>
        </is>
      </c>
      <c r="C2332" t="inlineStr">
        <is>
          <t>741-750</t>
        </is>
      </c>
      <c r="D2332" t="inlineStr"/>
      <c r="E2332" t="n">
        <v>9</v>
      </c>
      <c r="F2332" t="n">
        <v>9</v>
      </c>
      <c r="G2332" t="n">
        <v>7.5</v>
      </c>
      <c r="H2332" t="n">
        <v>11.9</v>
      </c>
      <c r="I2332" t="n">
        <v>46.9</v>
      </c>
      <c r="J2332" t="n">
        <v>75.3</v>
      </c>
      <c r="K2332" t="n">
        <v>76.09999999999999</v>
      </c>
      <c r="L2332" t="n">
        <v>2.1</v>
      </c>
      <c r="M2332" t="n">
        <v>14.3</v>
      </c>
      <c r="N2332" t="inlineStr">
        <is>
          <t>501–600</t>
        </is>
      </c>
      <c r="O2332" t="inlineStr">
        <is>
          <t>41.9–45.3</t>
        </is>
      </c>
      <c r="P2332" t="n">
        <v>19.5</v>
      </c>
      <c r="Q2332" t="n">
        <v>15</v>
      </c>
      <c r="R2332" t="n">
        <v>82.59999999999999</v>
      </c>
      <c r="S2332" t="n">
        <v>30.2</v>
      </c>
      <c r="T2332" t="n">
        <v>78.59999999999999</v>
      </c>
      <c r="U2332" t="inlineStr">
        <is>
          <t>26,890</t>
        </is>
      </c>
      <c r="V2332" t="n">
        <v>15.9</v>
      </c>
      <c r="W2332" t="inlineStr">
        <is>
          <t>25%</t>
        </is>
      </c>
      <c r="X2332" t="inlineStr">
        <is>
          <t>52 : 48</t>
        </is>
      </c>
      <c r="Y2332" t="n">
        <v>741</v>
      </c>
      <c r="Z2332" t="n">
        <v>501</v>
      </c>
      <c r="AA2332" t="n">
        <v>43.59999999999999</v>
      </c>
      <c r="AB2332" t="inlineStr">
        <is>
          <t>U2331</t>
        </is>
      </c>
      <c r="AC2332" t="inlineStr">
        <is>
          <t>UN</t>
        </is>
      </c>
      <c r="AD2332" t="n">
        <v>43.59999999999999</v>
      </c>
      <c r="AE2332" t="n">
        <v>11.9</v>
      </c>
      <c r="AF2332" t="n">
        <v>15.9</v>
      </c>
      <c r="AG2332" t="inlineStr">
        <is>
          <t>1:15.9</t>
        </is>
      </c>
      <c r="AH2332" t="inlineStr">
        <is>
          <t>25%</t>
        </is>
      </c>
      <c r="AI2332" t="n">
        <v>9</v>
      </c>
      <c r="AJ2332" t="n">
        <v>23.87</v>
      </c>
    </row>
    <row r="2333">
      <c r="A2333" t="inlineStr">
        <is>
          <t>University of the West of Scotland</t>
        </is>
      </c>
      <c r="B2333" t="inlineStr">
        <is>
          <t>United Kingdom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>
        <is>
          <t>601–800</t>
        </is>
      </c>
      <c r="O2333" t="inlineStr">
        <is>
          <t>37.0–41.8</t>
        </is>
      </c>
      <c r="P2333" t="n">
        <v>24.4</v>
      </c>
      <c r="Q2333" t="n">
        <v>16</v>
      </c>
      <c r="R2333" t="n">
        <v>66.5</v>
      </c>
      <c r="S2333" t="n">
        <v>24.2</v>
      </c>
      <c r="T2333" t="n">
        <v>86.90000000000001</v>
      </c>
      <c r="U2333" t="inlineStr">
        <is>
          <t>14,005</t>
        </is>
      </c>
      <c r="V2333" t="n">
        <v>24.6</v>
      </c>
      <c r="W2333" t="inlineStr">
        <is>
          <t>25%</t>
        </is>
      </c>
      <c r="X2333" t="inlineStr">
        <is>
          <t>62 : 38</t>
        </is>
      </c>
      <c r="Y2333" t="inlineStr"/>
      <c r="Z2333" t="n">
        <v>601</v>
      </c>
      <c r="AA2333" t="n">
        <v>39.4</v>
      </c>
      <c r="AB2333" t="inlineStr">
        <is>
          <t>U2332</t>
        </is>
      </c>
      <c r="AC2333" t="inlineStr">
        <is>
          <t>UN</t>
        </is>
      </c>
      <c r="AD2333" t="n">
        <v>39.4</v>
      </c>
      <c r="AE2333" t="n">
        <v>66.5</v>
      </c>
      <c r="AF2333" t="n">
        <v>24.6</v>
      </c>
      <c r="AG2333" t="inlineStr">
        <is>
          <t>1:24.6</t>
        </is>
      </c>
      <c r="AH2333" t="inlineStr">
        <is>
          <t>25%</t>
        </is>
      </c>
      <c r="AI2333" t="inlineStr"/>
      <c r="AJ2333" t="n">
        <v>42.95</v>
      </c>
    </row>
    <row r="2334">
      <c r="A2334" t="inlineStr">
        <is>
          <t>University of the Western Cape</t>
        </is>
      </c>
      <c r="B2334" t="inlineStr">
        <is>
          <t>South Africa</t>
        </is>
      </c>
      <c r="C2334" t="inlineStr">
        <is>
          <t>951-1000</t>
        </is>
      </c>
      <c r="D2334" t="inlineStr"/>
      <c r="E2334" t="n">
        <v>8.6</v>
      </c>
      <c r="F2334" t="n">
        <v>5.3</v>
      </c>
      <c r="G2334" t="n">
        <v>4.1</v>
      </c>
      <c r="H2334" t="n">
        <v>14.1</v>
      </c>
      <c r="I2334" t="n">
        <v>25.2</v>
      </c>
      <c r="J2334" t="n">
        <v>3.7</v>
      </c>
      <c r="K2334" t="n">
        <v>76.8</v>
      </c>
      <c r="L2334" t="n">
        <v>21</v>
      </c>
      <c r="M2334" t="n">
        <v>2.2</v>
      </c>
      <c r="N2334" t="inlineStr">
        <is>
          <t>601–800</t>
        </is>
      </c>
      <c r="O2334" t="inlineStr">
        <is>
          <t>37.0–41.8</t>
        </is>
      </c>
      <c r="P2334" t="n">
        <v>22</v>
      </c>
      <c r="Q2334" t="n">
        <v>23.8</v>
      </c>
      <c r="R2334" t="n">
        <v>59.3</v>
      </c>
      <c r="S2334" t="n">
        <v>22.6</v>
      </c>
      <c r="T2334" t="n">
        <v>65.7</v>
      </c>
      <c r="U2334" t="inlineStr">
        <is>
          <t>24,605</t>
        </is>
      </c>
      <c r="V2334" t="n">
        <v>36.7</v>
      </c>
      <c r="W2334" t="inlineStr">
        <is>
          <t>6%</t>
        </is>
      </c>
      <c r="X2334" t="inlineStr">
        <is>
          <t>61 : 39</t>
        </is>
      </c>
      <c r="Y2334" t="n">
        <v>951</v>
      </c>
      <c r="Z2334" t="n">
        <v>601</v>
      </c>
      <c r="AA2334" t="n">
        <v>39.4</v>
      </c>
      <c r="AB2334" t="inlineStr">
        <is>
          <t>U2333</t>
        </is>
      </c>
      <c r="AC2334" t="inlineStr">
        <is>
          <t>SO</t>
        </is>
      </c>
      <c r="AD2334" t="n">
        <v>39.4</v>
      </c>
      <c r="AE2334" t="n">
        <v>14.1</v>
      </c>
      <c r="AF2334" t="n">
        <v>36.7</v>
      </c>
      <c r="AG2334" t="inlineStr">
        <is>
          <t>1:36.7</t>
        </is>
      </c>
      <c r="AH2334" t="inlineStr">
        <is>
          <t>6%</t>
        </is>
      </c>
      <c r="AI2334" t="n">
        <v>8.6</v>
      </c>
      <c r="AJ2334" t="n">
        <v>26.03</v>
      </c>
    </row>
    <row r="2335">
      <c r="A2335" t="inlineStr">
        <is>
          <t>University of the Witwatersrand</t>
        </is>
      </c>
      <c r="B2335" t="inlineStr">
        <is>
          <t>South Africa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>
        <is>
          <t>301–350</t>
        </is>
      </c>
      <c r="O2335" t="inlineStr">
        <is>
          <t>51.1–53.0</t>
        </is>
      </c>
      <c r="P2335" t="n">
        <v>33</v>
      </c>
      <c r="Q2335" t="n">
        <v>42.9</v>
      </c>
      <c r="R2335" t="n">
        <v>72.40000000000001</v>
      </c>
      <c r="S2335" t="n">
        <v>81.3</v>
      </c>
      <c r="T2335" t="n">
        <v>76.3</v>
      </c>
      <c r="U2335" t="inlineStr">
        <is>
          <t>27,765</t>
        </is>
      </c>
      <c r="V2335" t="n">
        <v>24.4</v>
      </c>
      <c r="W2335" t="inlineStr">
        <is>
          <t>7%</t>
        </is>
      </c>
      <c r="X2335" t="inlineStr">
        <is>
          <t>57 : 43</t>
        </is>
      </c>
      <c r="Y2335" t="inlineStr"/>
      <c r="Z2335" t="n">
        <v>301</v>
      </c>
      <c r="AA2335" t="n">
        <v>52.05</v>
      </c>
      <c r="AB2335" t="inlineStr">
        <is>
          <t>U2334</t>
        </is>
      </c>
      <c r="AC2335" t="inlineStr">
        <is>
          <t>SO</t>
        </is>
      </c>
      <c r="AD2335" t="n">
        <v>52.05</v>
      </c>
      <c r="AE2335" t="n">
        <v>72.40000000000001</v>
      </c>
      <c r="AF2335" t="n">
        <v>24.4</v>
      </c>
      <c r="AG2335" t="inlineStr">
        <is>
          <t>1:24.4</t>
        </is>
      </c>
      <c r="AH2335" t="inlineStr">
        <is>
          <t>7%</t>
        </is>
      </c>
      <c r="AI2335" t="inlineStr"/>
      <c r="AJ2335" t="n">
        <v>56.27</v>
      </c>
    </row>
    <row r="2336">
      <c r="A2336" t="inlineStr">
        <is>
          <t>The University of Tokyo</t>
        </is>
      </c>
      <c r="B2336" t="inlineStr">
        <is>
          <t>Japan</t>
        </is>
      </c>
      <c r="C2336" t="inlineStr">
        <is>
          <t>32</t>
        </is>
      </c>
      <c r="D2336" t="n">
        <v>82.09999999999999</v>
      </c>
      <c r="E2336" t="n">
        <v>100</v>
      </c>
      <c r="F2336" t="n">
        <v>99.8</v>
      </c>
      <c r="G2336" t="n">
        <v>89.3</v>
      </c>
      <c r="H2336" t="n">
        <v>57.3</v>
      </c>
      <c r="I2336" t="n">
        <v>10.1</v>
      </c>
      <c r="J2336" t="n">
        <v>29.7</v>
      </c>
      <c r="K2336" t="n">
        <v>87.40000000000001</v>
      </c>
      <c r="L2336" t="n">
        <v>99.90000000000001</v>
      </c>
      <c r="M2336" t="n">
        <v>98.3</v>
      </c>
      <c r="N2336" t="inlineStr">
        <is>
          <t>29</t>
        </is>
      </c>
      <c r="O2336" t="inlineStr">
        <is>
          <t>83.1</t>
        </is>
      </c>
      <c r="P2336" t="n">
        <v>93.90000000000001</v>
      </c>
      <c r="Q2336" t="n">
        <v>94.2</v>
      </c>
      <c r="R2336" t="n">
        <v>67.8</v>
      </c>
      <c r="S2336" t="n">
        <v>100</v>
      </c>
      <c r="T2336" t="n">
        <v>49.7</v>
      </c>
      <c r="U2336" t="inlineStr">
        <is>
          <t>26,345</t>
        </is>
      </c>
      <c r="V2336" t="n">
        <v>10.3</v>
      </c>
      <c r="W2336" t="inlineStr">
        <is>
          <t>15%</t>
        </is>
      </c>
      <c r="X2336" t="inlineStr"/>
      <c r="Y2336" t="n">
        <v>32</v>
      </c>
      <c r="Z2336" t="n">
        <v>29</v>
      </c>
      <c r="AA2336" t="n">
        <v>83.09999999999999</v>
      </c>
      <c r="AB2336" t="inlineStr">
        <is>
          <t>U2335</t>
        </is>
      </c>
      <c r="AC2336" t="inlineStr">
        <is>
          <t>JA</t>
        </is>
      </c>
      <c r="AD2336" t="n">
        <v>82.09999999999999</v>
      </c>
      <c r="AE2336" t="n">
        <v>57.3</v>
      </c>
      <c r="AF2336" t="n">
        <v>10.3</v>
      </c>
      <c r="AG2336" t="inlineStr">
        <is>
          <t>1:10.3</t>
        </is>
      </c>
      <c r="AH2336" t="inlineStr">
        <is>
          <t>15%</t>
        </is>
      </c>
      <c r="AI2336" t="n">
        <v>100</v>
      </c>
      <c r="AJ2336" t="n">
        <v>72.15000000000001</v>
      </c>
    </row>
    <row r="2337">
      <c r="A2337" t="inlineStr">
        <is>
          <t>University of Toledo</t>
        </is>
      </c>
      <c r="B2337" t="inlineStr">
        <is>
          <t>United States</t>
        </is>
      </c>
      <c r="C2337" t="inlineStr">
        <is>
          <t>1001-1200</t>
        </is>
      </c>
      <c r="D2337" t="inlineStr"/>
      <c r="E2337" t="n">
        <v>3.7</v>
      </c>
      <c r="F2337" t="n">
        <v>3</v>
      </c>
      <c r="G2337" t="n">
        <v>9.6</v>
      </c>
      <c r="H2337" t="n">
        <v>18.2</v>
      </c>
      <c r="I2337" t="n">
        <v>6</v>
      </c>
      <c r="J2337" t="n">
        <v>10.4</v>
      </c>
      <c r="K2337" t="n">
        <v>45.4</v>
      </c>
      <c r="L2337" t="n">
        <v>7.7</v>
      </c>
      <c r="M2337" t="n">
        <v>1.7</v>
      </c>
      <c r="N2337" t="inlineStr">
        <is>
          <t>601–800</t>
        </is>
      </c>
      <c r="O2337" t="inlineStr">
        <is>
          <t>37.0–41.8</t>
        </is>
      </c>
      <c r="P2337" t="n">
        <v>35.7</v>
      </c>
      <c r="Q2337" t="n">
        <v>16.7</v>
      </c>
      <c r="R2337" t="n">
        <v>54.5</v>
      </c>
      <c r="S2337" t="n">
        <v>68.8</v>
      </c>
      <c r="T2337" t="n">
        <v>56.7</v>
      </c>
      <c r="U2337" t="inlineStr">
        <is>
          <t>16,199</t>
        </is>
      </c>
      <c r="V2337" t="n">
        <v>17</v>
      </c>
      <c r="W2337" t="inlineStr">
        <is>
          <t>9%</t>
        </is>
      </c>
      <c r="X2337" t="inlineStr">
        <is>
          <t>53 : 47</t>
        </is>
      </c>
      <c r="Y2337" t="n">
        <v>1001</v>
      </c>
      <c r="Z2337" t="n">
        <v>601</v>
      </c>
      <c r="AA2337" t="n">
        <v>39.4</v>
      </c>
      <c r="AB2337" t="inlineStr">
        <is>
          <t>U2336</t>
        </is>
      </c>
      <c r="AC2337" t="inlineStr">
        <is>
          <t>UN</t>
        </is>
      </c>
      <c r="AD2337" t="n">
        <v>39.4</v>
      </c>
      <c r="AE2337" t="n">
        <v>18.2</v>
      </c>
      <c r="AF2337" t="n">
        <v>17</v>
      </c>
      <c r="AG2337" t="inlineStr">
        <is>
          <t>1:17.0</t>
        </is>
      </c>
      <c r="AH2337" t="inlineStr">
        <is>
          <t>9%</t>
        </is>
      </c>
      <c r="AI2337" t="n">
        <v>3.7</v>
      </c>
      <c r="AJ2337" t="n">
        <v>21.37</v>
      </c>
    </row>
    <row r="2338">
      <c r="A2338" t="inlineStr">
        <is>
          <t>University of Toronto</t>
        </is>
      </c>
      <c r="B2338" t="inlineStr">
        <is>
          <t>Canada</t>
        </is>
      </c>
      <c r="C2338" t="inlineStr">
        <is>
          <t>25</t>
        </is>
      </c>
      <c r="D2338" t="n">
        <v>84.09999999999999</v>
      </c>
      <c r="E2338" t="n">
        <v>99.7</v>
      </c>
      <c r="F2338" t="n">
        <v>96.90000000000001</v>
      </c>
      <c r="G2338" t="n">
        <v>44.9</v>
      </c>
      <c r="H2338" t="n">
        <v>50.8</v>
      </c>
      <c r="I2338" t="n">
        <v>96.90000000000001</v>
      </c>
      <c r="J2338" t="n">
        <v>96.09999999999999</v>
      </c>
      <c r="K2338" t="n">
        <v>97.7</v>
      </c>
      <c r="L2338" t="n">
        <v>98.7</v>
      </c>
      <c r="M2338" t="n">
        <v>100</v>
      </c>
      <c r="N2338" t="inlineStr">
        <is>
          <t>21</t>
        </is>
      </c>
      <c r="O2338" t="inlineStr">
        <is>
          <t>88.6</t>
        </is>
      </c>
      <c r="P2338" t="n">
        <v>77.5</v>
      </c>
      <c r="Q2338" t="n">
        <v>94.09999999999999</v>
      </c>
      <c r="R2338" t="n">
        <v>92.8</v>
      </c>
      <c r="S2338" t="n">
        <v>96.09999999999999</v>
      </c>
      <c r="T2338" t="n">
        <v>90.7</v>
      </c>
      <c r="U2338" t="inlineStr">
        <is>
          <t>79,282</t>
        </is>
      </c>
      <c r="V2338" t="n">
        <v>25.8</v>
      </c>
      <c r="W2338" t="inlineStr">
        <is>
          <t>27%</t>
        </is>
      </c>
      <c r="X2338" t="inlineStr">
        <is>
          <t>56 : 44</t>
        </is>
      </c>
      <c r="Y2338" t="n">
        <v>25</v>
      </c>
      <c r="Z2338" t="n">
        <v>21</v>
      </c>
      <c r="AA2338" t="n">
        <v>88.59999999999999</v>
      </c>
      <c r="AB2338" t="inlineStr">
        <is>
          <t>U2337</t>
        </is>
      </c>
      <c r="AC2338" t="inlineStr">
        <is>
          <t>CA</t>
        </is>
      </c>
      <c r="AD2338" t="n">
        <v>84.09999999999999</v>
      </c>
      <c r="AE2338" t="n">
        <v>50.8</v>
      </c>
      <c r="AF2338" t="n">
        <v>25.8</v>
      </c>
      <c r="AG2338" t="inlineStr">
        <is>
          <t>1:25.8</t>
        </is>
      </c>
      <c r="AH2338" t="inlineStr">
        <is>
          <t>27%</t>
        </is>
      </c>
      <c r="AI2338" t="n">
        <v>99.7</v>
      </c>
      <c r="AJ2338" t="n">
        <v>80.04000000000001</v>
      </c>
    </row>
    <row r="2339">
      <c r="A2339" t="inlineStr">
        <is>
          <t>University of Tours</t>
        </is>
      </c>
      <c r="B2339" t="inlineStr">
        <is>
          <t>France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>
        <is>
          <t>801–1000</t>
        </is>
      </c>
      <c r="O2339" t="inlineStr">
        <is>
          <t>32.7–36.9</t>
        </is>
      </c>
      <c r="P2339" t="n">
        <v>32.7</v>
      </c>
      <c r="Q2339" t="n">
        <v>15.9</v>
      </c>
      <c r="R2339" t="n">
        <v>42.2</v>
      </c>
      <c r="S2339" t="n">
        <v>52.9</v>
      </c>
      <c r="T2339" t="n">
        <v>61.2</v>
      </c>
      <c r="U2339" t="inlineStr">
        <is>
          <t>29,490</t>
        </is>
      </c>
      <c r="V2339" t="n">
        <v>21.8</v>
      </c>
      <c r="W2339" t="inlineStr">
        <is>
          <t>11%</t>
        </is>
      </c>
      <c r="X2339" t="inlineStr">
        <is>
          <t>60 : 40</t>
        </is>
      </c>
      <c r="Y2339" t="inlineStr"/>
      <c r="Z2339" t="n">
        <v>801</v>
      </c>
      <c r="AA2339" t="n">
        <v>34.8</v>
      </c>
      <c r="AB2339" t="inlineStr">
        <is>
          <t>U2338</t>
        </is>
      </c>
      <c r="AC2339" t="inlineStr">
        <is>
          <t>FR</t>
        </is>
      </c>
      <c r="AD2339" t="n">
        <v>34.8</v>
      </c>
      <c r="AE2339" t="n">
        <v>42.2</v>
      </c>
      <c r="AF2339" t="n">
        <v>21.8</v>
      </c>
      <c r="AG2339" t="inlineStr">
        <is>
          <t>1:21.8</t>
        </is>
      </c>
      <c r="AH2339" t="inlineStr">
        <is>
          <t>11%</t>
        </is>
      </c>
      <c r="AI2339" t="inlineStr"/>
      <c r="AJ2339" t="n">
        <v>29.31</v>
      </c>
    </row>
    <row r="2340">
      <c r="A2340" t="inlineStr">
        <is>
          <t>University of Toyama</t>
        </is>
      </c>
      <c r="B2340" t="inlineStr">
        <is>
          <t>Japan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>
        <is>
          <t>1201–1500</t>
        </is>
      </c>
      <c r="O2340" t="inlineStr">
        <is>
          <t>22.8–28.2</t>
        </is>
      </c>
      <c r="P2340" t="n">
        <v>27</v>
      </c>
      <c r="Q2340" t="n">
        <v>14.6</v>
      </c>
      <c r="R2340" t="n">
        <v>29.2</v>
      </c>
      <c r="S2340" t="n">
        <v>61.9</v>
      </c>
      <c r="T2340" t="n">
        <v>33.1</v>
      </c>
      <c r="U2340" t="inlineStr">
        <is>
          <t>8,891</t>
        </is>
      </c>
      <c r="V2340" t="n">
        <v>10.6</v>
      </c>
      <c r="W2340" t="inlineStr">
        <is>
          <t>3%</t>
        </is>
      </c>
      <c r="X2340" t="inlineStr">
        <is>
          <t>39 : 61</t>
        </is>
      </c>
      <c r="Y2340" t="inlineStr"/>
      <c r="Z2340" t="n">
        <v>1201</v>
      </c>
      <c r="AA2340" t="n">
        <v>25.5</v>
      </c>
      <c r="AB2340" t="inlineStr">
        <is>
          <t>U2339</t>
        </is>
      </c>
      <c r="AC2340" t="inlineStr">
        <is>
          <t>JA</t>
        </is>
      </c>
      <c r="AD2340" t="n">
        <v>25.5</v>
      </c>
      <c r="AE2340" t="n">
        <v>29.2</v>
      </c>
      <c r="AF2340" t="n">
        <v>10.6</v>
      </c>
      <c r="AG2340" t="inlineStr">
        <is>
          <t>1:10.6</t>
        </is>
      </c>
      <c r="AH2340" t="inlineStr">
        <is>
          <t>3%</t>
        </is>
      </c>
      <c r="AI2340" t="inlineStr"/>
      <c r="AJ2340" t="n">
        <v>17.9</v>
      </c>
    </row>
    <row r="2341">
      <c r="A2341" t="inlineStr">
        <is>
          <t>University of Trás-os-Montes and Alto Douro</t>
        </is>
      </c>
      <c r="B2341" t="inlineStr">
        <is>
          <t>Portugal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>
        <is>
          <t>801–1000</t>
        </is>
      </c>
      <c r="O2341" t="inlineStr">
        <is>
          <t>32.7–36.9</t>
        </is>
      </c>
      <c r="P2341" t="n">
        <v>22.5</v>
      </c>
      <c r="Q2341" t="n">
        <v>31.2</v>
      </c>
      <c r="R2341" t="n">
        <v>44.6</v>
      </c>
      <c r="S2341" t="n">
        <v>23.5</v>
      </c>
      <c r="T2341" t="n">
        <v>40.5</v>
      </c>
      <c r="U2341" t="inlineStr">
        <is>
          <t>6,375</t>
        </is>
      </c>
      <c r="V2341" t="n">
        <v>9.199999999999999</v>
      </c>
      <c r="W2341" t="inlineStr">
        <is>
          <t>6%</t>
        </is>
      </c>
      <c r="X2341" t="inlineStr">
        <is>
          <t>53 : 47</t>
        </is>
      </c>
      <c r="Y2341" t="inlineStr"/>
      <c r="Z2341" t="n">
        <v>801</v>
      </c>
      <c r="AA2341" t="n">
        <v>34.8</v>
      </c>
      <c r="AB2341" t="inlineStr">
        <is>
          <t>U2340</t>
        </is>
      </c>
      <c r="AC2341" t="inlineStr">
        <is>
          <t>PO</t>
        </is>
      </c>
      <c r="AD2341" t="n">
        <v>34.8</v>
      </c>
      <c r="AE2341" t="n">
        <v>44.6</v>
      </c>
      <c r="AF2341" t="n">
        <v>9.199999999999999</v>
      </c>
      <c r="AG2341" t="inlineStr">
        <is>
          <t>1:9.2</t>
        </is>
      </c>
      <c r="AH2341" t="inlineStr">
        <is>
          <t>6%</t>
        </is>
      </c>
      <c r="AI2341" t="inlineStr"/>
      <c r="AJ2341" t="n">
        <v>33.05</v>
      </c>
    </row>
    <row r="2342">
      <c r="A2342" t="inlineStr">
        <is>
          <t>University of Trento</t>
        </is>
      </c>
      <c r="B2342" t="inlineStr">
        <is>
          <t>Italy</t>
        </is>
      </c>
      <c r="C2342" t="inlineStr">
        <is>
          <t>506</t>
        </is>
      </c>
      <c r="D2342" t="n">
        <v>24</v>
      </c>
      <c r="E2342" t="n">
        <v>24.9</v>
      </c>
      <c r="F2342" t="n">
        <v>10.5</v>
      </c>
      <c r="G2342" t="n">
        <v>22</v>
      </c>
      <c r="H2342" t="n">
        <v>32.7</v>
      </c>
      <c r="I2342" t="n">
        <v>29.6</v>
      </c>
      <c r="J2342" t="n">
        <v>6.1</v>
      </c>
      <c r="K2342" t="n">
        <v>85.8</v>
      </c>
      <c r="L2342" t="n">
        <v>4.4</v>
      </c>
      <c r="M2342" t="n">
        <v>19</v>
      </c>
      <c r="N2342" t="inlineStr">
        <is>
          <t>351–400</t>
        </is>
      </c>
      <c r="O2342" t="inlineStr">
        <is>
          <t>49.1–51.0</t>
        </is>
      </c>
      <c r="P2342" t="n">
        <v>29.3</v>
      </c>
      <c r="Q2342" t="n">
        <v>34.8</v>
      </c>
      <c r="R2342" t="n">
        <v>80.5</v>
      </c>
      <c r="S2342" t="n">
        <v>65.2</v>
      </c>
      <c r="T2342" t="n">
        <v>61.1</v>
      </c>
      <c r="U2342" t="inlineStr">
        <is>
          <t>14,100</t>
        </is>
      </c>
      <c r="V2342" t="n">
        <v>18.4</v>
      </c>
      <c r="W2342" t="inlineStr">
        <is>
          <t>7%</t>
        </is>
      </c>
      <c r="X2342" t="inlineStr">
        <is>
          <t>51 : 49</t>
        </is>
      </c>
      <c r="Y2342" t="n">
        <v>506</v>
      </c>
      <c r="Z2342" t="n">
        <v>351</v>
      </c>
      <c r="AA2342" t="n">
        <v>50.05</v>
      </c>
      <c r="AB2342" t="inlineStr">
        <is>
          <t>U2341</t>
        </is>
      </c>
      <c r="AC2342" t="inlineStr">
        <is>
          <t>IT</t>
        </is>
      </c>
      <c r="AD2342" t="n">
        <v>24</v>
      </c>
      <c r="AE2342" t="n">
        <v>32.7</v>
      </c>
      <c r="AF2342" t="n">
        <v>18.4</v>
      </c>
      <c r="AG2342" t="inlineStr">
        <is>
          <t>1:18.4</t>
        </is>
      </c>
      <c r="AH2342" t="inlineStr">
        <is>
          <t>7%</t>
        </is>
      </c>
      <c r="AI2342" t="n">
        <v>24.9</v>
      </c>
      <c r="AJ2342" t="n">
        <v>36.32</v>
      </c>
    </row>
    <row r="2343">
      <c r="A2343" t="inlineStr">
        <is>
          <t>University of Trieste</t>
        </is>
      </c>
      <c r="B2343" t="inlineStr">
        <is>
          <t>Italy</t>
        </is>
      </c>
      <c r="C2343" t="inlineStr">
        <is>
          <t>721-730</t>
        </is>
      </c>
      <c r="D2343" t="inlineStr"/>
      <c r="E2343" t="n">
        <v>11.7</v>
      </c>
      <c r="F2343" t="n">
        <v>4</v>
      </c>
      <c r="G2343" t="n">
        <v>3.6</v>
      </c>
      <c r="H2343" t="n">
        <v>43.3</v>
      </c>
      <c r="I2343" t="n">
        <v>7.3</v>
      </c>
      <c r="J2343" t="n">
        <v>7.9</v>
      </c>
      <c r="K2343" t="n">
        <v>70.40000000000001</v>
      </c>
      <c r="L2343" t="n">
        <v>14.6</v>
      </c>
      <c r="M2343" t="n">
        <v>2.6</v>
      </c>
      <c r="N2343" t="inlineStr">
        <is>
          <t>501–600</t>
        </is>
      </c>
      <c r="O2343" t="inlineStr">
        <is>
          <t>41.9–45.3</t>
        </is>
      </c>
      <c r="P2343" t="n">
        <v>31.9</v>
      </c>
      <c r="Q2343" t="n">
        <v>25.1</v>
      </c>
      <c r="R2343" t="n">
        <v>74.2</v>
      </c>
      <c r="S2343" t="n">
        <v>52.3</v>
      </c>
      <c r="T2343" t="n">
        <v>52</v>
      </c>
      <c r="U2343" t="inlineStr">
        <is>
          <t>17,196</t>
        </is>
      </c>
      <c r="V2343" t="n">
        <v>26</v>
      </c>
      <c r="W2343" t="inlineStr">
        <is>
          <t>7%</t>
        </is>
      </c>
      <c r="X2343" t="inlineStr">
        <is>
          <t>57 : 43</t>
        </is>
      </c>
      <c r="Y2343" t="n">
        <v>721</v>
      </c>
      <c r="Z2343" t="n">
        <v>501</v>
      </c>
      <c r="AA2343" t="n">
        <v>43.59999999999999</v>
      </c>
      <c r="AB2343" t="inlineStr">
        <is>
          <t>U2342</t>
        </is>
      </c>
      <c r="AC2343" t="inlineStr">
        <is>
          <t>IT</t>
        </is>
      </c>
      <c r="AD2343" t="n">
        <v>43.59999999999999</v>
      </c>
      <c r="AE2343" t="n">
        <v>43.3</v>
      </c>
      <c r="AF2343" t="n">
        <v>26</v>
      </c>
      <c r="AG2343" t="inlineStr">
        <is>
          <t>1:26.0</t>
        </is>
      </c>
      <c r="AH2343" t="inlineStr">
        <is>
          <t>7%</t>
        </is>
      </c>
      <c r="AI2343" t="n">
        <v>11.7</v>
      </c>
      <c r="AJ2343" t="n">
        <v>32.24</v>
      </c>
    </row>
    <row r="2344">
      <c r="A2344" t="inlineStr">
        <is>
          <t>University of Tromsø The Arctic University of Norway</t>
        </is>
      </c>
      <c r="B2344" t="inlineStr">
        <is>
          <t>Norway</t>
        </is>
      </c>
      <c r="C2344" t="inlineStr">
        <is>
          <t>621-630</t>
        </is>
      </c>
      <c r="D2344" t="inlineStr"/>
      <c r="E2344" t="n">
        <v>11</v>
      </c>
      <c r="F2344" t="n">
        <v>4.3</v>
      </c>
      <c r="G2344" t="n">
        <v>68.3</v>
      </c>
      <c r="H2344" t="n">
        <v>8.9</v>
      </c>
      <c r="I2344" t="n">
        <v>69.3</v>
      </c>
      <c r="J2344" t="n">
        <v>7</v>
      </c>
      <c r="K2344" t="n">
        <v>78.40000000000001</v>
      </c>
      <c r="L2344" t="n">
        <v>5.6</v>
      </c>
      <c r="M2344" t="n">
        <v>10.5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n">
        <v>621</v>
      </c>
      <c r="Z2344" t="inlineStr"/>
      <c r="AA2344" t="inlineStr"/>
      <c r="AB2344" t="inlineStr">
        <is>
          <t>U2343</t>
        </is>
      </c>
      <c r="AC2344" t="inlineStr">
        <is>
          <t>NO</t>
        </is>
      </c>
      <c r="AD2344" t="inlineStr"/>
      <c r="AE2344" t="n">
        <v>8.9</v>
      </c>
      <c r="AF2344" t="inlineStr"/>
      <c r="AG2344" t="inlineStr"/>
      <c r="AH2344" t="inlineStr"/>
      <c r="AI2344" t="n">
        <v>11</v>
      </c>
      <c r="AJ2344" t="n">
        <v>16.09</v>
      </c>
    </row>
    <row r="2345">
      <c r="A2345" t="inlineStr">
        <is>
          <t>University of Tsukuba</t>
        </is>
      </c>
      <c r="B2345" t="inlineStr">
        <is>
          <t>Japan</t>
        </is>
      </c>
      <c r="C2345" t="inlineStr">
        <is>
          <t>377</t>
        </is>
      </c>
      <c r="D2345" t="n">
        <v>31.1</v>
      </c>
      <c r="E2345" t="n">
        <v>36.6</v>
      </c>
      <c r="F2345" t="n">
        <v>22.5</v>
      </c>
      <c r="G2345" t="n">
        <v>54.7</v>
      </c>
      <c r="H2345" t="n">
        <v>17.3</v>
      </c>
      <c r="I2345" t="n">
        <v>12.4</v>
      </c>
      <c r="J2345" t="n">
        <v>19.3</v>
      </c>
      <c r="K2345" t="n">
        <v>66.90000000000001</v>
      </c>
      <c r="L2345" t="n">
        <v>9.800000000000001</v>
      </c>
      <c r="M2345" t="n">
        <v>63.4</v>
      </c>
      <c r="N2345" t="inlineStr">
        <is>
          <t>351–400</t>
        </is>
      </c>
      <c r="O2345" t="inlineStr">
        <is>
          <t>49.1–51.0</t>
        </is>
      </c>
      <c r="P2345" t="n">
        <v>51.8</v>
      </c>
      <c r="Q2345" t="n">
        <v>42.6</v>
      </c>
      <c r="R2345" t="n">
        <v>52.3</v>
      </c>
      <c r="S2345" t="n">
        <v>72.90000000000001</v>
      </c>
      <c r="T2345" t="n">
        <v>51.3</v>
      </c>
      <c r="U2345" t="inlineStr">
        <is>
          <t>15,506</t>
        </is>
      </c>
      <c r="V2345" t="n">
        <v>12.1</v>
      </c>
      <c r="W2345" t="inlineStr">
        <is>
          <t>16%</t>
        </is>
      </c>
      <c r="X2345" t="inlineStr">
        <is>
          <t>38 : 62</t>
        </is>
      </c>
      <c r="Y2345" t="n">
        <v>377</v>
      </c>
      <c r="Z2345" t="n">
        <v>351</v>
      </c>
      <c r="AA2345" t="n">
        <v>50.05</v>
      </c>
      <c r="AB2345" t="inlineStr">
        <is>
          <t>U2344</t>
        </is>
      </c>
      <c r="AC2345" t="inlineStr">
        <is>
          <t>JA</t>
        </is>
      </c>
      <c r="AD2345" t="n">
        <v>31.1</v>
      </c>
      <c r="AE2345" t="n">
        <v>17.3</v>
      </c>
      <c r="AF2345" t="n">
        <v>12.1</v>
      </c>
      <c r="AG2345" t="inlineStr">
        <is>
          <t>1:12.1</t>
        </is>
      </c>
      <c r="AH2345" t="inlineStr">
        <is>
          <t>16%</t>
        </is>
      </c>
      <c r="AI2345" t="n">
        <v>36.6</v>
      </c>
      <c r="AJ2345" t="n">
        <v>33.37</v>
      </c>
    </row>
    <row r="2346">
      <c r="A2346" t="inlineStr">
        <is>
          <t>University of Tulsa</t>
        </is>
      </c>
      <c r="B2346" t="inlineStr">
        <is>
          <t>United States</t>
        </is>
      </c>
      <c r="C2346" t="inlineStr">
        <is>
          <t>1001-1200</t>
        </is>
      </c>
      <c r="D2346" t="inlineStr"/>
      <c r="E2346" t="n">
        <v>3.2</v>
      </c>
      <c r="F2346" t="n">
        <v>2.1</v>
      </c>
      <c r="G2346" t="n">
        <v>35.1</v>
      </c>
      <c r="H2346" t="n">
        <v>11.5</v>
      </c>
      <c r="I2346" t="n">
        <v>7</v>
      </c>
      <c r="J2346" t="n">
        <v>17.8</v>
      </c>
      <c r="K2346" t="n">
        <v>20.4</v>
      </c>
      <c r="L2346" t="n">
        <v>13.7</v>
      </c>
      <c r="M2346" t="n">
        <v>1.1</v>
      </c>
      <c r="N2346" t="inlineStr">
        <is>
          <t>501–600</t>
        </is>
      </c>
      <c r="O2346" t="inlineStr">
        <is>
          <t>41.9–45.3</t>
        </is>
      </c>
      <c r="P2346" t="n">
        <v>36.1</v>
      </c>
      <c r="Q2346" t="n">
        <v>17.2</v>
      </c>
      <c r="R2346" t="n">
        <v>71.90000000000001</v>
      </c>
      <c r="S2346" t="n">
        <v>52.9</v>
      </c>
      <c r="T2346" t="n">
        <v>44.6</v>
      </c>
      <c r="U2346" t="inlineStr">
        <is>
          <t>4,110</t>
        </is>
      </c>
      <c r="V2346" t="n">
        <v>10.8</v>
      </c>
      <c r="W2346" t="inlineStr">
        <is>
          <t>9%</t>
        </is>
      </c>
      <c r="X2346" t="inlineStr">
        <is>
          <t>49 : 51</t>
        </is>
      </c>
      <c r="Y2346" t="n">
        <v>1001</v>
      </c>
      <c r="Z2346" t="n">
        <v>501</v>
      </c>
      <c r="AA2346" t="n">
        <v>43.59999999999999</v>
      </c>
      <c r="AB2346" t="inlineStr">
        <is>
          <t>U2345</t>
        </is>
      </c>
      <c r="AC2346" t="inlineStr">
        <is>
          <t>UN</t>
        </is>
      </c>
      <c r="AD2346" t="n">
        <v>43.59999999999999</v>
      </c>
      <c r="AE2346" t="n">
        <v>11.5</v>
      </c>
      <c r="AF2346" t="n">
        <v>10.8</v>
      </c>
      <c r="AG2346" t="inlineStr">
        <is>
          <t>1:10.8</t>
        </is>
      </c>
      <c r="AH2346" t="inlineStr">
        <is>
          <t>9%</t>
        </is>
      </c>
      <c r="AI2346" t="n">
        <v>3.2</v>
      </c>
      <c r="AJ2346" t="n">
        <v>16.68</v>
      </c>
    </row>
    <row r="2347">
      <c r="A2347" t="inlineStr">
        <is>
          <t>University of Tunis</t>
        </is>
      </c>
      <c r="B2347" t="inlineStr">
        <is>
          <t>Tunisia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>
        <is>
          <t>1201–1500</t>
        </is>
      </c>
      <c r="O2347" t="inlineStr">
        <is>
          <t>22.8–28.2</t>
        </is>
      </c>
      <c r="P2347" t="n">
        <v>30.9</v>
      </c>
      <c r="Q2347" t="n">
        <v>10.3</v>
      </c>
      <c r="R2347" t="n">
        <v>23.5</v>
      </c>
      <c r="S2347" t="n">
        <v>16.6</v>
      </c>
      <c r="T2347" t="n">
        <v>39.2</v>
      </c>
      <c r="U2347" t="inlineStr">
        <is>
          <t>17,124</t>
        </is>
      </c>
      <c r="V2347" t="n">
        <v>11.4</v>
      </c>
      <c r="W2347" t="inlineStr">
        <is>
          <t>2%</t>
        </is>
      </c>
      <c r="X2347" t="inlineStr">
        <is>
          <t>70 : 30</t>
        </is>
      </c>
      <c r="Y2347" t="inlineStr"/>
      <c r="Z2347" t="n">
        <v>1201</v>
      </c>
      <c r="AA2347" t="n">
        <v>25.5</v>
      </c>
      <c r="AB2347" t="inlineStr">
        <is>
          <t>U2346</t>
        </is>
      </c>
      <c r="AC2347" t="inlineStr">
        <is>
          <t>TU</t>
        </is>
      </c>
      <c r="AD2347" t="n">
        <v>25.5</v>
      </c>
      <c r="AE2347" t="n">
        <v>23.5</v>
      </c>
      <c r="AF2347" t="n">
        <v>11.4</v>
      </c>
      <c r="AG2347" t="inlineStr">
        <is>
          <t>1:11.4</t>
        </is>
      </c>
      <c r="AH2347" t="inlineStr">
        <is>
          <t>2%</t>
        </is>
      </c>
      <c r="AI2347" t="inlineStr"/>
      <c r="AJ2347" t="n">
        <v>15.39</v>
      </c>
    </row>
    <row r="2348">
      <c r="A2348" t="inlineStr">
        <is>
          <t>University of Tunis El Manar</t>
        </is>
      </c>
      <c r="B2348" t="inlineStr">
        <is>
          <t>Tunisia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>
        <is>
          <t>801–1000</t>
        </is>
      </c>
      <c r="O2348" t="inlineStr">
        <is>
          <t>32.7–36.9</t>
        </is>
      </c>
      <c r="P2348" t="n">
        <v>42.3</v>
      </c>
      <c r="Q2348" t="n">
        <v>19.9</v>
      </c>
      <c r="R2348" t="n">
        <v>31.1</v>
      </c>
      <c r="S2348" t="n">
        <v>49.5</v>
      </c>
      <c r="T2348" t="n">
        <v>50.5</v>
      </c>
      <c r="U2348" t="inlineStr">
        <is>
          <t>21,302</t>
        </is>
      </c>
      <c r="V2348" t="n">
        <v>9.6</v>
      </c>
      <c r="W2348" t="inlineStr">
        <is>
          <t>6%</t>
        </is>
      </c>
      <c r="X2348" t="inlineStr">
        <is>
          <t>72 : 28</t>
        </is>
      </c>
      <c r="Y2348" t="inlineStr"/>
      <c r="Z2348" t="n">
        <v>801</v>
      </c>
      <c r="AA2348" t="n">
        <v>34.8</v>
      </c>
      <c r="AB2348" t="inlineStr">
        <is>
          <t>U2347</t>
        </is>
      </c>
      <c r="AC2348" t="inlineStr">
        <is>
          <t>TU</t>
        </is>
      </c>
      <c r="AD2348" t="n">
        <v>34.8</v>
      </c>
      <c r="AE2348" t="n">
        <v>31.1</v>
      </c>
      <c r="AF2348" t="n">
        <v>9.6</v>
      </c>
      <c r="AG2348" t="inlineStr">
        <is>
          <t>1:9.6</t>
        </is>
      </c>
      <c r="AH2348" t="inlineStr">
        <is>
          <t>6%</t>
        </is>
      </c>
      <c r="AI2348" t="inlineStr"/>
      <c r="AJ2348" t="n">
        <v>25.46</v>
      </c>
    </row>
    <row r="2349">
      <c r="A2349" t="inlineStr">
        <is>
          <t>University of Turin</t>
        </is>
      </c>
      <c r="B2349" t="inlineStr">
        <is>
          <t>Italy</t>
        </is>
      </c>
      <c r="C2349" t="inlineStr">
        <is>
          <t>371</t>
        </is>
      </c>
      <c r="D2349" t="n">
        <v>31.3</v>
      </c>
      <c r="E2349" t="n">
        <v>41.5</v>
      </c>
      <c r="F2349" t="n">
        <v>7.2</v>
      </c>
      <c r="G2349" t="n">
        <v>3.2</v>
      </c>
      <c r="H2349" t="n">
        <v>33.3</v>
      </c>
      <c r="I2349" t="n">
        <v>4.1</v>
      </c>
      <c r="J2349" t="n">
        <v>5.3</v>
      </c>
      <c r="K2349" t="n">
        <v>87.5</v>
      </c>
      <c r="L2349" t="n">
        <v>51.7</v>
      </c>
      <c r="M2349" t="n">
        <v>83.59999999999999</v>
      </c>
      <c r="N2349" t="inlineStr">
        <is>
          <t>401–500</t>
        </is>
      </c>
      <c r="O2349" t="inlineStr">
        <is>
          <t>45.4–49.0</t>
        </is>
      </c>
      <c r="P2349" t="n">
        <v>23</v>
      </c>
      <c r="Q2349" t="n">
        <v>30.1</v>
      </c>
      <c r="R2349" t="n">
        <v>84.5</v>
      </c>
      <c r="S2349" t="n">
        <v>74.40000000000001</v>
      </c>
      <c r="T2349" t="n">
        <v>45.5</v>
      </c>
      <c r="U2349" t="inlineStr">
        <is>
          <t>63,232</t>
        </is>
      </c>
      <c r="V2349" t="n">
        <v>29.5</v>
      </c>
      <c r="W2349" t="inlineStr">
        <is>
          <t>6%</t>
        </is>
      </c>
      <c r="X2349" t="inlineStr">
        <is>
          <t>61 : 39</t>
        </is>
      </c>
      <c r="Y2349" t="n">
        <v>371</v>
      </c>
      <c r="Z2349" t="n">
        <v>401</v>
      </c>
      <c r="AA2349" t="n">
        <v>47.2</v>
      </c>
      <c r="AB2349" t="inlineStr">
        <is>
          <t>U2348</t>
        </is>
      </c>
      <c r="AC2349" t="inlineStr">
        <is>
          <t>IT</t>
        </is>
      </c>
      <c r="AD2349" t="n">
        <v>31.3</v>
      </c>
      <c r="AE2349" t="n">
        <v>33.3</v>
      </c>
      <c r="AF2349" t="n">
        <v>29.5</v>
      </c>
      <c r="AG2349" t="inlineStr">
        <is>
          <t>1:29.5</t>
        </is>
      </c>
      <c r="AH2349" t="inlineStr">
        <is>
          <t>6%</t>
        </is>
      </c>
      <c r="AI2349" t="n">
        <v>41.5</v>
      </c>
      <c r="AJ2349" t="n">
        <v>30.26</v>
      </c>
    </row>
    <row r="2350">
      <c r="A2350" t="inlineStr">
        <is>
          <t>University of Turku</t>
        </is>
      </c>
      <c r="B2350" t="inlineStr">
        <is>
          <t>Finland</t>
        </is>
      </c>
      <c r="C2350" t="inlineStr">
        <is>
          <t>375</t>
        </is>
      </c>
      <c r="D2350" t="n">
        <v>31.2</v>
      </c>
      <c r="E2350" t="n">
        <v>27.8</v>
      </c>
      <c r="F2350" t="n">
        <v>12.1</v>
      </c>
      <c r="G2350" t="n">
        <v>52.3</v>
      </c>
      <c r="H2350" t="n">
        <v>29.3</v>
      </c>
      <c r="I2350" t="n">
        <v>33.2</v>
      </c>
      <c r="J2350" t="n">
        <v>4.4</v>
      </c>
      <c r="K2350" t="n">
        <v>86.3</v>
      </c>
      <c r="L2350" t="n">
        <v>39.9</v>
      </c>
      <c r="M2350" t="n">
        <v>52.5</v>
      </c>
      <c r="N2350" t="inlineStr">
        <is>
          <t>301–350</t>
        </is>
      </c>
      <c r="O2350" t="inlineStr">
        <is>
          <t>51.1–53.0</t>
        </is>
      </c>
      <c r="P2350" t="n">
        <v>31.6</v>
      </c>
      <c r="Q2350" t="n">
        <v>34.9</v>
      </c>
      <c r="R2350" t="n">
        <v>83.3</v>
      </c>
      <c r="S2350" t="n">
        <v>67</v>
      </c>
      <c r="T2350" t="n">
        <v>52.5</v>
      </c>
      <c r="U2350" t="inlineStr">
        <is>
          <t>13,528</t>
        </is>
      </c>
      <c r="V2350" t="n">
        <v>15.7</v>
      </c>
      <c r="W2350" t="inlineStr">
        <is>
          <t>6%</t>
        </is>
      </c>
      <c r="X2350" t="inlineStr">
        <is>
          <t>63 : 37</t>
        </is>
      </c>
      <c r="Y2350" t="n">
        <v>375</v>
      </c>
      <c r="Z2350" t="n">
        <v>301</v>
      </c>
      <c r="AA2350" t="n">
        <v>52.05</v>
      </c>
      <c r="AB2350" t="inlineStr">
        <is>
          <t>U2349</t>
        </is>
      </c>
      <c r="AC2350" t="inlineStr">
        <is>
          <t>FI</t>
        </is>
      </c>
      <c r="AD2350" t="n">
        <v>31.2</v>
      </c>
      <c r="AE2350" t="n">
        <v>29.3</v>
      </c>
      <c r="AF2350" t="n">
        <v>15.7</v>
      </c>
      <c r="AG2350" t="inlineStr">
        <is>
          <t>1:15.7</t>
        </is>
      </c>
      <c r="AH2350" t="inlineStr">
        <is>
          <t>6%</t>
        </is>
      </c>
      <c r="AI2350" t="n">
        <v>27.8</v>
      </c>
      <c r="AJ2350" t="n">
        <v>33.26</v>
      </c>
    </row>
    <row r="2351">
      <c r="A2351" t="inlineStr">
        <is>
          <t>University of Tuscia</t>
        </is>
      </c>
      <c r="B2351" t="inlineStr">
        <is>
          <t>Italy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>
        <is>
          <t>601–800</t>
        </is>
      </c>
      <c r="O2351" t="inlineStr">
        <is>
          <t>37.0–41.8</t>
        </is>
      </c>
      <c r="P2351" t="n">
        <v>21.4</v>
      </c>
      <c r="Q2351" t="n">
        <v>22.6</v>
      </c>
      <c r="R2351" t="n">
        <v>77.3</v>
      </c>
      <c r="S2351" t="n">
        <v>54.9</v>
      </c>
      <c r="T2351" t="n">
        <v>43.2</v>
      </c>
      <c r="U2351" t="inlineStr">
        <is>
          <t>6,223</t>
        </is>
      </c>
      <c r="V2351" t="n">
        <v>20</v>
      </c>
      <c r="W2351" t="inlineStr">
        <is>
          <t>4%</t>
        </is>
      </c>
      <c r="X2351" t="inlineStr">
        <is>
          <t>52 : 48</t>
        </is>
      </c>
      <c r="Y2351" t="inlineStr"/>
      <c r="Z2351" t="n">
        <v>601</v>
      </c>
      <c r="AA2351" t="n">
        <v>39.4</v>
      </c>
      <c r="AB2351" t="inlineStr">
        <is>
          <t>U2350</t>
        </is>
      </c>
      <c r="AC2351" t="inlineStr">
        <is>
          <t>IT</t>
        </is>
      </c>
      <c r="AD2351" t="n">
        <v>39.4</v>
      </c>
      <c r="AE2351" t="n">
        <v>77.3</v>
      </c>
      <c r="AF2351" t="n">
        <v>20</v>
      </c>
      <c r="AG2351" t="inlineStr">
        <is>
          <t>1:20.0</t>
        </is>
      </c>
      <c r="AH2351" t="inlineStr">
        <is>
          <t>4%</t>
        </is>
      </c>
      <c r="AI2351" t="inlineStr"/>
      <c r="AJ2351" t="n">
        <v>39.11</v>
      </c>
    </row>
    <row r="2352">
      <c r="A2352" t="inlineStr">
        <is>
          <t>University of Twente</t>
        </is>
      </c>
      <c r="B2352" t="inlineStr">
        <is>
          <t>Netherlands</t>
        </is>
      </c>
      <c r="C2352" t="inlineStr">
        <is>
          <t>233</t>
        </is>
      </c>
      <c r="D2352" t="n">
        <v>42.7</v>
      </c>
      <c r="E2352" t="n">
        <v>20.7</v>
      </c>
      <c r="F2352" t="n">
        <v>32</v>
      </c>
      <c r="G2352" t="n">
        <v>43.3</v>
      </c>
      <c r="H2352" t="n">
        <v>61.3</v>
      </c>
      <c r="I2352" t="n">
        <v>100</v>
      </c>
      <c r="J2352" t="n">
        <v>90.40000000000001</v>
      </c>
      <c r="K2352" t="n">
        <v>87.59999999999999</v>
      </c>
      <c r="L2352" t="n">
        <v>20</v>
      </c>
      <c r="M2352" t="n">
        <v>13.8</v>
      </c>
      <c r="N2352" t="inlineStr">
        <is>
          <t>184</t>
        </is>
      </c>
      <c r="O2352" t="inlineStr">
        <is>
          <t>59.7</t>
        </is>
      </c>
      <c r="P2352" t="n">
        <v>43.4</v>
      </c>
      <c r="Q2352" t="n">
        <v>46</v>
      </c>
      <c r="R2352" t="n">
        <v>75.09999999999999</v>
      </c>
      <c r="S2352" t="n">
        <v>99.59999999999999</v>
      </c>
      <c r="T2352" t="n">
        <v>93.3</v>
      </c>
      <c r="U2352" t="inlineStr">
        <is>
          <t>9,964</t>
        </is>
      </c>
      <c r="V2352" t="n">
        <v>13.9</v>
      </c>
      <c r="W2352" t="inlineStr">
        <is>
          <t>38%</t>
        </is>
      </c>
      <c r="X2352" t="inlineStr">
        <is>
          <t>37 : 63</t>
        </is>
      </c>
      <c r="Y2352" t="n">
        <v>233</v>
      </c>
      <c r="Z2352" t="n">
        <v>184</v>
      </c>
      <c r="AA2352" t="n">
        <v>59.7</v>
      </c>
      <c r="AB2352" t="inlineStr">
        <is>
          <t>U2351</t>
        </is>
      </c>
      <c r="AC2352" t="inlineStr">
        <is>
          <t>NE</t>
        </is>
      </c>
      <c r="AD2352" t="n">
        <v>42.7</v>
      </c>
      <c r="AE2352" t="n">
        <v>61.3</v>
      </c>
      <c r="AF2352" t="n">
        <v>13.9</v>
      </c>
      <c r="AG2352" t="inlineStr">
        <is>
          <t>1:13.9</t>
        </is>
      </c>
      <c r="AH2352" t="inlineStr">
        <is>
          <t>38%</t>
        </is>
      </c>
      <c r="AI2352" t="n">
        <v>20.7</v>
      </c>
      <c r="AJ2352" t="n">
        <v>58.64</v>
      </c>
    </row>
    <row r="2353">
      <c r="A2353" t="inlineStr">
        <is>
          <t>University of Tyumen</t>
        </is>
      </c>
      <c r="B2353" t="inlineStr">
        <is>
          <t>Russian Federation</t>
        </is>
      </c>
      <c r="C2353" t="inlineStr">
        <is>
          <t>1201-1400</t>
        </is>
      </c>
      <c r="D2353" t="inlineStr"/>
      <c r="E2353" t="n">
        <v>3.6</v>
      </c>
      <c r="F2353" t="n">
        <v>2.1</v>
      </c>
      <c r="G2353" t="n">
        <v>37.1</v>
      </c>
      <c r="H2353" t="n">
        <v>1.6</v>
      </c>
      <c r="I2353" t="n">
        <v>4.5</v>
      </c>
      <c r="J2353" t="n">
        <v>13.8</v>
      </c>
      <c r="K2353" t="n">
        <v>27</v>
      </c>
      <c r="L2353" t="n">
        <v>4.5</v>
      </c>
      <c r="M2353" t="n">
        <v>1.3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n">
        <v>1201</v>
      </c>
      <c r="Z2353" t="inlineStr"/>
      <c r="AA2353" t="inlineStr"/>
      <c r="AB2353" t="inlineStr">
        <is>
          <t>U2352</t>
        </is>
      </c>
      <c r="AC2353" t="inlineStr">
        <is>
          <t>RU</t>
        </is>
      </c>
      <c r="AD2353" t="inlineStr"/>
      <c r="AE2353" t="n">
        <v>1.6</v>
      </c>
      <c r="AF2353" t="inlineStr"/>
      <c r="AG2353" t="inlineStr"/>
      <c r="AH2353" t="inlineStr"/>
      <c r="AI2353" t="n">
        <v>3.6</v>
      </c>
      <c r="AJ2353" t="n">
        <v>13.87</v>
      </c>
    </row>
    <row r="2354">
      <c r="A2354" t="inlineStr">
        <is>
          <t>University of Udine</t>
        </is>
      </c>
      <c r="B2354" t="inlineStr">
        <is>
          <t>Italy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>
        <is>
          <t>601–800</t>
        </is>
      </c>
      <c r="O2354" t="inlineStr">
        <is>
          <t>37.0–41.8</t>
        </is>
      </c>
      <c r="P2354" t="n">
        <v>28.5</v>
      </c>
      <c r="Q2354" t="n">
        <v>20.2</v>
      </c>
      <c r="R2354" t="n">
        <v>73.09999999999999</v>
      </c>
      <c r="S2354" t="n">
        <v>61.1</v>
      </c>
      <c r="T2354" t="n">
        <v>41.8</v>
      </c>
      <c r="U2354" t="inlineStr">
        <is>
          <t>13,023</t>
        </is>
      </c>
      <c r="V2354" t="n">
        <v>19.3</v>
      </c>
      <c r="W2354" t="inlineStr">
        <is>
          <t>5%</t>
        </is>
      </c>
      <c r="X2354" t="inlineStr">
        <is>
          <t>55 : 45</t>
        </is>
      </c>
      <c r="Y2354" t="inlineStr"/>
      <c r="Z2354" t="n">
        <v>601</v>
      </c>
      <c r="AA2354" t="n">
        <v>39.4</v>
      </c>
      <c r="AB2354" t="inlineStr">
        <is>
          <t>U2353</t>
        </is>
      </c>
      <c r="AC2354" t="inlineStr">
        <is>
          <t>IT</t>
        </is>
      </c>
      <c r="AD2354" t="n">
        <v>39.4</v>
      </c>
      <c r="AE2354" t="n">
        <v>73.09999999999999</v>
      </c>
      <c r="AF2354" t="n">
        <v>19.3</v>
      </c>
      <c r="AG2354" t="inlineStr">
        <is>
          <t>1:19.3</t>
        </is>
      </c>
      <c r="AH2354" t="inlineStr">
        <is>
          <t>5%</t>
        </is>
      </c>
      <c r="AI2354" t="inlineStr"/>
      <c r="AJ2354" t="n">
        <v>36.24</v>
      </c>
    </row>
    <row r="2355">
      <c r="A2355" t="inlineStr">
        <is>
          <t xml:space="preserve">University of Ulsan </t>
        </is>
      </c>
      <c r="B2355" t="inlineStr">
        <is>
          <t>South Korea</t>
        </is>
      </c>
      <c r="C2355" t="inlineStr">
        <is>
          <t>801-850</t>
        </is>
      </c>
      <c r="D2355" t="inlineStr"/>
      <c r="E2355" t="n">
        <v>5</v>
      </c>
      <c r="F2355" t="n">
        <v>2.3</v>
      </c>
      <c r="G2355" t="n">
        <v>60</v>
      </c>
      <c r="H2355" t="n">
        <v>33.6</v>
      </c>
      <c r="I2355" t="n">
        <v>2</v>
      </c>
      <c r="J2355" t="n">
        <v>2.4</v>
      </c>
      <c r="K2355" t="n">
        <v>28.8</v>
      </c>
      <c r="L2355" t="n">
        <v>3.8</v>
      </c>
      <c r="M2355" t="n">
        <v>5.6</v>
      </c>
      <c r="N2355" t="inlineStr">
        <is>
          <t>501–600</t>
        </is>
      </c>
      <c r="O2355" t="inlineStr">
        <is>
          <t>41.9–45.3</t>
        </is>
      </c>
      <c r="P2355" t="n">
        <v>29.4</v>
      </c>
      <c r="Q2355" t="n">
        <v>26.6</v>
      </c>
      <c r="R2355" t="n">
        <v>69</v>
      </c>
      <c r="S2355" t="n">
        <v>86.59999999999999</v>
      </c>
      <c r="T2355" t="n">
        <v>25.2</v>
      </c>
      <c r="U2355" t="inlineStr">
        <is>
          <t>12,223</t>
        </is>
      </c>
      <c r="V2355" t="n">
        <v>10.8</v>
      </c>
      <c r="W2355" t="inlineStr">
        <is>
          <t>4%</t>
        </is>
      </c>
      <c r="X2355" t="inlineStr">
        <is>
          <t>48 : 52</t>
        </is>
      </c>
      <c r="Y2355" t="n">
        <v>801</v>
      </c>
      <c r="Z2355" t="n">
        <v>501</v>
      </c>
      <c r="AA2355" t="n">
        <v>43.59999999999999</v>
      </c>
      <c r="AB2355" t="inlineStr">
        <is>
          <t>U2354</t>
        </is>
      </c>
      <c r="AC2355" t="inlineStr">
        <is>
          <t>SO</t>
        </is>
      </c>
      <c r="AD2355" t="n">
        <v>43.59999999999999</v>
      </c>
      <c r="AE2355" t="n">
        <v>33.6</v>
      </c>
      <c r="AF2355" t="n">
        <v>10.8</v>
      </c>
      <c r="AG2355" t="inlineStr">
        <is>
          <t>1:10.8</t>
        </is>
      </c>
      <c r="AH2355" t="inlineStr">
        <is>
          <t>4%</t>
        </is>
      </c>
      <c r="AI2355" t="n">
        <v>5</v>
      </c>
      <c r="AJ2355" t="n">
        <v>23.61</v>
      </c>
    </row>
    <row r="2356">
      <c r="A2356" t="inlineStr">
        <is>
          <t>University of Urbino Carlo Bo</t>
        </is>
      </c>
      <c r="B2356" t="inlineStr">
        <is>
          <t>Italy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>
        <is>
          <t>1001–1200</t>
        </is>
      </c>
      <c r="O2356" t="inlineStr">
        <is>
          <t>28.3–32.6</t>
        </is>
      </c>
      <c r="P2356" t="n">
        <v>15.8</v>
      </c>
      <c r="Q2356" t="n">
        <v>17.8</v>
      </c>
      <c r="R2356" t="n">
        <v>52.2</v>
      </c>
      <c r="S2356" t="n">
        <v>33.1</v>
      </c>
      <c r="T2356" t="n">
        <v>52.5</v>
      </c>
      <c r="U2356" t="inlineStr">
        <is>
          <t>15,779</t>
        </is>
      </c>
      <c r="V2356" t="n">
        <v>39</v>
      </c>
      <c r="W2356" t="inlineStr">
        <is>
          <t>6%</t>
        </is>
      </c>
      <c r="X2356" t="inlineStr">
        <is>
          <t>63 : 37</t>
        </is>
      </c>
      <c r="Y2356" t="inlineStr"/>
      <c r="Z2356" t="n">
        <v>1001</v>
      </c>
      <c r="AA2356" t="n">
        <v>30.45</v>
      </c>
      <c r="AB2356" t="inlineStr">
        <is>
          <t>U2355</t>
        </is>
      </c>
      <c r="AC2356" t="inlineStr">
        <is>
          <t>IT</t>
        </is>
      </c>
      <c r="AD2356" t="n">
        <v>30.45</v>
      </c>
      <c r="AE2356" t="n">
        <v>52.2</v>
      </c>
      <c r="AF2356" t="n">
        <v>39</v>
      </c>
      <c r="AG2356" t="inlineStr">
        <is>
          <t>1:39.0</t>
        </is>
      </c>
      <c r="AH2356" t="inlineStr">
        <is>
          <t>6%</t>
        </is>
      </c>
      <c r="AI2356" t="inlineStr"/>
      <c r="AJ2356" t="n">
        <v>31.24</v>
      </c>
    </row>
    <row r="2357">
      <c r="A2357" t="inlineStr">
        <is>
          <t>University of Utah</t>
        </is>
      </c>
      <c r="B2357" t="inlineStr">
        <is>
          <t>United States</t>
        </is>
      </c>
      <c r="C2357" t="inlineStr">
        <is>
          <t>531</t>
        </is>
      </c>
      <c r="D2357" t="n">
        <v>23.1</v>
      </c>
      <c r="E2357" t="n">
        <v>15.7</v>
      </c>
      <c r="F2357" t="n">
        <v>6.3</v>
      </c>
      <c r="G2357" t="n">
        <v>50</v>
      </c>
      <c r="H2357" t="n">
        <v>30.5</v>
      </c>
      <c r="I2357" t="n">
        <v>15.5</v>
      </c>
      <c r="J2357" t="n">
        <v>10.3</v>
      </c>
      <c r="K2357" t="n">
        <v>80.5</v>
      </c>
      <c r="L2357" t="n">
        <v>17.4</v>
      </c>
      <c r="M2357" t="n">
        <v>24.5</v>
      </c>
      <c r="N2357" t="inlineStr">
        <is>
          <t>201–250</t>
        </is>
      </c>
      <c r="O2357" t="inlineStr">
        <is>
          <t>55.9–58.6</t>
        </is>
      </c>
      <c r="P2357" t="n">
        <v>43.5</v>
      </c>
      <c r="Q2357" t="n">
        <v>38.5</v>
      </c>
      <c r="R2357" t="n">
        <v>87</v>
      </c>
      <c r="S2357" t="n">
        <v>83.5</v>
      </c>
      <c r="T2357" t="n">
        <v>40.9</v>
      </c>
      <c r="U2357" t="inlineStr">
        <is>
          <t>31,502</t>
        </is>
      </c>
      <c r="V2357" t="n">
        <v>13.3</v>
      </c>
      <c r="W2357" t="inlineStr">
        <is>
          <t>8%</t>
        </is>
      </c>
      <c r="X2357" t="inlineStr">
        <is>
          <t>50 : 50</t>
        </is>
      </c>
      <c r="Y2357" t="n">
        <v>531</v>
      </c>
      <c r="Z2357" t="n">
        <v>201</v>
      </c>
      <c r="AA2357" t="n">
        <v>57.25</v>
      </c>
      <c r="AB2357" t="inlineStr">
        <is>
          <t>U2356</t>
        </is>
      </c>
      <c r="AC2357" t="inlineStr">
        <is>
          <t>UN</t>
        </is>
      </c>
      <c r="AD2357" t="n">
        <v>23.1</v>
      </c>
      <c r="AE2357" t="n">
        <v>30.5</v>
      </c>
      <c r="AF2357" t="n">
        <v>13.3</v>
      </c>
      <c r="AG2357" t="inlineStr">
        <is>
          <t>1:13.3</t>
        </is>
      </c>
      <c r="AH2357" t="inlineStr">
        <is>
          <t>8%</t>
        </is>
      </c>
      <c r="AI2357" t="n">
        <v>15.7</v>
      </c>
      <c r="AJ2357" t="n">
        <v>32.7</v>
      </c>
    </row>
    <row r="2358">
      <c r="A2358" t="inlineStr">
        <is>
          <t>University of Vaasa</t>
        </is>
      </c>
      <c r="B2358" t="inlineStr">
        <is>
          <t>Finland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>
        <is>
          <t>401–500</t>
        </is>
      </c>
      <c r="O2358" t="inlineStr">
        <is>
          <t>45.4–49.0</t>
        </is>
      </c>
      <c r="P2358" t="n">
        <v>22</v>
      </c>
      <c r="Q2358" t="n">
        <v>27.7</v>
      </c>
      <c r="R2358" t="n">
        <v>90.3</v>
      </c>
      <c r="S2358" t="n">
        <v>39.5</v>
      </c>
      <c r="T2358" t="n">
        <v>65.3</v>
      </c>
      <c r="U2358" t="inlineStr">
        <is>
          <t>3,927</t>
        </is>
      </c>
      <c r="V2358" t="n">
        <v>18.8</v>
      </c>
      <c r="W2358" t="inlineStr">
        <is>
          <t>4%</t>
        </is>
      </c>
      <c r="X2358" t="inlineStr">
        <is>
          <t>53 : 47</t>
        </is>
      </c>
      <c r="Y2358" t="inlineStr"/>
      <c r="Z2358" t="n">
        <v>401</v>
      </c>
      <c r="AA2358" t="n">
        <v>47.2</v>
      </c>
      <c r="AB2358" t="inlineStr">
        <is>
          <t>U2357</t>
        </is>
      </c>
      <c r="AC2358" t="inlineStr">
        <is>
          <t>FI</t>
        </is>
      </c>
      <c r="AD2358" t="n">
        <v>47.2</v>
      </c>
      <c r="AE2358" t="n">
        <v>90.3</v>
      </c>
      <c r="AF2358" t="n">
        <v>18.8</v>
      </c>
      <c r="AG2358" t="inlineStr">
        <is>
          <t>1:18.8</t>
        </is>
      </c>
      <c r="AH2358" t="inlineStr">
        <is>
          <t>4%</t>
        </is>
      </c>
      <c r="AI2358" t="inlineStr"/>
      <c r="AJ2358" t="n">
        <v>51.07</v>
      </c>
    </row>
    <row r="2359">
      <c r="A2359" t="inlineStr">
        <is>
          <t>University of Valencia</t>
        </is>
      </c>
      <c r="B2359" t="inlineStr">
        <is>
          <t>Spain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>
        <is>
          <t>501–600</t>
        </is>
      </c>
      <c r="O2359" t="inlineStr">
        <is>
          <t>41.9–45.3</t>
        </is>
      </c>
      <c r="P2359" t="n">
        <v>28.9</v>
      </c>
      <c r="Q2359" t="n">
        <v>25.6</v>
      </c>
      <c r="R2359" t="n">
        <v>75.7</v>
      </c>
      <c r="S2359" t="n">
        <v>58.2</v>
      </c>
      <c r="T2359" t="n">
        <v>49.2</v>
      </c>
      <c r="U2359" t="inlineStr">
        <is>
          <t>49,165</t>
        </is>
      </c>
      <c r="V2359" t="n">
        <v>13.7</v>
      </c>
      <c r="W2359" t="inlineStr">
        <is>
          <t>9%</t>
        </is>
      </c>
      <c r="X2359" t="inlineStr">
        <is>
          <t>60 : 40</t>
        </is>
      </c>
      <c r="Y2359" t="inlineStr"/>
      <c r="Z2359" t="n">
        <v>501</v>
      </c>
      <c r="AA2359" t="n">
        <v>43.59999999999999</v>
      </c>
      <c r="AB2359" t="inlineStr">
        <is>
          <t>U2358</t>
        </is>
      </c>
      <c r="AC2359" t="inlineStr">
        <is>
          <t>SP</t>
        </is>
      </c>
      <c r="AD2359" t="n">
        <v>43.59999999999999</v>
      </c>
      <c r="AE2359" t="n">
        <v>75.7</v>
      </c>
      <c r="AF2359" t="n">
        <v>13.7</v>
      </c>
      <c r="AG2359" t="inlineStr">
        <is>
          <t>1:13.7</t>
        </is>
      </c>
      <c r="AH2359" t="inlineStr">
        <is>
          <t>9%</t>
        </is>
      </c>
      <c r="AI2359" t="inlineStr"/>
      <c r="AJ2359" t="n">
        <v>41.65</v>
      </c>
    </row>
    <row r="2360">
      <c r="A2360" t="inlineStr">
        <is>
          <t>University of Valladolid</t>
        </is>
      </c>
      <c r="B2360" t="inlineStr">
        <is>
          <t>Spain</t>
        </is>
      </c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>
        <is>
          <t>1201–1500</t>
        </is>
      </c>
      <c r="O2360" t="inlineStr">
        <is>
          <t>22.8–28.2</t>
        </is>
      </c>
      <c r="P2360" t="n">
        <v>25.1</v>
      </c>
      <c r="Q2360" t="n">
        <v>14.4</v>
      </c>
      <c r="R2360" t="n">
        <v>37.9</v>
      </c>
      <c r="S2360" t="n">
        <v>43.8</v>
      </c>
      <c r="T2360" t="n">
        <v>38.1</v>
      </c>
      <c r="U2360" t="inlineStr">
        <is>
          <t>21,261</t>
        </is>
      </c>
      <c r="V2360" t="n">
        <v>10.7</v>
      </c>
      <c r="W2360" t="inlineStr">
        <is>
          <t>6%</t>
        </is>
      </c>
      <c r="X2360" t="inlineStr">
        <is>
          <t>56 : 44</t>
        </is>
      </c>
      <c r="Y2360" t="inlineStr"/>
      <c r="Z2360" t="n">
        <v>1201</v>
      </c>
      <c r="AA2360" t="n">
        <v>25.5</v>
      </c>
      <c r="AB2360" t="inlineStr">
        <is>
          <t>U2359</t>
        </is>
      </c>
      <c r="AC2360" t="inlineStr">
        <is>
          <t>SP</t>
        </is>
      </c>
      <c r="AD2360" t="n">
        <v>25.5</v>
      </c>
      <c r="AE2360" t="n">
        <v>37.9</v>
      </c>
      <c r="AF2360" t="n">
        <v>10.7</v>
      </c>
      <c r="AG2360" t="inlineStr">
        <is>
          <t>1:10.7</t>
        </is>
      </c>
      <c r="AH2360" t="inlineStr">
        <is>
          <t>6%</t>
        </is>
      </c>
      <c r="AI2360" t="inlineStr"/>
      <c r="AJ2360" t="n">
        <v>21.64</v>
      </c>
    </row>
    <row r="2361">
      <c r="A2361" t="inlineStr">
        <is>
          <t>University of Valparaíso</t>
        </is>
      </c>
      <c r="B2361" t="inlineStr">
        <is>
          <t>Chile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>
        <is>
          <t>1501+</t>
        </is>
      </c>
      <c r="O2361" t="inlineStr">
        <is>
          <t>9.7–22.7</t>
        </is>
      </c>
      <c r="P2361" t="n">
        <v>15.4</v>
      </c>
      <c r="Q2361" t="n">
        <v>12.2</v>
      </c>
      <c r="R2361" t="n">
        <v>22</v>
      </c>
      <c r="S2361" t="n">
        <v>18.7</v>
      </c>
      <c r="T2361" t="n">
        <v>47.8</v>
      </c>
      <c r="U2361" t="inlineStr">
        <is>
          <t>16,627</t>
        </is>
      </c>
      <c r="V2361" t="n">
        <v>19</v>
      </c>
      <c r="W2361" t="inlineStr">
        <is>
          <t>2%</t>
        </is>
      </c>
      <c r="X2361" t="inlineStr">
        <is>
          <t>58 : 42</t>
        </is>
      </c>
      <c r="Y2361" t="inlineStr"/>
      <c r="Z2361" t="n">
        <v>1501</v>
      </c>
      <c r="AA2361" t="n">
        <v>16.2</v>
      </c>
      <c r="AB2361" t="inlineStr">
        <is>
          <t>U2360</t>
        </is>
      </c>
      <c r="AC2361" t="inlineStr">
        <is>
          <t>CH</t>
        </is>
      </c>
      <c r="AD2361" t="n">
        <v>16.2</v>
      </c>
      <c r="AE2361" t="n">
        <v>22</v>
      </c>
      <c r="AF2361" t="n">
        <v>19</v>
      </c>
      <c r="AG2361" t="inlineStr">
        <is>
          <t>1:19.0</t>
        </is>
      </c>
      <c r="AH2361" t="inlineStr">
        <is>
          <t>2%</t>
        </is>
      </c>
      <c r="AI2361" t="inlineStr"/>
      <c r="AJ2361" t="n">
        <v>18.01</v>
      </c>
    </row>
    <row r="2362">
      <c r="A2362" t="inlineStr">
        <is>
          <t>University of Venda</t>
        </is>
      </c>
      <c r="B2362" t="inlineStr">
        <is>
          <t>South Africa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>
        <is>
          <t>1201–1500</t>
        </is>
      </c>
      <c r="O2362" t="inlineStr">
        <is>
          <t>22.8–28.2</t>
        </is>
      </c>
      <c r="P2362" t="n">
        <v>20.3</v>
      </c>
      <c r="Q2362" t="n">
        <v>29.2</v>
      </c>
      <c r="R2362" t="n">
        <v>19.9</v>
      </c>
      <c r="S2362" t="n">
        <v>16.8</v>
      </c>
      <c r="T2362" t="n">
        <v>49</v>
      </c>
      <c r="U2362" t="inlineStr">
        <is>
          <t>11,848</t>
        </is>
      </c>
      <c r="V2362" t="n">
        <v>29.4</v>
      </c>
      <c r="W2362" t="inlineStr">
        <is>
          <t>1%</t>
        </is>
      </c>
      <c r="X2362" t="inlineStr">
        <is>
          <t>58 : 42</t>
        </is>
      </c>
      <c r="Y2362" t="inlineStr"/>
      <c r="Z2362" t="n">
        <v>1201</v>
      </c>
      <c r="AA2362" t="n">
        <v>25.5</v>
      </c>
      <c r="AB2362" t="inlineStr">
        <is>
          <t>U2361</t>
        </is>
      </c>
      <c r="AC2362" t="inlineStr">
        <is>
          <t>SO</t>
        </is>
      </c>
      <c r="AD2362" t="n">
        <v>25.5</v>
      </c>
      <c r="AE2362" t="n">
        <v>19.9</v>
      </c>
      <c r="AF2362" t="n">
        <v>29.4</v>
      </c>
      <c r="AG2362" t="inlineStr">
        <is>
          <t>1:29.4</t>
        </is>
      </c>
      <c r="AH2362" t="inlineStr">
        <is>
          <t>1%</t>
        </is>
      </c>
      <c r="AI2362" t="inlineStr"/>
      <c r="AJ2362" t="n">
        <v>26.58</v>
      </c>
    </row>
    <row r="2363">
      <c r="A2363" t="inlineStr">
        <is>
          <t>University of Vermont</t>
        </is>
      </c>
      <c r="B2363" t="inlineStr">
        <is>
          <t>United States</t>
        </is>
      </c>
      <c r="C2363" t="inlineStr">
        <is>
          <t>1001-1200</t>
        </is>
      </c>
      <c r="D2363" t="inlineStr"/>
      <c r="E2363" t="n">
        <v>3.1</v>
      </c>
      <c r="F2363" t="n">
        <v>2.2</v>
      </c>
      <c r="G2363" t="n">
        <v>34.9</v>
      </c>
      <c r="H2363" t="n">
        <v>15.6</v>
      </c>
      <c r="I2363" t="n">
        <v>6.8</v>
      </c>
      <c r="J2363" t="n">
        <v>2.4</v>
      </c>
      <c r="K2363" t="n">
        <v>62.8</v>
      </c>
      <c r="L2363" t="n">
        <v>9.5</v>
      </c>
      <c r="M2363" t="n">
        <v>8.1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n">
        <v>1001</v>
      </c>
      <c r="Z2363" t="inlineStr"/>
      <c r="AA2363" t="inlineStr"/>
      <c r="AB2363" t="inlineStr">
        <is>
          <t>U2362</t>
        </is>
      </c>
      <c r="AC2363" t="inlineStr">
        <is>
          <t>UN</t>
        </is>
      </c>
      <c r="AD2363" t="inlineStr"/>
      <c r="AE2363" t="n">
        <v>15.6</v>
      </c>
      <c r="AF2363" t="inlineStr"/>
      <c r="AG2363" t="inlineStr"/>
      <c r="AH2363" t="inlineStr"/>
      <c r="AI2363" t="n">
        <v>3.1</v>
      </c>
      <c r="AJ2363" t="n">
        <v>18.12</v>
      </c>
    </row>
    <row r="2364">
      <c r="A2364" t="inlineStr">
        <is>
          <t>University of Veterinary and Animal Sciences, Lahore</t>
        </is>
      </c>
      <c r="B2364" t="inlineStr">
        <is>
          <t>Pakistan</t>
        </is>
      </c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>
        <is>
          <t>801–1000</t>
        </is>
      </c>
      <c r="O2364" t="inlineStr">
        <is>
          <t>32.7–36.9</t>
        </is>
      </c>
      <c r="P2364" t="n">
        <v>22.2</v>
      </c>
      <c r="Q2364" t="n">
        <v>17</v>
      </c>
      <c r="R2364" t="n">
        <v>53.7</v>
      </c>
      <c r="S2364" t="n">
        <v>46.7</v>
      </c>
      <c r="T2364" t="n">
        <v>55.5</v>
      </c>
      <c r="U2364" t="inlineStr">
        <is>
          <t>6,980</t>
        </is>
      </c>
      <c r="V2364" t="n">
        <v>19.2</v>
      </c>
      <c r="W2364" t="inlineStr">
        <is>
          <t>1%</t>
        </is>
      </c>
      <c r="X2364" t="inlineStr">
        <is>
          <t>53 : 47</t>
        </is>
      </c>
      <c r="Y2364" t="inlineStr"/>
      <c r="Z2364" t="n">
        <v>801</v>
      </c>
      <c r="AA2364" t="n">
        <v>34.8</v>
      </c>
      <c r="AB2364" t="inlineStr">
        <is>
          <t>U2363</t>
        </is>
      </c>
      <c r="AC2364" t="inlineStr">
        <is>
          <t>PA</t>
        </is>
      </c>
      <c r="AD2364" t="n">
        <v>34.8</v>
      </c>
      <c r="AE2364" t="n">
        <v>53.7</v>
      </c>
      <c r="AF2364" t="n">
        <v>19.2</v>
      </c>
      <c r="AG2364" t="inlineStr">
        <is>
          <t>1:19.2</t>
        </is>
      </c>
      <c r="AH2364" t="inlineStr">
        <is>
          <t>1%</t>
        </is>
      </c>
      <c r="AI2364" t="inlineStr"/>
      <c r="AJ2364" t="n">
        <v>32</v>
      </c>
    </row>
    <row r="2365">
      <c r="A2365" t="inlineStr">
        <is>
          <t>University of Vic – Central University of Catalonia</t>
        </is>
      </c>
      <c r="B2365" t="inlineStr">
        <is>
          <t>Spain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>
        <is>
          <t>801–1000</t>
        </is>
      </c>
      <c r="O2365" t="inlineStr">
        <is>
          <t>32.7–36.9</t>
        </is>
      </c>
      <c r="P2365" t="n">
        <v>19.1</v>
      </c>
      <c r="Q2365" t="n">
        <v>13.1</v>
      </c>
      <c r="R2365" t="n">
        <v>70.8</v>
      </c>
      <c r="S2365" t="n">
        <v>20.2</v>
      </c>
      <c r="T2365" t="n">
        <v>59.1</v>
      </c>
      <c r="U2365" t="inlineStr">
        <is>
          <t>6,925</t>
        </is>
      </c>
      <c r="V2365" t="n">
        <v>13.1</v>
      </c>
      <c r="W2365" t="inlineStr">
        <is>
          <t>19%</t>
        </is>
      </c>
      <c r="X2365" t="inlineStr">
        <is>
          <t>61 : 39</t>
        </is>
      </c>
      <c r="Y2365" t="inlineStr"/>
      <c r="Z2365" t="n">
        <v>801</v>
      </c>
      <c r="AA2365" t="n">
        <v>34.8</v>
      </c>
      <c r="AB2365" t="inlineStr">
        <is>
          <t>U2364</t>
        </is>
      </c>
      <c r="AC2365" t="inlineStr">
        <is>
          <t>SP</t>
        </is>
      </c>
      <c r="AD2365" t="n">
        <v>34.8</v>
      </c>
      <c r="AE2365" t="n">
        <v>70.8</v>
      </c>
      <c r="AF2365" t="n">
        <v>13.1</v>
      </c>
      <c r="AG2365" t="inlineStr">
        <is>
          <t>1:13.1</t>
        </is>
      </c>
      <c r="AH2365" t="inlineStr">
        <is>
          <t>19%</t>
        </is>
      </c>
      <c r="AI2365" t="inlineStr"/>
      <c r="AJ2365" t="n">
        <v>36.01</v>
      </c>
    </row>
    <row r="2366">
      <c r="A2366" t="inlineStr">
        <is>
          <t>University of Victoria (UVic)</t>
        </is>
      </c>
      <c r="B2366" t="inlineStr">
        <is>
          <t>Canada</t>
        </is>
      </c>
      <c r="C2366" t="inlineStr">
        <is>
          <t>349</t>
        </is>
      </c>
      <c r="D2366" t="n">
        <v>32.6</v>
      </c>
      <c r="E2366" t="n">
        <v>17</v>
      </c>
      <c r="F2366" t="n">
        <v>7.7</v>
      </c>
      <c r="G2366" t="n">
        <v>3.9</v>
      </c>
      <c r="H2366" t="n">
        <v>62.5</v>
      </c>
      <c r="I2366" t="n">
        <v>94.7</v>
      </c>
      <c r="J2366" t="n">
        <v>40.9</v>
      </c>
      <c r="K2366" t="n">
        <v>54.2</v>
      </c>
      <c r="L2366" t="n">
        <v>11.3</v>
      </c>
      <c r="M2366" t="n">
        <v>82.90000000000001</v>
      </c>
      <c r="N2366" t="inlineStr">
        <is>
          <t>351–400</t>
        </is>
      </c>
      <c r="O2366" t="inlineStr">
        <is>
          <t>49.1–51.0</t>
        </is>
      </c>
      <c r="P2366" t="n">
        <v>27.4</v>
      </c>
      <c r="Q2366" t="n">
        <v>31.2</v>
      </c>
      <c r="R2366" t="n">
        <v>80.09999999999999</v>
      </c>
      <c r="S2366" t="n">
        <v>63.8</v>
      </c>
      <c r="T2366" t="n">
        <v>88.90000000000001</v>
      </c>
      <c r="U2366" t="inlineStr">
        <is>
          <t>21,486</t>
        </is>
      </c>
      <c r="V2366" t="n">
        <v>23.9</v>
      </c>
      <c r="W2366" t="inlineStr">
        <is>
          <t>21%</t>
        </is>
      </c>
      <c r="X2366" t="inlineStr">
        <is>
          <t>56 : 44</t>
        </is>
      </c>
      <c r="Y2366" t="n">
        <v>349</v>
      </c>
      <c r="Z2366" t="n">
        <v>351</v>
      </c>
      <c r="AA2366" t="n">
        <v>50.05</v>
      </c>
      <c r="AB2366" t="inlineStr">
        <is>
          <t>U2365</t>
        </is>
      </c>
      <c r="AC2366" t="inlineStr">
        <is>
          <t>CA</t>
        </is>
      </c>
      <c r="AD2366" t="n">
        <v>32.6</v>
      </c>
      <c r="AE2366" t="n">
        <v>62.5</v>
      </c>
      <c r="AF2366" t="n">
        <v>23.9</v>
      </c>
      <c r="AG2366" t="inlineStr">
        <is>
          <t>1:23.9</t>
        </is>
      </c>
      <c r="AH2366" t="inlineStr">
        <is>
          <t>21%</t>
        </is>
      </c>
      <c r="AI2366" t="n">
        <v>17</v>
      </c>
      <c r="AJ2366" t="n">
        <v>50.18</v>
      </c>
    </row>
    <row r="2367">
      <c r="A2367" t="inlineStr">
        <is>
          <t>University of Vienna</t>
        </is>
      </c>
      <c r="B2367" t="inlineStr">
        <is>
          <t>Austria</t>
        </is>
      </c>
      <c r="C2367" t="inlineStr">
        <is>
          <t>137</t>
        </is>
      </c>
      <c r="D2367" t="n">
        <v>53.9</v>
      </c>
      <c r="E2367" t="n">
        <v>70.90000000000001</v>
      </c>
      <c r="F2367" t="n">
        <v>40.4</v>
      </c>
      <c r="G2367" t="n">
        <v>23.2</v>
      </c>
      <c r="H2367" t="n">
        <v>13</v>
      </c>
      <c r="I2367" t="n">
        <v>100</v>
      </c>
      <c r="J2367" t="n">
        <v>92</v>
      </c>
      <c r="K2367" t="n">
        <v>96</v>
      </c>
      <c r="L2367" t="n">
        <v>89.7</v>
      </c>
      <c r="M2367" t="n">
        <v>60.9</v>
      </c>
      <c r="N2367">
        <f>119</f>
        <v/>
      </c>
      <c r="O2367" t="inlineStr">
        <is>
          <t>65.2</t>
        </is>
      </c>
      <c r="P2367" t="n">
        <v>48.7</v>
      </c>
      <c r="Q2367" t="n">
        <v>60.3</v>
      </c>
      <c r="R2367" t="n">
        <v>77.40000000000001</v>
      </c>
      <c r="S2367" t="n">
        <v>75.90000000000001</v>
      </c>
      <c r="T2367" t="n">
        <v>94.90000000000001</v>
      </c>
      <c r="U2367" t="inlineStr">
        <is>
          <t>31,318</t>
        </is>
      </c>
      <c r="V2367" t="n">
        <v>37.4</v>
      </c>
      <c r="W2367" t="inlineStr">
        <is>
          <t>31%</t>
        </is>
      </c>
      <c r="X2367" t="inlineStr">
        <is>
          <t>66 : 34</t>
        </is>
      </c>
      <c r="Y2367" t="n">
        <v>137</v>
      </c>
      <c r="Z2367" t="n">
        <v>119</v>
      </c>
      <c r="AA2367" t="n">
        <v>65.2</v>
      </c>
      <c r="AB2367" t="inlineStr">
        <is>
          <t>U2366</t>
        </is>
      </c>
      <c r="AC2367" t="inlineStr">
        <is>
          <t>AU</t>
        </is>
      </c>
      <c r="AD2367" t="n">
        <v>53.9</v>
      </c>
      <c r="AE2367" t="n">
        <v>13</v>
      </c>
      <c r="AF2367" t="n">
        <v>37.4</v>
      </c>
      <c r="AG2367" t="inlineStr">
        <is>
          <t>1:37.4</t>
        </is>
      </c>
      <c r="AH2367" t="inlineStr">
        <is>
          <t>31%</t>
        </is>
      </c>
      <c r="AI2367" t="n">
        <v>70.90000000000001</v>
      </c>
      <c r="AJ2367" t="n">
        <v>51.89</v>
      </c>
    </row>
    <row r="2368">
      <c r="A2368" t="inlineStr">
        <is>
          <t>University of Vigo</t>
        </is>
      </c>
      <c r="B2368" t="inlineStr">
        <is>
          <t>Spain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>
        <is>
          <t>801–1000</t>
        </is>
      </c>
      <c r="O2368" t="inlineStr">
        <is>
          <t>32.7–36.9</t>
        </is>
      </c>
      <c r="P2368" t="n">
        <v>25.1</v>
      </c>
      <c r="Q2368" t="n">
        <v>17.9</v>
      </c>
      <c r="R2368" t="n">
        <v>57.8</v>
      </c>
      <c r="S2368" t="n">
        <v>49.5</v>
      </c>
      <c r="T2368" t="n">
        <v>47.4</v>
      </c>
      <c r="U2368" t="inlineStr">
        <is>
          <t>17,367</t>
        </is>
      </c>
      <c r="V2368" t="n">
        <v>15.1</v>
      </c>
      <c r="W2368" t="inlineStr">
        <is>
          <t>5%</t>
        </is>
      </c>
      <c r="X2368" t="inlineStr">
        <is>
          <t>52 : 48</t>
        </is>
      </c>
      <c r="Y2368" t="inlineStr"/>
      <c r="Z2368" t="n">
        <v>801</v>
      </c>
      <c r="AA2368" t="n">
        <v>34.8</v>
      </c>
      <c r="AB2368" t="inlineStr">
        <is>
          <t>U2367</t>
        </is>
      </c>
      <c r="AC2368" t="inlineStr">
        <is>
          <t>SP</t>
        </is>
      </c>
      <c r="AD2368" t="n">
        <v>34.8</v>
      </c>
      <c r="AE2368" t="n">
        <v>57.8</v>
      </c>
      <c r="AF2368" t="n">
        <v>15.1</v>
      </c>
      <c r="AG2368" t="inlineStr">
        <is>
          <t>1:15.1</t>
        </is>
      </c>
      <c r="AH2368" t="inlineStr">
        <is>
          <t>5%</t>
        </is>
      </c>
      <c r="AI2368" t="inlineStr"/>
      <c r="AJ2368" t="n">
        <v>31.75</v>
      </c>
    </row>
    <row r="2369">
      <c r="A2369" t="inlineStr">
        <is>
          <t>University of Virginia</t>
        </is>
      </c>
      <c r="B2369" t="inlineStr">
        <is>
          <t>United States</t>
        </is>
      </c>
      <c r="C2369" t="inlineStr">
        <is>
          <t>297</t>
        </is>
      </c>
      <c r="D2369" t="n">
        <v>36.6</v>
      </c>
      <c r="E2369" t="n">
        <v>37.3</v>
      </c>
      <c r="F2369" t="n">
        <v>27.3</v>
      </c>
      <c r="G2369" t="n">
        <v>55.8</v>
      </c>
      <c r="H2369" t="n">
        <v>29.1</v>
      </c>
      <c r="I2369" t="n">
        <v>6.1</v>
      </c>
      <c r="J2369" t="n">
        <v>11.3</v>
      </c>
      <c r="K2369" t="n">
        <v>81.59999999999999</v>
      </c>
      <c r="L2369" t="n">
        <v>77.90000000000001</v>
      </c>
      <c r="M2369" t="n">
        <v>35.4</v>
      </c>
      <c r="N2369" t="inlineStr">
        <is>
          <t>166</t>
        </is>
      </c>
      <c r="O2369" t="inlineStr">
        <is>
          <t>61.1</t>
        </is>
      </c>
      <c r="P2369" t="n">
        <v>51.1</v>
      </c>
      <c r="Q2369" t="n">
        <v>40.1</v>
      </c>
      <c r="R2369" t="n">
        <v>88.90000000000001</v>
      </c>
      <c r="S2369" t="n">
        <v>79.90000000000001</v>
      </c>
      <c r="T2369" t="n">
        <v>60.8</v>
      </c>
      <c r="U2369" t="inlineStr">
        <is>
          <t>25,953</t>
        </is>
      </c>
      <c r="V2369" t="n">
        <v>8.9</v>
      </c>
      <c r="W2369" t="inlineStr">
        <is>
          <t>11%</t>
        </is>
      </c>
      <c r="X2369" t="inlineStr">
        <is>
          <t>54 : 46</t>
        </is>
      </c>
      <c r="Y2369" t="n">
        <v>297</v>
      </c>
      <c r="Z2369" t="n">
        <v>166</v>
      </c>
      <c r="AA2369" t="n">
        <v>61.1</v>
      </c>
      <c r="AB2369" t="inlineStr">
        <is>
          <t>U2368</t>
        </is>
      </c>
      <c r="AC2369" t="inlineStr">
        <is>
          <t>UN</t>
        </is>
      </c>
      <c r="AD2369" t="n">
        <v>36.6</v>
      </c>
      <c r="AE2369" t="n">
        <v>29.1</v>
      </c>
      <c r="AF2369" t="n">
        <v>8.9</v>
      </c>
      <c r="AG2369" t="inlineStr">
        <is>
          <t>1:8.9</t>
        </is>
      </c>
      <c r="AH2369" t="inlineStr">
        <is>
          <t>11%</t>
        </is>
      </c>
      <c r="AI2369" t="n">
        <v>37.3</v>
      </c>
      <c r="AJ2369" t="n">
        <v>37.93</v>
      </c>
    </row>
    <row r="2370">
      <c r="A2370" t="inlineStr">
        <is>
          <t>University of Würzburg</t>
        </is>
      </c>
      <c r="B2370" t="inlineStr">
        <is>
          <t>Germany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>
        <f>175</f>
        <v/>
      </c>
      <c r="O2370" t="inlineStr">
        <is>
          <t>60.4</t>
        </is>
      </c>
      <c r="P2370" t="n">
        <v>40.3</v>
      </c>
      <c r="Q2370" t="n">
        <v>43.4</v>
      </c>
      <c r="R2370" t="n">
        <v>90.8</v>
      </c>
      <c r="S2370" t="n">
        <v>99.59999999999999</v>
      </c>
      <c r="T2370" t="n">
        <v>63.2</v>
      </c>
      <c r="U2370" t="inlineStr">
        <is>
          <t>23,637</t>
        </is>
      </c>
      <c r="V2370" t="n">
        <v>38.3</v>
      </c>
      <c r="W2370" t="inlineStr">
        <is>
          <t>12%</t>
        </is>
      </c>
      <c r="X2370" t="inlineStr">
        <is>
          <t>59 : 41</t>
        </is>
      </c>
      <c r="Y2370" t="inlineStr"/>
      <c r="Z2370" t="n">
        <v>175</v>
      </c>
      <c r="AA2370" t="n">
        <v>60.4</v>
      </c>
      <c r="AB2370" t="inlineStr">
        <is>
          <t>U2369</t>
        </is>
      </c>
      <c r="AC2370" t="inlineStr">
        <is>
          <t>GE</t>
        </is>
      </c>
      <c r="AD2370" t="n">
        <v>60.4</v>
      </c>
      <c r="AE2370" t="n">
        <v>90.8</v>
      </c>
      <c r="AF2370" t="n">
        <v>38.3</v>
      </c>
      <c r="AG2370" t="inlineStr">
        <is>
          <t>1:38.3</t>
        </is>
      </c>
      <c r="AH2370" t="inlineStr">
        <is>
          <t>12%</t>
        </is>
      </c>
      <c r="AI2370" t="inlineStr"/>
      <c r="AJ2370" t="n">
        <v>58.94</v>
      </c>
    </row>
    <row r="2371">
      <c r="A2371" t="inlineStr">
        <is>
          <t>University of Waikato</t>
        </is>
      </c>
      <c r="B2371" t="inlineStr">
        <is>
          <t>New Zealand</t>
        </is>
      </c>
      <c r="C2371" t="inlineStr">
        <is>
          <t>235</t>
        </is>
      </c>
      <c r="D2371" t="n">
        <v>42.5</v>
      </c>
      <c r="E2371" t="n">
        <v>19.1</v>
      </c>
      <c r="F2371" t="n">
        <v>11.7</v>
      </c>
      <c r="G2371" t="n">
        <v>12.4</v>
      </c>
      <c r="H2371" t="n">
        <v>84.7</v>
      </c>
      <c r="I2371" t="n">
        <v>99</v>
      </c>
      <c r="J2371" t="n">
        <v>56.9</v>
      </c>
      <c r="K2371" t="n">
        <v>55.1</v>
      </c>
      <c r="L2371" t="n">
        <v>46.4</v>
      </c>
      <c r="M2371" t="n">
        <v>89.5</v>
      </c>
      <c r="N2371" t="inlineStr">
        <is>
          <t>401–500</t>
        </is>
      </c>
      <c r="O2371" t="inlineStr">
        <is>
          <t>45.4–49.0</t>
        </is>
      </c>
      <c r="P2371" t="n">
        <v>26.1</v>
      </c>
      <c r="Q2371" t="n">
        <v>31</v>
      </c>
      <c r="R2371" t="n">
        <v>74.3</v>
      </c>
      <c r="S2371" t="n">
        <v>72.40000000000001</v>
      </c>
      <c r="T2371" t="n">
        <v>89.8</v>
      </c>
      <c r="U2371" t="inlineStr">
        <is>
          <t>10,538</t>
        </is>
      </c>
      <c r="V2371" t="n">
        <v>20.7</v>
      </c>
      <c r="W2371" t="inlineStr">
        <is>
          <t>26%</t>
        </is>
      </c>
      <c r="X2371" t="inlineStr">
        <is>
          <t>61 : 39</t>
        </is>
      </c>
      <c r="Y2371" t="n">
        <v>235</v>
      </c>
      <c r="Z2371" t="n">
        <v>401</v>
      </c>
      <c r="AA2371" t="n">
        <v>47.2</v>
      </c>
      <c r="AB2371" t="inlineStr">
        <is>
          <t>U2370</t>
        </is>
      </c>
      <c r="AC2371" t="inlineStr">
        <is>
          <t>NE</t>
        </is>
      </c>
      <c r="AD2371" t="n">
        <v>42.5</v>
      </c>
      <c r="AE2371" t="n">
        <v>84.7</v>
      </c>
      <c r="AF2371" t="n">
        <v>20.7</v>
      </c>
      <c r="AG2371" t="inlineStr">
        <is>
          <t>1:20.7</t>
        </is>
      </c>
      <c r="AH2371" t="inlineStr">
        <is>
          <t>26%</t>
        </is>
      </c>
      <c r="AI2371" t="n">
        <v>19.1</v>
      </c>
      <c r="AJ2371" t="n">
        <v>57.02</v>
      </c>
    </row>
    <row r="2372">
      <c r="A2372" t="inlineStr">
        <is>
          <t>University of Warmia and Mazury in Olsztyn</t>
        </is>
      </c>
      <c r="B2372" t="inlineStr">
        <is>
          <t>Poland</t>
        </is>
      </c>
      <c r="C2372" t="inlineStr">
        <is>
          <t>1001-1200</t>
        </is>
      </c>
      <c r="D2372" t="inlineStr"/>
      <c r="E2372" t="n">
        <v>6.9</v>
      </c>
      <c r="F2372" t="n">
        <v>8.9</v>
      </c>
      <c r="G2372" t="n">
        <v>28.6</v>
      </c>
      <c r="H2372" t="n">
        <v>3.7</v>
      </c>
      <c r="I2372" t="n">
        <v>2</v>
      </c>
      <c r="J2372" t="n">
        <v>2.7</v>
      </c>
      <c r="K2372" t="n">
        <v>40.6</v>
      </c>
      <c r="L2372" t="n">
        <v>3.2</v>
      </c>
      <c r="M2372" t="n">
        <v>7.1</v>
      </c>
      <c r="N2372" t="inlineStr">
        <is>
          <t>1501+</t>
        </is>
      </c>
      <c r="O2372" t="inlineStr">
        <is>
          <t>9.7–22.7</t>
        </is>
      </c>
      <c r="P2372" t="n">
        <v>16.9</v>
      </c>
      <c r="Q2372" t="n">
        <v>13.5</v>
      </c>
      <c r="R2372" t="n">
        <v>35.3</v>
      </c>
      <c r="S2372" t="n">
        <v>21.8</v>
      </c>
      <c r="T2372" t="n">
        <v>23.3</v>
      </c>
      <c r="U2372" t="inlineStr">
        <is>
          <t>16,899</t>
        </is>
      </c>
      <c r="V2372" t="n">
        <v>17.5</v>
      </c>
      <c r="W2372" t="inlineStr">
        <is>
          <t>3%</t>
        </is>
      </c>
      <c r="X2372" t="inlineStr">
        <is>
          <t>60 : 40</t>
        </is>
      </c>
      <c r="Y2372" t="n">
        <v>1001</v>
      </c>
      <c r="Z2372" t="n">
        <v>1501</v>
      </c>
      <c r="AA2372" t="n">
        <v>16.2</v>
      </c>
      <c r="AB2372" t="inlineStr">
        <is>
          <t>U2371</t>
        </is>
      </c>
      <c r="AC2372" t="inlineStr">
        <is>
          <t>PO</t>
        </is>
      </c>
      <c r="AD2372" t="n">
        <v>16.2</v>
      </c>
      <c r="AE2372" t="n">
        <v>3.7</v>
      </c>
      <c r="AF2372" t="n">
        <v>17.5</v>
      </c>
      <c r="AG2372" t="inlineStr">
        <is>
          <t>1:17.5</t>
        </is>
      </c>
      <c r="AH2372" t="inlineStr">
        <is>
          <t>3%</t>
        </is>
      </c>
      <c r="AI2372" t="n">
        <v>6.9</v>
      </c>
      <c r="AJ2372" t="n">
        <v>7.22</v>
      </c>
    </row>
    <row r="2373">
      <c r="A2373" t="inlineStr">
        <is>
          <t xml:space="preserve">University of Warsaw </t>
        </is>
      </c>
      <c r="B2373" t="inlineStr">
        <is>
          <t>Poland</t>
        </is>
      </c>
      <c r="C2373" t="inlineStr">
        <is>
          <t>258</t>
        </is>
      </c>
      <c r="D2373" t="n">
        <v>39.8</v>
      </c>
      <c r="E2373" t="n">
        <v>50</v>
      </c>
      <c r="F2373" t="n">
        <v>53.6</v>
      </c>
      <c r="G2373" t="n">
        <v>46.4</v>
      </c>
      <c r="H2373" t="n">
        <v>5.5</v>
      </c>
      <c r="I2373" t="n">
        <v>10.5</v>
      </c>
      <c r="J2373" t="n">
        <v>8.4</v>
      </c>
      <c r="K2373" t="n">
        <v>84.09999999999999</v>
      </c>
      <c r="L2373" t="n">
        <v>60</v>
      </c>
      <c r="M2373" t="n">
        <v>69.8</v>
      </c>
      <c r="N2373" t="inlineStr">
        <is>
          <t>601–800</t>
        </is>
      </c>
      <c r="O2373" t="inlineStr">
        <is>
          <t>37.0–41.8</t>
        </is>
      </c>
      <c r="P2373" t="n">
        <v>33.1</v>
      </c>
      <c r="Q2373" t="n">
        <v>29.9</v>
      </c>
      <c r="R2373" t="n">
        <v>55.6</v>
      </c>
      <c r="S2373" t="n">
        <v>37.1</v>
      </c>
      <c r="T2373" t="n">
        <v>45.6</v>
      </c>
      <c r="U2373" t="inlineStr">
        <is>
          <t>34,342</t>
        </is>
      </c>
      <c r="V2373" t="n">
        <v>10.9</v>
      </c>
      <c r="W2373" t="inlineStr">
        <is>
          <t>9%</t>
        </is>
      </c>
      <c r="X2373" t="inlineStr">
        <is>
          <t>62 : 38</t>
        </is>
      </c>
      <c r="Y2373" t="n">
        <v>258</v>
      </c>
      <c r="Z2373" t="n">
        <v>601</v>
      </c>
      <c r="AA2373" t="n">
        <v>39.4</v>
      </c>
      <c r="AB2373" t="inlineStr">
        <is>
          <t>U2372</t>
        </is>
      </c>
      <c r="AC2373" t="inlineStr">
        <is>
          <t>PO</t>
        </is>
      </c>
      <c r="AD2373" t="n">
        <v>39.8</v>
      </c>
      <c r="AE2373" t="n">
        <v>5.5</v>
      </c>
      <c r="AF2373" t="n">
        <v>10.9</v>
      </c>
      <c r="AG2373" t="inlineStr">
        <is>
          <t>1:10.9</t>
        </is>
      </c>
      <c r="AH2373" t="inlineStr">
        <is>
          <t>9%</t>
        </is>
      </c>
      <c r="AI2373" t="n">
        <v>50</v>
      </c>
      <c r="AJ2373" t="n">
        <v>21.76</v>
      </c>
    </row>
    <row r="2374">
      <c r="A2374" t="inlineStr">
        <is>
          <t>The University of Warwick</t>
        </is>
      </c>
      <c r="B2374" t="inlineStr">
        <is>
          <t>United Kingdom</t>
        </is>
      </c>
      <c r="C2374" t="inlineStr">
        <is>
          <t>69</t>
        </is>
      </c>
      <c r="D2374" t="n">
        <v>68.2</v>
      </c>
      <c r="E2374" t="n">
        <v>72.2</v>
      </c>
      <c r="F2374" t="n">
        <v>86.40000000000001</v>
      </c>
      <c r="G2374" t="n">
        <v>35.5</v>
      </c>
      <c r="H2374" t="n">
        <v>37.7</v>
      </c>
      <c r="I2374" t="n">
        <v>98.09999999999999</v>
      </c>
      <c r="J2374" t="n">
        <v>99.09999999999999</v>
      </c>
      <c r="K2374" t="n">
        <v>94.2</v>
      </c>
      <c r="L2374" t="n">
        <v>65.7</v>
      </c>
      <c r="M2374" t="n">
        <v>89.7</v>
      </c>
      <c r="N2374">
        <f>106</f>
        <v/>
      </c>
      <c r="O2374" t="inlineStr">
        <is>
          <t>66.1</t>
        </is>
      </c>
      <c r="P2374" t="n">
        <v>48.1</v>
      </c>
      <c r="Q2374" t="n">
        <v>52.1</v>
      </c>
      <c r="R2374" t="n">
        <v>89</v>
      </c>
      <c r="S2374" t="n">
        <v>70.5</v>
      </c>
      <c r="T2374" t="n">
        <v>96.40000000000001</v>
      </c>
      <c r="U2374" t="inlineStr">
        <is>
          <t>24,905</t>
        </is>
      </c>
      <c r="V2374" t="n">
        <v>14.4</v>
      </c>
      <c r="W2374" t="inlineStr">
        <is>
          <t>44%</t>
        </is>
      </c>
      <c r="X2374" t="inlineStr">
        <is>
          <t>50 : 50</t>
        </is>
      </c>
      <c r="Y2374" t="n">
        <v>69</v>
      </c>
      <c r="Z2374" t="n">
        <v>106</v>
      </c>
      <c r="AA2374" t="n">
        <v>66.09999999999999</v>
      </c>
      <c r="AB2374" t="inlineStr">
        <is>
          <t>U2373</t>
        </is>
      </c>
      <c r="AC2374" t="inlineStr">
        <is>
          <t>UN</t>
        </is>
      </c>
      <c r="AD2374" t="n">
        <v>68.2</v>
      </c>
      <c r="AE2374" t="n">
        <v>37.7</v>
      </c>
      <c r="AF2374" t="n">
        <v>14.4</v>
      </c>
      <c r="AG2374" t="inlineStr">
        <is>
          <t>1:14.4</t>
        </is>
      </c>
      <c r="AH2374" t="inlineStr">
        <is>
          <t>44%</t>
        </is>
      </c>
      <c r="AI2374" t="n">
        <v>72.2</v>
      </c>
      <c r="AJ2374" t="n">
        <v>55.44</v>
      </c>
    </row>
    <row r="2375">
      <c r="A2375" t="inlineStr">
        <is>
          <t>University of Washington</t>
        </is>
      </c>
      <c r="B2375" t="inlineStr">
        <is>
          <t>United States</t>
        </is>
      </c>
      <c r="C2375" t="inlineStr">
        <is>
          <t>76</t>
        </is>
      </c>
      <c r="D2375" t="n">
        <v>65.3</v>
      </c>
      <c r="E2375" t="n">
        <v>81.90000000000001</v>
      </c>
      <c r="F2375" t="n">
        <v>55.5</v>
      </c>
      <c r="G2375" t="n">
        <v>28.6</v>
      </c>
      <c r="H2375" t="n">
        <v>78.8</v>
      </c>
      <c r="I2375" t="n">
        <v>11</v>
      </c>
      <c r="J2375" t="n">
        <v>32.8</v>
      </c>
      <c r="K2375" t="n">
        <v>95.59999999999999</v>
      </c>
      <c r="L2375" t="n">
        <v>68.7</v>
      </c>
      <c r="M2375" t="n">
        <v>66.5</v>
      </c>
      <c r="N2375" t="inlineStr">
        <is>
          <t>25</t>
        </is>
      </c>
      <c r="O2375" t="inlineStr">
        <is>
          <t>85.3</t>
        </is>
      </c>
      <c r="P2375" t="n">
        <v>78</v>
      </c>
      <c r="Q2375" t="n">
        <v>83.5</v>
      </c>
      <c r="R2375" t="n">
        <v>98.2</v>
      </c>
      <c r="S2375" t="n">
        <v>77.59999999999999</v>
      </c>
      <c r="T2375" t="n">
        <v>73.2</v>
      </c>
      <c r="U2375" t="inlineStr">
        <is>
          <t>49,486</t>
        </is>
      </c>
      <c r="V2375" t="n">
        <v>10.1</v>
      </c>
      <c r="W2375" t="inlineStr">
        <is>
          <t>16%</t>
        </is>
      </c>
      <c r="X2375" t="inlineStr">
        <is>
          <t>56 : 44</t>
        </is>
      </c>
      <c r="Y2375" t="n">
        <v>76</v>
      </c>
      <c r="Z2375" t="n">
        <v>25</v>
      </c>
      <c r="AA2375" t="n">
        <v>85.3</v>
      </c>
      <c r="AB2375" t="inlineStr">
        <is>
          <t>U2374</t>
        </is>
      </c>
      <c r="AC2375" t="inlineStr">
        <is>
          <t>UN</t>
        </is>
      </c>
      <c r="AD2375" t="n">
        <v>65.3</v>
      </c>
      <c r="AE2375" t="n">
        <v>78.8</v>
      </c>
      <c r="AF2375" t="n">
        <v>10.1</v>
      </c>
      <c r="AG2375" t="inlineStr">
        <is>
          <t>1:10.1</t>
        </is>
      </c>
      <c r="AH2375" t="inlineStr">
        <is>
          <t>16%</t>
        </is>
      </c>
      <c r="AI2375" t="n">
        <v>81.90000000000001</v>
      </c>
      <c r="AJ2375" t="n">
        <v>78.73999999999999</v>
      </c>
    </row>
    <row r="2376">
      <c r="A2376" t="inlineStr">
        <is>
          <t>University of Waterloo</t>
        </is>
      </c>
      <c r="B2376" t="inlineStr">
        <is>
          <t>Canada</t>
        </is>
      </c>
      <c r="C2376" t="inlineStr">
        <is>
          <t>115</t>
        </is>
      </c>
      <c r="D2376" t="n">
        <v>57.2</v>
      </c>
      <c r="E2376" t="n">
        <v>40.4</v>
      </c>
      <c r="F2376" t="n">
        <v>64.2</v>
      </c>
      <c r="G2376" t="n">
        <v>6.5</v>
      </c>
      <c r="H2376" t="n">
        <v>78.90000000000001</v>
      </c>
      <c r="I2376" t="n">
        <v>75.8</v>
      </c>
      <c r="J2376" t="n">
        <v>71.3</v>
      </c>
      <c r="K2376" t="n">
        <v>84.59999999999999</v>
      </c>
      <c r="L2376" t="n">
        <v>58.9</v>
      </c>
      <c r="M2376" t="n">
        <v>93.3</v>
      </c>
      <c r="N2376">
        <f>158</f>
        <v/>
      </c>
      <c r="O2376" t="inlineStr">
        <is>
          <t>61.7</t>
        </is>
      </c>
      <c r="P2376" t="n">
        <v>42.2</v>
      </c>
      <c r="Q2376" t="n">
        <v>49.3</v>
      </c>
      <c r="R2376" t="n">
        <v>83.7</v>
      </c>
      <c r="S2376" t="n">
        <v>78.3</v>
      </c>
      <c r="T2376" t="n">
        <v>89.3</v>
      </c>
      <c r="U2376" t="inlineStr">
        <is>
          <t>36,904</t>
        </is>
      </c>
      <c r="V2376" t="n">
        <v>24.2</v>
      </c>
      <c r="W2376" t="inlineStr">
        <is>
          <t>23%</t>
        </is>
      </c>
      <c r="X2376" t="inlineStr">
        <is>
          <t>47 : 53</t>
        </is>
      </c>
      <c r="Y2376" t="n">
        <v>115</v>
      </c>
      <c r="Z2376" t="n">
        <v>158</v>
      </c>
      <c r="AA2376" t="n">
        <v>61.7</v>
      </c>
      <c r="AB2376" t="inlineStr">
        <is>
          <t>U2375</t>
        </is>
      </c>
      <c r="AC2376" t="inlineStr">
        <is>
          <t>CA</t>
        </is>
      </c>
      <c r="AD2376" t="n">
        <v>57.2</v>
      </c>
      <c r="AE2376" t="n">
        <v>78.90000000000001</v>
      </c>
      <c r="AF2376" t="n">
        <v>24.2</v>
      </c>
      <c r="AG2376" t="inlineStr">
        <is>
          <t>1:24.2</t>
        </is>
      </c>
      <c r="AH2376" t="inlineStr">
        <is>
          <t>23%</t>
        </is>
      </c>
      <c r="AI2376" t="n">
        <v>40.4</v>
      </c>
      <c r="AJ2376" t="n">
        <v>64.73999999999999</v>
      </c>
    </row>
    <row r="2377">
      <c r="A2377" t="inlineStr">
        <is>
          <t>University of West Attica</t>
        </is>
      </c>
      <c r="B2377" t="inlineStr">
        <is>
          <t>Greece</t>
        </is>
      </c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>
        <is>
          <t>1501+</t>
        </is>
      </c>
      <c r="O2377" t="inlineStr">
        <is>
          <t>9.7–22.7</t>
        </is>
      </c>
      <c r="P2377" t="n">
        <v>10</v>
      </c>
      <c r="Q2377" t="n">
        <v>9.699999999999999</v>
      </c>
      <c r="R2377" t="n">
        <v>34.7</v>
      </c>
      <c r="S2377" t="n">
        <v>22.8</v>
      </c>
      <c r="T2377" t="n">
        <v>24.9</v>
      </c>
      <c r="U2377" t="inlineStr">
        <is>
          <t>37,470</t>
        </is>
      </c>
      <c r="V2377" t="n">
        <v>37.9</v>
      </c>
      <c r="W2377" t="inlineStr">
        <is>
          <t>0%</t>
        </is>
      </c>
      <c r="X2377" t="inlineStr">
        <is>
          <t>50 : 50</t>
        </is>
      </c>
      <c r="Y2377" t="inlineStr"/>
      <c r="Z2377" t="n">
        <v>1501</v>
      </c>
      <c r="AA2377" t="n">
        <v>16.2</v>
      </c>
      <c r="AB2377" t="inlineStr">
        <is>
          <t>U2376</t>
        </is>
      </c>
      <c r="AC2377" t="inlineStr">
        <is>
          <t>GR</t>
        </is>
      </c>
      <c r="AD2377" t="n">
        <v>16.2</v>
      </c>
      <c r="AE2377" t="n">
        <v>34.7</v>
      </c>
      <c r="AF2377" t="n">
        <v>37.9</v>
      </c>
      <c r="AG2377" t="inlineStr">
        <is>
          <t>1:37.9</t>
        </is>
      </c>
      <c r="AH2377" t="inlineStr">
        <is>
          <t>0%</t>
        </is>
      </c>
      <c r="AI2377" t="inlineStr"/>
      <c r="AJ2377" t="n">
        <v>15.01</v>
      </c>
    </row>
    <row r="2378">
      <c r="A2378" t="inlineStr">
        <is>
          <t xml:space="preserve">University of West Bohemia </t>
        </is>
      </c>
      <c r="B2378" t="inlineStr">
        <is>
          <t>Czech Republic</t>
        </is>
      </c>
      <c r="C2378" t="inlineStr">
        <is>
          <t>1201-1400</t>
        </is>
      </c>
      <c r="D2378" t="inlineStr"/>
      <c r="E2378" t="n">
        <v>5.6</v>
      </c>
      <c r="F2378" t="n">
        <v>2.1</v>
      </c>
      <c r="G2378" t="n">
        <v>10.9</v>
      </c>
      <c r="H2378" t="n">
        <v>3.8</v>
      </c>
      <c r="I2378" t="inlineStr"/>
      <c r="J2378" t="inlineStr"/>
      <c r="K2378" t="n">
        <v>37.2</v>
      </c>
      <c r="L2378" t="n">
        <v>5.2</v>
      </c>
      <c r="M2378" t="n">
        <v>1</v>
      </c>
      <c r="N2378" t="inlineStr">
        <is>
          <t>1201–1500</t>
        </is>
      </c>
      <c r="O2378" t="inlineStr">
        <is>
          <t>22.8–28.2</t>
        </is>
      </c>
      <c r="P2378" t="n">
        <v>20.5</v>
      </c>
      <c r="Q2378" t="n">
        <v>18</v>
      </c>
      <c r="R2378" t="n">
        <v>35.2</v>
      </c>
      <c r="S2378" t="n">
        <v>27.7</v>
      </c>
      <c r="T2378" t="n">
        <v>32.4</v>
      </c>
      <c r="U2378" t="inlineStr">
        <is>
          <t>11,252</t>
        </is>
      </c>
      <c r="V2378" t="n">
        <v>14.8</v>
      </c>
      <c r="W2378" t="inlineStr">
        <is>
          <t>5%</t>
        </is>
      </c>
      <c r="X2378" t="inlineStr">
        <is>
          <t>54 : 46</t>
        </is>
      </c>
      <c r="Y2378" t="n">
        <v>1201</v>
      </c>
      <c r="Z2378" t="n">
        <v>1201</v>
      </c>
      <c r="AA2378" t="n">
        <v>25.5</v>
      </c>
      <c r="AB2378" t="inlineStr">
        <is>
          <t>U2377</t>
        </is>
      </c>
      <c r="AC2378" t="inlineStr">
        <is>
          <t>CZ</t>
        </is>
      </c>
      <c r="AD2378" t="n">
        <v>25.5</v>
      </c>
      <c r="AE2378" t="n">
        <v>3.8</v>
      </c>
      <c r="AF2378" t="n">
        <v>14.8</v>
      </c>
      <c r="AG2378" t="inlineStr">
        <is>
          <t>1:14.8</t>
        </is>
      </c>
      <c r="AH2378" t="inlineStr">
        <is>
          <t>5%</t>
        </is>
      </c>
      <c r="AI2378" t="n">
        <v>5.6</v>
      </c>
      <c r="AJ2378" t="n">
        <v>11.81</v>
      </c>
    </row>
    <row r="2379">
      <c r="A2379" t="inlineStr">
        <is>
          <t>University of West London</t>
        </is>
      </c>
      <c r="B2379" t="inlineStr">
        <is>
          <t>United Kingdom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>
        <is>
          <t>1001–1200</t>
        </is>
      </c>
      <c r="O2379" t="inlineStr">
        <is>
          <t>28.3–32.6</t>
        </is>
      </c>
      <c r="P2379" t="n">
        <v>19.7</v>
      </c>
      <c r="Q2379" t="n">
        <v>9.699999999999999</v>
      </c>
      <c r="R2379" t="n">
        <v>47.8</v>
      </c>
      <c r="S2379" t="n">
        <v>16.2</v>
      </c>
      <c r="T2379" t="n">
        <v>91.7</v>
      </c>
      <c r="U2379" t="inlineStr">
        <is>
          <t>9,835</t>
        </is>
      </c>
      <c r="V2379" t="n">
        <v>12.9</v>
      </c>
      <c r="W2379" t="inlineStr">
        <is>
          <t>45%</t>
        </is>
      </c>
      <c r="X2379" t="inlineStr">
        <is>
          <t>59 : 41</t>
        </is>
      </c>
      <c r="Y2379" t="inlineStr"/>
      <c r="Z2379" t="n">
        <v>1001</v>
      </c>
      <c r="AA2379" t="n">
        <v>30.45</v>
      </c>
      <c r="AB2379" t="inlineStr">
        <is>
          <t>U2378</t>
        </is>
      </c>
      <c r="AC2379" t="inlineStr">
        <is>
          <t>UN</t>
        </is>
      </c>
      <c r="AD2379" t="n">
        <v>30.45</v>
      </c>
      <c r="AE2379" t="n">
        <v>47.8</v>
      </c>
      <c r="AF2379" t="n">
        <v>12.9</v>
      </c>
      <c r="AG2379" t="inlineStr">
        <is>
          <t>1:12.9</t>
        </is>
      </c>
      <c r="AH2379" t="inlineStr">
        <is>
          <t>45%</t>
        </is>
      </c>
      <c r="AI2379" t="inlineStr"/>
      <c r="AJ2379" t="n">
        <v>35.14</v>
      </c>
    </row>
    <row r="2380">
      <c r="A2380" t="inlineStr">
        <is>
          <t>The University of Western Australia</t>
        </is>
      </c>
      <c r="B2380" t="inlineStr">
        <is>
          <t>Australia</t>
        </is>
      </c>
      <c r="C2380" t="inlineStr">
        <is>
          <t>77</t>
        </is>
      </c>
      <c r="D2380" t="n">
        <v>65.2</v>
      </c>
      <c r="E2380" t="n">
        <v>55.5</v>
      </c>
      <c r="F2380" t="n">
        <v>41.8</v>
      </c>
      <c r="G2380" t="n">
        <v>13.1</v>
      </c>
      <c r="H2380" t="n">
        <v>98.8</v>
      </c>
      <c r="I2380" t="n">
        <v>100</v>
      </c>
      <c r="J2380" t="n">
        <v>99.8</v>
      </c>
      <c r="K2380" t="n">
        <v>94.2</v>
      </c>
      <c r="L2380" t="n">
        <v>78</v>
      </c>
      <c r="M2380" t="n">
        <v>50.8</v>
      </c>
      <c r="N2380">
        <f>143</f>
        <v/>
      </c>
      <c r="O2380" t="inlineStr">
        <is>
          <t>62.7</t>
        </is>
      </c>
      <c r="P2380" t="n">
        <v>37.7</v>
      </c>
      <c r="Q2380" t="n">
        <v>48.6</v>
      </c>
      <c r="R2380" t="n">
        <v>88.7</v>
      </c>
      <c r="S2380" t="n">
        <v>97.2</v>
      </c>
      <c r="T2380" t="n">
        <v>93.5</v>
      </c>
      <c r="U2380" t="inlineStr">
        <is>
          <t>19,382</t>
        </is>
      </c>
      <c r="V2380" t="n">
        <v>22.4</v>
      </c>
      <c r="W2380" t="inlineStr">
        <is>
          <t>26%</t>
        </is>
      </c>
      <c r="X2380" t="inlineStr">
        <is>
          <t>50 : 50</t>
        </is>
      </c>
      <c r="Y2380" t="n">
        <v>77</v>
      </c>
      <c r="Z2380" t="n">
        <v>143</v>
      </c>
      <c r="AA2380" t="n">
        <v>62.7</v>
      </c>
      <c r="AB2380" t="inlineStr">
        <is>
          <t>U2379</t>
        </is>
      </c>
      <c r="AC2380" t="inlineStr">
        <is>
          <t>AU</t>
        </is>
      </c>
      <c r="AD2380" t="n">
        <v>65.2</v>
      </c>
      <c r="AE2380" t="n">
        <v>98.8</v>
      </c>
      <c r="AF2380" t="n">
        <v>22.4</v>
      </c>
      <c r="AG2380" t="inlineStr">
        <is>
          <t>1:22.4</t>
        </is>
      </c>
      <c r="AH2380" t="inlineStr">
        <is>
          <t>26%</t>
        </is>
      </c>
      <c r="AI2380" t="n">
        <v>55.5</v>
      </c>
      <c r="AJ2380" t="n">
        <v>71.42</v>
      </c>
    </row>
    <row r="2381">
      <c r="A2381" t="inlineStr">
        <is>
          <t>University of Western Macedonia</t>
        </is>
      </c>
      <c r="B2381" t="inlineStr">
        <is>
          <t>Greece</t>
        </is>
      </c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>
        <is>
          <t>1201–1500</t>
        </is>
      </c>
      <c r="O2381" t="inlineStr">
        <is>
          <t>22.8–28.2</t>
        </is>
      </c>
      <c r="P2381" t="n">
        <v>11.6</v>
      </c>
      <c r="Q2381" t="n">
        <v>17.1</v>
      </c>
      <c r="R2381" t="n">
        <v>39.3</v>
      </c>
      <c r="S2381" t="n">
        <v>26.2</v>
      </c>
      <c r="T2381" t="n">
        <v>27.9</v>
      </c>
      <c r="U2381" t="inlineStr">
        <is>
          <t>10,959</t>
        </is>
      </c>
      <c r="V2381" t="n">
        <v>46.2</v>
      </c>
      <c r="W2381" t="inlineStr">
        <is>
          <t>2%</t>
        </is>
      </c>
      <c r="X2381" t="inlineStr">
        <is>
          <t>51 : 49</t>
        </is>
      </c>
      <c r="Y2381" t="inlineStr"/>
      <c r="Z2381" t="n">
        <v>1201</v>
      </c>
      <c r="AA2381" t="n">
        <v>25.5</v>
      </c>
      <c r="AB2381" t="inlineStr">
        <is>
          <t>U2380</t>
        </is>
      </c>
      <c r="AC2381" t="inlineStr">
        <is>
          <t>GR</t>
        </is>
      </c>
      <c r="AD2381" t="n">
        <v>25.5</v>
      </c>
      <c r="AE2381" t="n">
        <v>39.3</v>
      </c>
      <c r="AF2381" t="n">
        <v>46.2</v>
      </c>
      <c r="AG2381" t="inlineStr">
        <is>
          <t>1:46.2</t>
        </is>
      </c>
      <c r="AH2381" t="inlineStr">
        <is>
          <t>2%</t>
        </is>
      </c>
      <c r="AI2381" t="inlineStr"/>
      <c r="AJ2381" t="n">
        <v>21.01</v>
      </c>
    </row>
    <row r="2382">
      <c r="A2382" t="inlineStr">
        <is>
          <t>University of Westminster</t>
        </is>
      </c>
      <c r="B2382" t="inlineStr">
        <is>
          <t>United Kingdom</t>
        </is>
      </c>
      <c r="C2382" t="inlineStr">
        <is>
          <t>741-750</t>
        </is>
      </c>
      <c r="D2382" t="inlineStr"/>
      <c r="E2382" t="n">
        <v>11.5</v>
      </c>
      <c r="F2382" t="n">
        <v>6.8</v>
      </c>
      <c r="G2382" t="n">
        <v>5.7</v>
      </c>
      <c r="H2382" t="n">
        <v>5.1</v>
      </c>
      <c r="I2382" t="n">
        <v>77.40000000000001</v>
      </c>
      <c r="J2382" t="n">
        <v>100</v>
      </c>
      <c r="K2382" t="n">
        <v>35.4</v>
      </c>
      <c r="L2382" t="n">
        <v>21.7</v>
      </c>
      <c r="M2382" t="n">
        <v>1.7</v>
      </c>
      <c r="N2382" t="inlineStr">
        <is>
          <t>801–1000</t>
        </is>
      </c>
      <c r="O2382" t="inlineStr">
        <is>
          <t>32.7–36.9</t>
        </is>
      </c>
      <c r="P2382" t="n">
        <v>19.4</v>
      </c>
      <c r="Q2382" t="n">
        <v>18.1</v>
      </c>
      <c r="R2382" t="n">
        <v>55.3</v>
      </c>
      <c r="S2382" t="n">
        <v>40</v>
      </c>
      <c r="T2382" t="n">
        <v>87.09999999999999</v>
      </c>
      <c r="U2382" t="inlineStr">
        <is>
          <t>17,315</t>
        </is>
      </c>
      <c r="V2382" t="n">
        <v>19.8</v>
      </c>
      <c r="W2382" t="inlineStr">
        <is>
          <t>48%</t>
        </is>
      </c>
      <c r="X2382" t="inlineStr">
        <is>
          <t>60 : 40</t>
        </is>
      </c>
      <c r="Y2382" t="n">
        <v>741</v>
      </c>
      <c r="Z2382" t="n">
        <v>801</v>
      </c>
      <c r="AA2382" t="n">
        <v>34.8</v>
      </c>
      <c r="AB2382" t="inlineStr">
        <is>
          <t>U2381</t>
        </is>
      </c>
      <c r="AC2382" t="inlineStr">
        <is>
          <t>UN</t>
        </is>
      </c>
      <c r="AD2382" t="n">
        <v>34.8</v>
      </c>
      <c r="AE2382" t="n">
        <v>5.1</v>
      </c>
      <c r="AF2382" t="n">
        <v>19.8</v>
      </c>
      <c r="AG2382" t="inlineStr">
        <is>
          <t>1:19.8</t>
        </is>
      </c>
      <c r="AH2382" t="inlineStr">
        <is>
          <t>48%</t>
        </is>
      </c>
      <c r="AI2382" t="n">
        <v>11.5</v>
      </c>
      <c r="AJ2382" t="n">
        <v>25.49</v>
      </c>
    </row>
    <row r="2383">
      <c r="A2383" t="inlineStr">
        <is>
          <t>University of Winchester</t>
        </is>
      </c>
      <c r="B2383" t="inlineStr">
        <is>
          <t>United Kingdom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>
        <is>
          <t>1001–1200</t>
        </is>
      </c>
      <c r="O2383" t="inlineStr">
        <is>
          <t>28.3–32.6</t>
        </is>
      </c>
      <c r="P2383" t="n">
        <v>18.9</v>
      </c>
      <c r="Q2383" t="n">
        <v>16.3</v>
      </c>
      <c r="R2383" t="n">
        <v>50.5</v>
      </c>
      <c r="S2383" t="n">
        <v>16</v>
      </c>
      <c r="T2383" t="n">
        <v>59.8</v>
      </c>
      <c r="U2383" t="inlineStr">
        <is>
          <t>7,495</t>
        </is>
      </c>
      <c r="V2383" t="n">
        <v>17.4</v>
      </c>
      <c r="W2383" t="inlineStr">
        <is>
          <t>10%</t>
        </is>
      </c>
      <c r="X2383" t="inlineStr">
        <is>
          <t>65 : 35</t>
        </is>
      </c>
      <c r="Y2383" t="inlineStr"/>
      <c r="Z2383" t="n">
        <v>1001</v>
      </c>
      <c r="AA2383" t="n">
        <v>30.45</v>
      </c>
      <c r="AB2383" t="inlineStr">
        <is>
          <t>U2382</t>
        </is>
      </c>
      <c r="AC2383" t="inlineStr">
        <is>
          <t>UN</t>
        </is>
      </c>
      <c r="AD2383" t="n">
        <v>30.45</v>
      </c>
      <c r="AE2383" t="n">
        <v>50.5</v>
      </c>
      <c r="AF2383" t="n">
        <v>17.4</v>
      </c>
      <c r="AG2383" t="inlineStr">
        <is>
          <t>1:17.4</t>
        </is>
      </c>
      <c r="AH2383" t="inlineStr">
        <is>
          <t>10%</t>
        </is>
      </c>
      <c r="AI2383" t="inlineStr"/>
      <c r="AJ2383" t="n">
        <v>31.7</v>
      </c>
    </row>
    <row r="2384">
      <c r="A2384" t="inlineStr">
        <is>
          <t>University of Windsor</t>
        </is>
      </c>
      <c r="B2384" t="inlineStr">
        <is>
          <t>Canada</t>
        </is>
      </c>
      <c r="C2384" t="inlineStr">
        <is>
          <t>547</t>
        </is>
      </c>
      <c r="D2384" t="n">
        <v>22.6</v>
      </c>
      <c r="E2384" t="n">
        <v>3.9</v>
      </c>
      <c r="F2384" t="n">
        <v>3.9</v>
      </c>
      <c r="G2384" t="n">
        <v>2.2</v>
      </c>
      <c r="H2384" t="n">
        <v>36.2</v>
      </c>
      <c r="I2384" t="n">
        <v>88.7</v>
      </c>
      <c r="J2384" t="n">
        <v>83.8</v>
      </c>
      <c r="K2384" t="n">
        <v>51.1</v>
      </c>
      <c r="L2384" t="n">
        <v>25.8</v>
      </c>
      <c r="M2384" t="n">
        <v>38.5</v>
      </c>
      <c r="N2384" t="inlineStr">
        <is>
          <t>501–600</t>
        </is>
      </c>
      <c r="O2384" t="inlineStr">
        <is>
          <t>41.9–45.3</t>
        </is>
      </c>
      <c r="P2384" t="n">
        <v>28.7</v>
      </c>
      <c r="Q2384" t="n">
        <v>29.8</v>
      </c>
      <c r="R2384" t="n">
        <v>56.7</v>
      </c>
      <c r="S2384" t="n">
        <v>60.7</v>
      </c>
      <c r="T2384" t="n">
        <v>90.8</v>
      </c>
      <c r="U2384" t="inlineStr">
        <is>
          <t>14,849</t>
        </is>
      </c>
      <c r="V2384" t="n">
        <v>34.1</v>
      </c>
      <c r="W2384" t="inlineStr">
        <is>
          <t>35%</t>
        </is>
      </c>
      <c r="X2384" t="inlineStr"/>
      <c r="Y2384" t="n">
        <v>547</v>
      </c>
      <c r="Z2384" t="n">
        <v>501</v>
      </c>
      <c r="AA2384" t="n">
        <v>43.59999999999999</v>
      </c>
      <c r="AB2384" t="inlineStr">
        <is>
          <t>U2383</t>
        </is>
      </c>
      <c r="AC2384" t="inlineStr">
        <is>
          <t>CA</t>
        </is>
      </c>
      <c r="AD2384" t="n">
        <v>22.6</v>
      </c>
      <c r="AE2384" t="n">
        <v>36.2</v>
      </c>
      <c r="AF2384" t="n">
        <v>34.1</v>
      </c>
      <c r="AG2384" t="inlineStr">
        <is>
          <t>1:34.1</t>
        </is>
      </c>
      <c r="AH2384" t="inlineStr">
        <is>
          <t>35%</t>
        </is>
      </c>
      <c r="AI2384" t="n">
        <v>3.9</v>
      </c>
      <c r="AJ2384" t="n">
        <v>41.94</v>
      </c>
    </row>
    <row r="2385">
      <c r="A2385" t="inlineStr">
        <is>
          <t>University of Wisconsin-Madison</t>
        </is>
      </c>
      <c r="B2385" t="inlineStr">
        <is>
          <t>United States</t>
        </is>
      </c>
      <c r="C2385" t="inlineStr">
        <is>
          <t>116</t>
        </is>
      </c>
      <c r="D2385" t="n">
        <v>57.1</v>
      </c>
      <c r="E2385" t="n">
        <v>77.7</v>
      </c>
      <c r="F2385" t="n">
        <v>47.8</v>
      </c>
      <c r="G2385" t="n">
        <v>74.3</v>
      </c>
      <c r="H2385" t="n">
        <v>23.7</v>
      </c>
      <c r="I2385" t="n">
        <v>35.3</v>
      </c>
      <c r="J2385" t="n">
        <v>23.6</v>
      </c>
      <c r="K2385" t="n">
        <v>91.59999999999999</v>
      </c>
      <c r="L2385" t="n">
        <v>81.59999999999999</v>
      </c>
      <c r="M2385" t="n">
        <v>59.6</v>
      </c>
      <c r="N2385" t="inlineStr">
        <is>
          <t>63</t>
        </is>
      </c>
      <c r="O2385" t="inlineStr">
        <is>
          <t>73.3</t>
        </is>
      </c>
      <c r="P2385" t="n">
        <v>68.5</v>
      </c>
      <c r="Q2385" t="n">
        <v>67.5</v>
      </c>
      <c r="R2385" t="n">
        <v>85.5</v>
      </c>
      <c r="S2385" t="n">
        <v>79.8</v>
      </c>
      <c r="T2385" t="n">
        <v>62.8</v>
      </c>
      <c r="U2385" t="inlineStr">
        <is>
          <t>41,209</t>
        </is>
      </c>
      <c r="V2385" t="n">
        <v>9.9</v>
      </c>
      <c r="W2385" t="inlineStr">
        <is>
          <t>13%</t>
        </is>
      </c>
      <c r="X2385" t="inlineStr"/>
      <c r="Y2385" t="n">
        <v>116</v>
      </c>
      <c r="Z2385" t="n">
        <v>63</v>
      </c>
      <c r="AA2385" t="n">
        <v>73.3</v>
      </c>
      <c r="AB2385" t="inlineStr">
        <is>
          <t>U2384</t>
        </is>
      </c>
      <c r="AC2385" t="inlineStr">
        <is>
          <t>UN</t>
        </is>
      </c>
      <c r="AD2385" t="n">
        <v>57.1</v>
      </c>
      <c r="AE2385" t="n">
        <v>23.7</v>
      </c>
      <c r="AF2385" t="n">
        <v>9.9</v>
      </c>
      <c r="AG2385" t="inlineStr">
        <is>
          <t>1:9.9</t>
        </is>
      </c>
      <c r="AH2385" t="inlineStr">
        <is>
          <t>13%</t>
        </is>
      </c>
      <c r="AI2385" t="n">
        <v>77.7</v>
      </c>
      <c r="AJ2385" t="n">
        <v>51.14</v>
      </c>
    </row>
    <row r="2386">
      <c r="A2386" t="inlineStr">
        <is>
          <t xml:space="preserve">University of Wisconsin Milwaukee </t>
        </is>
      </c>
      <c r="B2386" t="inlineStr">
        <is>
          <t>United States</t>
        </is>
      </c>
      <c r="C2386" t="inlineStr">
        <is>
          <t>1201-1400</t>
        </is>
      </c>
      <c r="D2386" t="inlineStr"/>
      <c r="E2386" t="n">
        <v>7.6</v>
      </c>
      <c r="F2386" t="n">
        <v>2.4</v>
      </c>
      <c r="G2386" t="n">
        <v>9.699999999999999</v>
      </c>
      <c r="H2386" t="n">
        <v>9.800000000000001</v>
      </c>
      <c r="I2386" t="n">
        <v>5.7</v>
      </c>
      <c r="J2386" t="n">
        <v>5.1</v>
      </c>
      <c r="K2386" t="n">
        <v>39.5</v>
      </c>
      <c r="L2386" t="n">
        <v>6.8</v>
      </c>
      <c r="M2386" t="n">
        <v>4.5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n">
        <v>1201</v>
      </c>
      <c r="Z2386" t="inlineStr"/>
      <c r="AA2386" t="inlineStr"/>
      <c r="AB2386" t="inlineStr">
        <is>
          <t>U2385</t>
        </is>
      </c>
      <c r="AC2386" t="inlineStr">
        <is>
          <t>UN</t>
        </is>
      </c>
      <c r="AD2386" t="inlineStr"/>
      <c r="AE2386" t="n">
        <v>9.800000000000001</v>
      </c>
      <c r="AF2386" t="inlineStr"/>
      <c r="AG2386" t="inlineStr"/>
      <c r="AH2386" t="inlineStr"/>
      <c r="AI2386" t="n">
        <v>7.6</v>
      </c>
      <c r="AJ2386" t="n">
        <v>16.36</v>
      </c>
    </row>
    <row r="2387">
      <c r="A2387" t="inlineStr">
        <is>
          <t>University of Witwatersrand</t>
        </is>
      </c>
      <c r="B2387" t="inlineStr">
        <is>
          <t>South Africa</t>
        </is>
      </c>
      <c r="C2387" t="inlineStr">
        <is>
          <t>267</t>
        </is>
      </c>
      <c r="D2387" t="n">
        <v>38.7</v>
      </c>
      <c r="E2387" t="n">
        <v>26.5</v>
      </c>
      <c r="F2387" t="n">
        <v>42.1</v>
      </c>
      <c r="G2387" t="n">
        <v>8.9</v>
      </c>
      <c r="H2387" t="n">
        <v>30.5</v>
      </c>
      <c r="I2387" t="n">
        <v>75.09999999999999</v>
      </c>
      <c r="J2387" t="n">
        <v>5.8</v>
      </c>
      <c r="K2387" t="n">
        <v>96.8</v>
      </c>
      <c r="L2387" t="n">
        <v>98.90000000000001</v>
      </c>
      <c r="M2387" t="n">
        <v>84.8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n">
        <v>267</v>
      </c>
      <c r="Z2387" t="inlineStr"/>
      <c r="AA2387" t="inlineStr"/>
      <c r="AB2387" t="inlineStr">
        <is>
          <t>U2386</t>
        </is>
      </c>
      <c r="AC2387" t="inlineStr">
        <is>
          <t>SO</t>
        </is>
      </c>
      <c r="AD2387" t="n">
        <v>38.7</v>
      </c>
      <c r="AE2387" t="n">
        <v>30.5</v>
      </c>
      <c r="AF2387" t="inlineStr"/>
      <c r="AG2387" t="inlineStr"/>
      <c r="AH2387" t="inlineStr"/>
      <c r="AI2387" t="n">
        <v>26.5</v>
      </c>
      <c r="AJ2387" t="n">
        <v>22.63</v>
      </c>
    </row>
    <row r="2388">
      <c r="A2388" t="inlineStr">
        <is>
          <t>University of Wollongong</t>
        </is>
      </c>
      <c r="B2388" t="inlineStr">
        <is>
          <t>Australia</t>
        </is>
      </c>
      <c r="C2388" t="inlineStr">
        <is>
          <t>167</t>
        </is>
      </c>
      <c r="D2388" t="n">
        <v>50.3</v>
      </c>
      <c r="E2388" t="n">
        <v>29.5</v>
      </c>
      <c r="F2388" t="n">
        <v>24.5</v>
      </c>
      <c r="G2388" t="n">
        <v>17</v>
      </c>
      <c r="H2388" t="n">
        <v>94.59999999999999</v>
      </c>
      <c r="I2388" t="n">
        <v>91.8</v>
      </c>
      <c r="J2388" t="n">
        <v>56.3</v>
      </c>
      <c r="K2388" t="n">
        <v>89</v>
      </c>
      <c r="L2388" t="n">
        <v>18.3</v>
      </c>
      <c r="M2388" t="n">
        <v>93.90000000000001</v>
      </c>
      <c r="N2388" t="inlineStr">
        <is>
          <t>201–250</t>
        </is>
      </c>
      <c r="O2388" t="inlineStr">
        <is>
          <t>55.9–58.6</t>
        </is>
      </c>
      <c r="P2388" t="n">
        <v>36.8</v>
      </c>
      <c r="Q2388" t="n">
        <v>39.3</v>
      </c>
      <c r="R2388" t="n">
        <v>84</v>
      </c>
      <c r="S2388" t="n">
        <v>91.40000000000001</v>
      </c>
      <c r="T2388" t="n">
        <v>91.7</v>
      </c>
      <c r="U2388" t="inlineStr">
        <is>
          <t>16,328</t>
        </is>
      </c>
      <c r="V2388" t="n">
        <v>26.1</v>
      </c>
      <c r="W2388" t="inlineStr">
        <is>
          <t>22%</t>
        </is>
      </c>
      <c r="X2388" t="inlineStr">
        <is>
          <t>55 : 45</t>
        </is>
      </c>
      <c r="Y2388" t="n">
        <v>167</v>
      </c>
      <c r="Z2388" t="n">
        <v>201</v>
      </c>
      <c r="AA2388" t="n">
        <v>57.25</v>
      </c>
      <c r="AB2388" t="inlineStr">
        <is>
          <t>U2387</t>
        </is>
      </c>
      <c r="AC2388" t="inlineStr">
        <is>
          <t>AU</t>
        </is>
      </c>
      <c r="AD2388" t="n">
        <v>50.3</v>
      </c>
      <c r="AE2388" t="n">
        <v>94.59999999999999</v>
      </c>
      <c r="AF2388" t="n">
        <v>26.1</v>
      </c>
      <c r="AG2388" t="inlineStr">
        <is>
          <t>1:26.1</t>
        </is>
      </c>
      <c r="AH2388" t="inlineStr">
        <is>
          <t>22%</t>
        </is>
      </c>
      <c r="AI2388" t="n">
        <v>29.5</v>
      </c>
      <c r="AJ2388" t="n">
        <v>64.83</v>
      </c>
    </row>
    <row r="2389">
      <c r="A2389" t="inlineStr">
        <is>
          <t>University of Wolverhampton</t>
        </is>
      </c>
      <c r="B2389" t="inlineStr">
        <is>
          <t>United Kingdom</t>
        </is>
      </c>
      <c r="C2389" t="inlineStr">
        <is>
          <t>1001-1200</t>
        </is>
      </c>
      <c r="D2389" t="inlineStr"/>
      <c r="E2389" t="n">
        <v>3.2</v>
      </c>
      <c r="F2389" t="n">
        <v>2.7</v>
      </c>
      <c r="G2389" t="n">
        <v>10.2</v>
      </c>
      <c r="H2389" t="n">
        <v>8.300000000000001</v>
      </c>
      <c r="I2389" t="n">
        <v>33.3</v>
      </c>
      <c r="J2389" t="n">
        <v>69.2</v>
      </c>
      <c r="K2389" t="n">
        <v>45.7</v>
      </c>
      <c r="L2389" t="n">
        <v>4.7</v>
      </c>
      <c r="M2389" t="n">
        <v>1.3</v>
      </c>
      <c r="N2389" t="inlineStr">
        <is>
          <t>601–800</t>
        </is>
      </c>
      <c r="O2389" t="inlineStr">
        <is>
          <t>37.0–41.8</t>
        </is>
      </c>
      <c r="P2389" t="n">
        <v>19.1</v>
      </c>
      <c r="Q2389" t="n">
        <v>14.7</v>
      </c>
      <c r="R2389" t="n">
        <v>64.7</v>
      </c>
      <c r="S2389" t="n">
        <v>40.7</v>
      </c>
      <c r="T2389" t="n">
        <v>81.09999999999999</v>
      </c>
      <c r="U2389" t="inlineStr">
        <is>
          <t>15,115</t>
        </is>
      </c>
      <c r="V2389" t="n">
        <v>16.7</v>
      </c>
      <c r="W2389" t="inlineStr">
        <is>
          <t>28%</t>
        </is>
      </c>
      <c r="X2389" t="inlineStr">
        <is>
          <t>62 : 38</t>
        </is>
      </c>
      <c r="Y2389" t="n">
        <v>1001</v>
      </c>
      <c r="Z2389" t="n">
        <v>601</v>
      </c>
      <c r="AA2389" t="n">
        <v>39.4</v>
      </c>
      <c r="AB2389" t="inlineStr">
        <is>
          <t>U2388</t>
        </is>
      </c>
      <c r="AC2389" t="inlineStr">
        <is>
          <t>UN</t>
        </is>
      </c>
      <c r="AD2389" t="n">
        <v>39.4</v>
      </c>
      <c r="AE2389" t="n">
        <v>8.300000000000001</v>
      </c>
      <c r="AF2389" t="n">
        <v>16.7</v>
      </c>
      <c r="AG2389" t="inlineStr">
        <is>
          <t>1:16.7</t>
        </is>
      </c>
      <c r="AH2389" t="inlineStr">
        <is>
          <t>28%</t>
        </is>
      </c>
      <c r="AI2389" t="n">
        <v>3.2</v>
      </c>
      <c r="AJ2389" t="n">
        <v>23.23</v>
      </c>
    </row>
    <row r="2390">
      <c r="A2390" t="inlineStr">
        <is>
          <t>University of Wrocław</t>
        </is>
      </c>
      <c r="B2390" t="inlineStr">
        <is>
          <t>Poland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>
        <is>
          <t>1001–1200</t>
        </is>
      </c>
      <c r="O2390" t="inlineStr">
        <is>
          <t>28.3–32.6</t>
        </is>
      </c>
      <c r="P2390" t="n">
        <v>24.3</v>
      </c>
      <c r="Q2390" t="n">
        <v>25.9</v>
      </c>
      <c r="R2390" t="n">
        <v>35.9</v>
      </c>
      <c r="S2390" t="n">
        <v>25.6</v>
      </c>
      <c r="T2390" t="n">
        <v>44.1</v>
      </c>
      <c r="U2390" t="inlineStr">
        <is>
          <t>17,787</t>
        </is>
      </c>
      <c r="V2390" t="n">
        <v>15.1</v>
      </c>
      <c r="W2390" t="inlineStr">
        <is>
          <t>7%</t>
        </is>
      </c>
      <c r="X2390" t="inlineStr">
        <is>
          <t>67 : 33</t>
        </is>
      </c>
      <c r="Y2390" t="inlineStr"/>
      <c r="Z2390" t="n">
        <v>1001</v>
      </c>
      <c r="AA2390" t="n">
        <v>30.45</v>
      </c>
      <c r="AB2390" t="inlineStr">
        <is>
          <t>U2389</t>
        </is>
      </c>
      <c r="AC2390" t="inlineStr">
        <is>
          <t>PO</t>
        </is>
      </c>
      <c r="AD2390" t="n">
        <v>30.45</v>
      </c>
      <c r="AE2390" t="n">
        <v>35.9</v>
      </c>
      <c r="AF2390" t="n">
        <v>15.1</v>
      </c>
      <c r="AG2390" t="inlineStr">
        <is>
          <t>1:15.1</t>
        </is>
      </c>
      <c r="AH2390" t="inlineStr">
        <is>
          <t>7%</t>
        </is>
      </c>
      <c r="AI2390" t="inlineStr"/>
      <c r="AJ2390" t="n">
        <v>28.51</v>
      </c>
    </row>
    <row r="2391">
      <c r="A2391" t="inlineStr">
        <is>
          <t>University of Wroclaw</t>
        </is>
      </c>
      <c r="B2391" t="inlineStr">
        <is>
          <t>Poland</t>
        </is>
      </c>
      <c r="C2391" t="inlineStr">
        <is>
          <t>851-900</t>
        </is>
      </c>
      <c r="D2391" t="inlineStr"/>
      <c r="E2391" t="n">
        <v>14.9</v>
      </c>
      <c r="F2391" t="n">
        <v>12.6</v>
      </c>
      <c r="G2391" t="n">
        <v>32.1</v>
      </c>
      <c r="H2391" t="n">
        <v>3.9</v>
      </c>
      <c r="I2391" t="n">
        <v>5</v>
      </c>
      <c r="J2391" t="n">
        <v>8.4</v>
      </c>
      <c r="K2391" t="n">
        <v>54.3</v>
      </c>
      <c r="L2391" t="n">
        <v>12</v>
      </c>
      <c r="M2391" t="n">
        <v>9.300000000000001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n">
        <v>851</v>
      </c>
      <c r="Z2391" t="inlineStr"/>
      <c r="AA2391" t="inlineStr"/>
      <c r="AB2391" t="inlineStr">
        <is>
          <t>U2390</t>
        </is>
      </c>
      <c r="AC2391" t="inlineStr">
        <is>
          <t>PO</t>
        </is>
      </c>
      <c r="AD2391" t="inlineStr"/>
      <c r="AE2391" t="n">
        <v>3.9</v>
      </c>
      <c r="AF2391" t="inlineStr"/>
      <c r="AG2391" t="inlineStr"/>
      <c r="AH2391" t="inlineStr"/>
      <c r="AI2391" t="n">
        <v>14.9</v>
      </c>
      <c r="AJ2391" t="n">
        <v>14.57</v>
      </c>
    </row>
    <row r="2392">
      <c r="A2392" t="inlineStr">
        <is>
          <t>University of Wuppertal</t>
        </is>
      </c>
      <c r="B2392" t="inlineStr">
        <is>
          <t>Germany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>
        <is>
          <t>501–600</t>
        </is>
      </c>
      <c r="O2392" t="inlineStr">
        <is>
          <t>41.9–45.3</t>
        </is>
      </c>
      <c r="P2392" t="n">
        <v>29.8</v>
      </c>
      <c r="Q2392" t="n">
        <v>29.8</v>
      </c>
      <c r="R2392" t="n">
        <v>67.3</v>
      </c>
      <c r="S2392" t="n">
        <v>64.59999999999999</v>
      </c>
      <c r="T2392" t="n">
        <v>55</v>
      </c>
      <c r="U2392" t="inlineStr">
        <is>
          <t>14,699</t>
        </is>
      </c>
      <c r="V2392" t="n">
        <v>35.4</v>
      </c>
      <c r="W2392" t="inlineStr">
        <is>
          <t>10%</t>
        </is>
      </c>
      <c r="X2392" t="inlineStr">
        <is>
          <t>54 : 46</t>
        </is>
      </c>
      <c r="Y2392" t="inlineStr"/>
      <c r="Z2392" t="n">
        <v>501</v>
      </c>
      <c r="AA2392" t="n">
        <v>43.59999999999999</v>
      </c>
      <c r="AB2392" t="inlineStr">
        <is>
          <t>U2391</t>
        </is>
      </c>
      <c r="AC2392" t="inlineStr">
        <is>
          <t>GE</t>
        </is>
      </c>
      <c r="AD2392" t="n">
        <v>43.59999999999999</v>
      </c>
      <c r="AE2392" t="n">
        <v>67.3</v>
      </c>
      <c r="AF2392" t="n">
        <v>35.4</v>
      </c>
      <c r="AG2392" t="inlineStr">
        <is>
          <t>1:35.4</t>
        </is>
      </c>
      <c r="AH2392" t="inlineStr">
        <is>
          <t>10%</t>
        </is>
      </c>
      <c r="AI2392" t="inlineStr"/>
      <c r="AJ2392" t="n">
        <v>42.71</v>
      </c>
    </row>
    <row r="2393">
      <c r="A2393" t="inlineStr">
        <is>
          <t>University of Wyoming</t>
        </is>
      </c>
      <c r="B2393" t="inlineStr">
        <is>
          <t>United States</t>
        </is>
      </c>
      <c r="C2393" t="inlineStr">
        <is>
          <t>1001-1200</t>
        </is>
      </c>
      <c r="D2393" t="inlineStr"/>
      <c r="E2393" t="n">
        <v>3.2</v>
      </c>
      <c r="F2393" t="n">
        <v>1.6</v>
      </c>
      <c r="G2393" t="n">
        <v>28.4</v>
      </c>
      <c r="H2393" t="n">
        <v>21.1</v>
      </c>
      <c r="I2393" t="n">
        <v>6.8</v>
      </c>
      <c r="J2393" t="n">
        <v>4</v>
      </c>
      <c r="K2393" t="n">
        <v>52.2</v>
      </c>
      <c r="L2393" t="n">
        <v>6.5</v>
      </c>
      <c r="M2393" t="n">
        <v>3.6</v>
      </c>
      <c r="N2393" t="inlineStr">
        <is>
          <t>601–800</t>
        </is>
      </c>
      <c r="O2393" t="inlineStr">
        <is>
          <t>37.0–41.8</t>
        </is>
      </c>
      <c r="P2393" t="n">
        <v>35.9</v>
      </c>
      <c r="Q2393" t="n">
        <v>20.3</v>
      </c>
      <c r="R2393" t="n">
        <v>62.1</v>
      </c>
      <c r="S2393" t="n">
        <v>58.6</v>
      </c>
      <c r="T2393" t="n">
        <v>37.7</v>
      </c>
      <c r="U2393" t="inlineStr">
        <is>
          <t>10,174</t>
        </is>
      </c>
      <c r="V2393" t="n">
        <v>14.1</v>
      </c>
      <c r="W2393" t="inlineStr">
        <is>
          <t>4%</t>
        </is>
      </c>
      <c r="X2393" t="inlineStr">
        <is>
          <t>52 : 48</t>
        </is>
      </c>
      <c r="Y2393" t="n">
        <v>1001</v>
      </c>
      <c r="Z2393" t="n">
        <v>601</v>
      </c>
      <c r="AA2393" t="n">
        <v>39.4</v>
      </c>
      <c r="AB2393" t="inlineStr">
        <is>
          <t>U2392</t>
        </is>
      </c>
      <c r="AC2393" t="inlineStr">
        <is>
          <t>UN</t>
        </is>
      </c>
      <c r="AD2393" t="n">
        <v>39.4</v>
      </c>
      <c r="AE2393" t="n">
        <v>21.1</v>
      </c>
      <c r="AF2393" t="n">
        <v>14.1</v>
      </c>
      <c r="AG2393" t="inlineStr">
        <is>
          <t>1:14.1</t>
        </is>
      </c>
      <c r="AH2393" t="inlineStr">
        <is>
          <t>4%</t>
        </is>
      </c>
      <c r="AI2393" t="n">
        <v>3.2</v>
      </c>
      <c r="AJ2393" t="n">
        <v>19.54</v>
      </c>
    </row>
    <row r="2394">
      <c r="A2394" t="inlineStr">
        <is>
          <t>University of Yamanashi</t>
        </is>
      </c>
      <c r="B2394" t="inlineStr">
        <is>
          <t>Japan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>
        <is>
          <t>1201–1500</t>
        </is>
      </c>
      <c r="O2394" t="inlineStr">
        <is>
          <t>22.8–28.2</t>
        </is>
      </c>
      <c r="P2394" t="n">
        <v>27.8</v>
      </c>
      <c r="Q2394" t="n">
        <v>13.1</v>
      </c>
      <c r="R2394" t="n">
        <v>25.9</v>
      </c>
      <c r="S2394" t="n">
        <v>45.4</v>
      </c>
      <c r="T2394" t="n">
        <v>29</v>
      </c>
      <c r="U2394" t="inlineStr">
        <is>
          <t>4,616</t>
        </is>
      </c>
      <c r="V2394" t="n">
        <v>6.2</v>
      </c>
      <c r="W2394" t="inlineStr">
        <is>
          <t>5%</t>
        </is>
      </c>
      <c r="X2394" t="inlineStr">
        <is>
          <t>30 : 70</t>
        </is>
      </c>
      <c r="Y2394" t="inlineStr"/>
      <c r="Z2394" t="n">
        <v>1201</v>
      </c>
      <c r="AA2394" t="n">
        <v>25.5</v>
      </c>
      <c r="AB2394" t="inlineStr">
        <is>
          <t>U2393</t>
        </is>
      </c>
      <c r="AC2394" t="inlineStr">
        <is>
          <t>JA</t>
        </is>
      </c>
      <c r="AD2394" t="n">
        <v>25.5</v>
      </c>
      <c r="AE2394" t="n">
        <v>25.9</v>
      </c>
      <c r="AF2394" t="n">
        <v>6.2</v>
      </c>
      <c r="AG2394" t="inlineStr">
        <is>
          <t>1:6.2</t>
        </is>
      </c>
      <c r="AH2394" t="inlineStr">
        <is>
          <t>5%</t>
        </is>
      </c>
      <c r="AI2394" t="inlineStr"/>
      <c r="AJ2394" t="n">
        <v>15.12</v>
      </c>
    </row>
    <row r="2395">
      <c r="A2395" t="inlineStr">
        <is>
          <t>University of York</t>
        </is>
      </c>
      <c r="B2395" t="inlineStr">
        <is>
          <t>United Kingdom</t>
        </is>
      </c>
      <c r="C2395" t="inlineStr">
        <is>
          <t>184</t>
        </is>
      </c>
      <c r="D2395" t="n">
        <v>48.2</v>
      </c>
      <c r="E2395" t="n">
        <v>42.9</v>
      </c>
      <c r="F2395" t="n">
        <v>30.1</v>
      </c>
      <c r="G2395" t="n">
        <v>43</v>
      </c>
      <c r="H2395" t="n">
        <v>40.1</v>
      </c>
      <c r="I2395" t="n">
        <v>87.8</v>
      </c>
      <c r="J2395" t="n">
        <v>75.59999999999999</v>
      </c>
      <c r="K2395" t="n">
        <v>92.5</v>
      </c>
      <c r="L2395" t="n">
        <v>23.5</v>
      </c>
      <c r="M2395" t="n">
        <v>97.40000000000001</v>
      </c>
      <c r="N2395" t="inlineStr">
        <is>
          <t>147</t>
        </is>
      </c>
      <c r="O2395" t="inlineStr">
        <is>
          <t>62.4</t>
        </is>
      </c>
      <c r="P2395" t="n">
        <v>42.4</v>
      </c>
      <c r="Q2395" t="n">
        <v>44.8</v>
      </c>
      <c r="R2395" t="n">
        <v>90.8</v>
      </c>
      <c r="S2395" t="n">
        <v>66.90000000000001</v>
      </c>
      <c r="T2395" t="n">
        <v>93.09999999999999</v>
      </c>
      <c r="U2395" t="inlineStr">
        <is>
          <t>19,505</t>
        </is>
      </c>
      <c r="V2395" t="n">
        <v>16.1</v>
      </c>
      <c r="W2395" t="inlineStr">
        <is>
          <t>31%</t>
        </is>
      </c>
      <c r="X2395" t="inlineStr">
        <is>
          <t>56 : 44</t>
        </is>
      </c>
      <c r="Y2395" t="n">
        <v>184</v>
      </c>
      <c r="Z2395" t="n">
        <v>147</v>
      </c>
      <c r="AA2395" t="n">
        <v>62.4</v>
      </c>
      <c r="AB2395" t="inlineStr">
        <is>
          <t>U2394</t>
        </is>
      </c>
      <c r="AC2395" t="inlineStr">
        <is>
          <t>UN</t>
        </is>
      </c>
      <c r="AD2395" t="n">
        <v>48.2</v>
      </c>
      <c r="AE2395" t="n">
        <v>40.1</v>
      </c>
      <c r="AF2395" t="n">
        <v>16.1</v>
      </c>
      <c r="AG2395" t="inlineStr">
        <is>
          <t>1:16.1</t>
        </is>
      </c>
      <c r="AH2395" t="inlineStr">
        <is>
          <t>31%</t>
        </is>
      </c>
      <c r="AI2395" t="n">
        <v>42.9</v>
      </c>
      <c r="AJ2395" t="n">
        <v>51.54</v>
      </c>
    </row>
    <row r="2396">
      <c r="A2396" t="inlineStr">
        <is>
          <t>University of Zagreb</t>
        </is>
      </c>
      <c r="B2396" t="inlineStr">
        <is>
          <t>Croatia</t>
        </is>
      </c>
      <c r="C2396" t="inlineStr">
        <is>
          <t>651-660</t>
        </is>
      </c>
      <c r="D2396" t="inlineStr"/>
      <c r="E2396" t="n">
        <v>16.3</v>
      </c>
      <c r="F2396" t="n">
        <v>7.3</v>
      </c>
      <c r="G2396" t="n">
        <v>23.8</v>
      </c>
      <c r="H2396" t="n">
        <v>4.1</v>
      </c>
      <c r="I2396" t="n">
        <v>1.7</v>
      </c>
      <c r="J2396" t="n">
        <v>3.3</v>
      </c>
      <c r="K2396" t="n">
        <v>91.59999999999999</v>
      </c>
      <c r="L2396" t="n">
        <v>96.90000000000001</v>
      </c>
      <c r="M2396" t="n">
        <v>27.9</v>
      </c>
      <c r="N2396" t="inlineStr">
        <is>
          <t>1001–1200</t>
        </is>
      </c>
      <c r="O2396" t="inlineStr">
        <is>
          <t>28.3–32.6</t>
        </is>
      </c>
      <c r="P2396" t="n">
        <v>26</v>
      </c>
      <c r="Q2396" t="n">
        <v>15.9</v>
      </c>
      <c r="R2396" t="n">
        <v>44.7</v>
      </c>
      <c r="S2396" t="n">
        <v>59.7</v>
      </c>
      <c r="T2396" t="n">
        <v>31.2</v>
      </c>
      <c r="U2396" t="inlineStr">
        <is>
          <t>58,474</t>
        </is>
      </c>
      <c r="V2396" t="n">
        <v>14.8</v>
      </c>
      <c r="W2396" t="inlineStr">
        <is>
          <t>3%</t>
        </is>
      </c>
      <c r="X2396" t="inlineStr">
        <is>
          <t>60 : 40</t>
        </is>
      </c>
      <c r="Y2396" t="n">
        <v>651</v>
      </c>
      <c r="Z2396" t="n">
        <v>1001</v>
      </c>
      <c r="AA2396" t="n">
        <v>30.45</v>
      </c>
      <c r="AB2396" t="inlineStr">
        <is>
          <t>U2395</t>
        </is>
      </c>
      <c r="AC2396" t="inlineStr">
        <is>
          <t>CR</t>
        </is>
      </c>
      <c r="AD2396" t="n">
        <v>30.45</v>
      </c>
      <c r="AE2396" t="n">
        <v>4.1</v>
      </c>
      <c r="AF2396" t="n">
        <v>14.8</v>
      </c>
      <c r="AG2396" t="inlineStr">
        <is>
          <t>1:14.8</t>
        </is>
      </c>
      <c r="AH2396" t="inlineStr">
        <is>
          <t>3%</t>
        </is>
      </c>
      <c r="AI2396" t="n">
        <v>16.3</v>
      </c>
      <c r="AJ2396" t="n">
        <v>10.51</v>
      </c>
    </row>
    <row r="2397">
      <c r="A2397" t="inlineStr">
        <is>
          <t>University of Zambia</t>
        </is>
      </c>
      <c r="B2397" t="inlineStr">
        <is>
          <t>Zambia</t>
        </is>
      </c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>
        <is>
          <t>1201–1500</t>
        </is>
      </c>
      <c r="O2397" t="inlineStr">
        <is>
          <t>22.8–28.2</t>
        </is>
      </c>
      <c r="P2397" t="n">
        <v>13.2</v>
      </c>
      <c r="Q2397" t="n">
        <v>9.800000000000001</v>
      </c>
      <c r="R2397" t="n">
        <v>45.8</v>
      </c>
      <c r="S2397" t="n">
        <v>19.9</v>
      </c>
      <c r="T2397" t="n">
        <v>54.9</v>
      </c>
      <c r="U2397" t="inlineStr">
        <is>
          <t>20,976</t>
        </is>
      </c>
      <c r="V2397" t="n">
        <v>24.6</v>
      </c>
      <c r="W2397" t="inlineStr">
        <is>
          <t>2%</t>
        </is>
      </c>
      <c r="X2397" t="inlineStr">
        <is>
          <t>39 : 61</t>
        </is>
      </c>
      <c r="Y2397" t="inlineStr"/>
      <c r="Z2397" t="n">
        <v>1201</v>
      </c>
      <c r="AA2397" t="n">
        <v>25.5</v>
      </c>
      <c r="AB2397" t="inlineStr">
        <is>
          <t>U2396</t>
        </is>
      </c>
      <c r="AC2397" t="inlineStr">
        <is>
          <t>ZA</t>
        </is>
      </c>
      <c r="AD2397" t="n">
        <v>25.5</v>
      </c>
      <c r="AE2397" t="n">
        <v>45.8</v>
      </c>
      <c r="AF2397" t="n">
        <v>24.6</v>
      </c>
      <c r="AG2397" t="inlineStr">
        <is>
          <t>1:24.6</t>
        </is>
      </c>
      <c r="AH2397" t="inlineStr">
        <is>
          <t>2%</t>
        </is>
      </c>
      <c r="AI2397" t="inlineStr"/>
      <c r="AJ2397" t="n">
        <v>25.68</v>
      </c>
    </row>
    <row r="2398">
      <c r="A2398" t="inlineStr">
        <is>
          <t>University of Zanjan</t>
        </is>
      </c>
      <c r="B2398" t="inlineStr">
        <is>
          <t>Iran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>
        <is>
          <t>1201–1500</t>
        </is>
      </c>
      <c r="O2398" t="inlineStr">
        <is>
          <t>22.8–28.2</t>
        </is>
      </c>
      <c r="P2398" t="n">
        <v>17.1</v>
      </c>
      <c r="Q2398" t="n">
        <v>12.3</v>
      </c>
      <c r="R2398" t="n">
        <v>42.6</v>
      </c>
      <c r="S2398" t="n">
        <v>21.5</v>
      </c>
      <c r="T2398" t="n">
        <v>27.3</v>
      </c>
      <c r="U2398" t="inlineStr">
        <is>
          <t>9,611</t>
        </is>
      </c>
      <c r="V2398" t="n">
        <v>23.5</v>
      </c>
      <c r="W2398" t="inlineStr">
        <is>
          <t>0%</t>
        </is>
      </c>
      <c r="X2398" t="inlineStr">
        <is>
          <t>53 : 47</t>
        </is>
      </c>
      <c r="Y2398" t="inlineStr"/>
      <c r="Z2398" t="n">
        <v>1201</v>
      </c>
      <c r="AA2398" t="n">
        <v>25.5</v>
      </c>
      <c r="AB2398" t="inlineStr">
        <is>
          <t>U2397</t>
        </is>
      </c>
      <c r="AC2398" t="inlineStr">
        <is>
          <t>IR</t>
        </is>
      </c>
      <c r="AD2398" t="n">
        <v>25.5</v>
      </c>
      <c r="AE2398" t="n">
        <v>42.6</v>
      </c>
      <c r="AF2398" t="n">
        <v>23.5</v>
      </c>
      <c r="AG2398" t="inlineStr">
        <is>
          <t>1:23.5</t>
        </is>
      </c>
      <c r="AH2398" t="inlineStr">
        <is>
          <t>0%</t>
        </is>
      </c>
      <c r="AI2398" t="inlineStr"/>
      <c r="AJ2398" t="n">
        <v>19.35</v>
      </c>
    </row>
    <row r="2399">
      <c r="A2399" t="inlineStr">
        <is>
          <t>University of Zaragoza</t>
        </is>
      </c>
      <c r="B2399" t="inlineStr">
        <is>
          <t>Spain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>
        <is>
          <t>801–1000</t>
        </is>
      </c>
      <c r="O2399" t="inlineStr">
        <is>
          <t>32.7–36.9</t>
        </is>
      </c>
      <c r="P2399" t="n">
        <v>28.3</v>
      </c>
      <c r="Q2399" t="n">
        <v>18.5</v>
      </c>
      <c r="R2399" t="n">
        <v>46.4</v>
      </c>
      <c r="S2399" t="n">
        <v>55.7</v>
      </c>
      <c r="T2399" t="n">
        <v>42.8</v>
      </c>
      <c r="U2399" t="inlineStr">
        <is>
          <t>28,491</t>
        </is>
      </c>
      <c r="V2399" t="n">
        <v>10.2</v>
      </c>
      <c r="W2399" t="inlineStr">
        <is>
          <t>7%</t>
        </is>
      </c>
      <c r="X2399" t="inlineStr">
        <is>
          <t>54 : 46</t>
        </is>
      </c>
      <c r="Y2399" t="inlineStr"/>
      <c r="Z2399" t="n">
        <v>801</v>
      </c>
      <c r="AA2399" t="n">
        <v>34.8</v>
      </c>
      <c r="AB2399" t="inlineStr">
        <is>
          <t>U2398</t>
        </is>
      </c>
      <c r="AC2399" t="inlineStr">
        <is>
          <t>SP</t>
        </is>
      </c>
      <c r="AD2399" t="n">
        <v>34.8</v>
      </c>
      <c r="AE2399" t="n">
        <v>46.4</v>
      </c>
      <c r="AF2399" t="n">
        <v>10.2</v>
      </c>
      <c r="AG2399" t="inlineStr">
        <is>
          <t>1:10.2</t>
        </is>
      </c>
      <c r="AH2399" t="inlineStr">
        <is>
          <t>7%</t>
        </is>
      </c>
      <c r="AI2399" t="inlineStr"/>
      <c r="AJ2399" t="n">
        <v>27.5</v>
      </c>
    </row>
    <row r="2400">
      <c r="A2400" t="inlineStr">
        <is>
          <t>University of Zimbabwe</t>
        </is>
      </c>
      <c r="B2400" t="inlineStr">
        <is>
          <t>Zimbabwe</t>
        </is>
      </c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>
        <is>
          <t>1201–1500</t>
        </is>
      </c>
      <c r="O2400" t="inlineStr">
        <is>
          <t>22.8–28.2</t>
        </is>
      </c>
      <c r="P2400" t="n">
        <v>12.9</v>
      </c>
      <c r="Q2400" t="n">
        <v>12.7</v>
      </c>
      <c r="R2400" t="n">
        <v>37.3</v>
      </c>
      <c r="S2400" t="n">
        <v>20.9</v>
      </c>
      <c r="T2400" t="n">
        <v>50.8</v>
      </c>
      <c r="U2400" t="inlineStr">
        <is>
          <t>25,108</t>
        </is>
      </c>
      <c r="V2400" t="n">
        <v>22.5</v>
      </c>
      <c r="W2400" t="inlineStr">
        <is>
          <t>0%</t>
        </is>
      </c>
      <c r="X2400" t="inlineStr">
        <is>
          <t>42 : 58</t>
        </is>
      </c>
      <c r="Y2400" t="inlineStr"/>
      <c r="Z2400" t="n">
        <v>1201</v>
      </c>
      <c r="AA2400" t="n">
        <v>25.5</v>
      </c>
      <c r="AB2400" t="inlineStr">
        <is>
          <t>U2399</t>
        </is>
      </c>
      <c r="AC2400" t="inlineStr">
        <is>
          <t>ZI</t>
        </is>
      </c>
      <c r="AD2400" t="n">
        <v>25.5</v>
      </c>
      <c r="AE2400" t="n">
        <v>37.3</v>
      </c>
      <c r="AF2400" t="n">
        <v>22.5</v>
      </c>
      <c r="AG2400" t="inlineStr">
        <is>
          <t>1:22.5</t>
        </is>
      </c>
      <c r="AH2400" t="inlineStr">
        <is>
          <t>0%</t>
        </is>
      </c>
      <c r="AI2400" t="inlineStr"/>
      <c r="AJ2400" t="n">
        <v>23.64</v>
      </c>
    </row>
    <row r="2401">
      <c r="A2401" t="inlineStr">
        <is>
          <t>University of Zurich</t>
        </is>
      </c>
      <c r="B2401" t="inlineStr">
        <is>
          <t>Switzerland</t>
        </is>
      </c>
      <c r="C2401" t="inlineStr">
        <is>
          <t>109</t>
        </is>
      </c>
      <c r="D2401" t="n">
        <v>58.3</v>
      </c>
      <c r="E2401" t="n">
        <v>59.9</v>
      </c>
      <c r="F2401" t="n">
        <v>26.4</v>
      </c>
      <c r="G2401" t="n">
        <v>92.2</v>
      </c>
      <c r="H2401" t="n">
        <v>40.1</v>
      </c>
      <c r="I2401" t="n">
        <v>100</v>
      </c>
      <c r="J2401" t="n">
        <v>42.8</v>
      </c>
      <c r="K2401" t="n">
        <v>94.3</v>
      </c>
      <c r="L2401" t="n">
        <v>88.59999999999999</v>
      </c>
      <c r="M2401" t="n">
        <v>58.7</v>
      </c>
      <c r="N2401" t="inlineStr">
        <is>
          <t>80</t>
        </is>
      </c>
      <c r="O2401" t="inlineStr">
        <is>
          <t>69.9</t>
        </is>
      </c>
      <c r="P2401" t="n">
        <v>54.8</v>
      </c>
      <c r="Q2401" t="n">
        <v>53.4</v>
      </c>
      <c r="R2401" t="n">
        <v>91.8</v>
      </c>
      <c r="S2401" t="n">
        <v>93.7</v>
      </c>
      <c r="T2401" t="n">
        <v>92.40000000000001</v>
      </c>
      <c r="U2401" t="inlineStr">
        <is>
          <t>25,608</t>
        </is>
      </c>
      <c r="V2401" t="n">
        <v>14.7</v>
      </c>
      <c r="W2401" t="inlineStr">
        <is>
          <t>24%</t>
        </is>
      </c>
      <c r="X2401" t="inlineStr">
        <is>
          <t>58 : 42</t>
        </is>
      </c>
      <c r="Y2401" t="n">
        <v>109</v>
      </c>
      <c r="Z2401" t="n">
        <v>80</v>
      </c>
      <c r="AA2401" t="n">
        <v>69.90000000000001</v>
      </c>
      <c r="AB2401" t="inlineStr">
        <is>
          <t>U2400</t>
        </is>
      </c>
      <c r="AC2401" t="inlineStr">
        <is>
          <t>SW</t>
        </is>
      </c>
      <c r="AD2401" t="n">
        <v>58.3</v>
      </c>
      <c r="AE2401" t="n">
        <v>40.1</v>
      </c>
      <c r="AF2401" t="n">
        <v>14.7</v>
      </c>
      <c r="AG2401" t="inlineStr">
        <is>
          <t>1:14.7</t>
        </is>
      </c>
      <c r="AH2401" t="inlineStr">
        <is>
          <t>24%</t>
        </is>
      </c>
      <c r="AI2401" t="n">
        <v>59.9</v>
      </c>
      <c r="AJ2401" t="n">
        <v>55.88</v>
      </c>
    </row>
    <row r="2402">
      <c r="A2402" t="inlineStr">
        <is>
          <t>University Paris 2 Panthéon-Assas</t>
        </is>
      </c>
      <c r="B2402" t="inlineStr">
        <is>
          <t>France</t>
        </is>
      </c>
      <c r="C2402" t="inlineStr">
        <is>
          <t>901-950</t>
        </is>
      </c>
      <c r="D2402" t="inlineStr"/>
      <c r="E2402" t="n">
        <v>7.1</v>
      </c>
      <c r="F2402" t="n">
        <v>3.5</v>
      </c>
      <c r="G2402" t="n">
        <v>62.1</v>
      </c>
      <c r="H2402" t="n">
        <v>1.2</v>
      </c>
      <c r="I2402" t="n">
        <v>11.8</v>
      </c>
      <c r="J2402" t="n">
        <v>26.1</v>
      </c>
      <c r="K2402" t="n">
        <v>4.3</v>
      </c>
      <c r="L2402" t="n">
        <v>53.1</v>
      </c>
      <c r="M2402" t="n">
        <v>1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n">
        <v>901</v>
      </c>
      <c r="Z2402" t="inlineStr"/>
      <c r="AA2402" t="inlineStr"/>
      <c r="AB2402" t="inlineStr">
        <is>
          <t>U2401</t>
        </is>
      </c>
      <c r="AC2402" t="inlineStr">
        <is>
          <t>FR</t>
        </is>
      </c>
      <c r="AD2402" t="inlineStr"/>
      <c r="AE2402" t="n">
        <v>1.2</v>
      </c>
      <c r="AF2402" t="inlineStr"/>
      <c r="AG2402" t="inlineStr"/>
      <c r="AH2402" t="inlineStr"/>
      <c r="AI2402" t="n">
        <v>7.1</v>
      </c>
      <c r="AJ2402" t="n">
        <v>13.75</v>
      </c>
    </row>
    <row r="2403">
      <c r="A2403" t="inlineStr">
        <is>
          <t>University POLITEHNICA of Bucharest</t>
        </is>
      </c>
      <c r="B2403" t="inlineStr">
        <is>
          <t>Romania</t>
        </is>
      </c>
      <c r="C2403" t="inlineStr">
        <is>
          <t>1201-1400</t>
        </is>
      </c>
      <c r="D2403" t="inlineStr"/>
      <c r="E2403" t="n">
        <v>5.2</v>
      </c>
      <c r="F2403" t="n">
        <v>12.7</v>
      </c>
      <c r="G2403" t="n">
        <v>3.4</v>
      </c>
      <c r="H2403" t="n">
        <v>6.9</v>
      </c>
      <c r="I2403" t="n">
        <v>1.4</v>
      </c>
      <c r="J2403" t="n">
        <v>2.6</v>
      </c>
      <c r="K2403" t="n">
        <v>61.8</v>
      </c>
      <c r="L2403" t="n">
        <v>3.9</v>
      </c>
      <c r="M2403" t="n">
        <v>1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n">
        <v>1201</v>
      </c>
      <c r="Z2403" t="inlineStr"/>
      <c r="AA2403" t="inlineStr"/>
      <c r="AB2403" t="inlineStr">
        <is>
          <t>U2402</t>
        </is>
      </c>
      <c r="AC2403" t="inlineStr">
        <is>
          <t>RO</t>
        </is>
      </c>
      <c r="AD2403" t="inlineStr"/>
      <c r="AE2403" t="n">
        <v>6.9</v>
      </c>
      <c r="AF2403" t="inlineStr"/>
      <c r="AG2403" t="inlineStr"/>
      <c r="AH2403" t="inlineStr"/>
      <c r="AI2403" t="n">
        <v>5.2</v>
      </c>
      <c r="AJ2403" t="n">
        <v>15.48</v>
      </c>
    </row>
    <row r="2404">
      <c r="A2404" t="inlineStr">
        <is>
          <t>University Politehnica of Timisoara, UPT</t>
        </is>
      </c>
      <c r="B2404" t="inlineStr">
        <is>
          <t>Romania</t>
        </is>
      </c>
      <c r="C2404" t="inlineStr">
        <is>
          <t>1401+</t>
        </is>
      </c>
      <c r="D2404" t="inlineStr"/>
      <c r="E2404" t="n">
        <v>4.1</v>
      </c>
      <c r="F2404" t="n">
        <v>4.2</v>
      </c>
      <c r="G2404" t="n">
        <v>7.2</v>
      </c>
      <c r="H2404" t="n">
        <v>3.9</v>
      </c>
      <c r="I2404" t="n">
        <v>1.4</v>
      </c>
      <c r="J2404" t="n">
        <v>2.5</v>
      </c>
      <c r="K2404" t="n">
        <v>18.6</v>
      </c>
      <c r="L2404" t="n">
        <v>3.9</v>
      </c>
      <c r="M2404" t="n">
        <v>1.1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n">
        <v>1401</v>
      </c>
      <c r="Z2404" t="inlineStr"/>
      <c r="AA2404" t="inlineStr"/>
      <c r="AB2404" t="inlineStr">
        <is>
          <t>U2403</t>
        </is>
      </c>
      <c r="AC2404" t="inlineStr">
        <is>
          <t>RO</t>
        </is>
      </c>
      <c r="AD2404" t="inlineStr"/>
      <c r="AE2404" t="n">
        <v>3.9</v>
      </c>
      <c r="AF2404" t="inlineStr"/>
      <c r="AG2404" t="inlineStr"/>
      <c r="AH2404" t="inlineStr"/>
      <c r="AI2404" t="n">
        <v>4.1</v>
      </c>
      <c r="AJ2404" t="n">
        <v>14.57</v>
      </c>
    </row>
    <row r="2405">
      <c r="A2405" t="inlineStr">
        <is>
          <t>University Rey Juan Carlos</t>
        </is>
      </c>
      <c r="B2405" t="inlineStr">
        <is>
          <t>Spain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>
        <is>
          <t>1201–1500</t>
        </is>
      </c>
      <c r="O2405" t="inlineStr">
        <is>
          <t>22.8–28.2</t>
        </is>
      </c>
      <c r="P2405" t="n">
        <v>15.8</v>
      </c>
      <c r="Q2405" t="n">
        <v>13.4</v>
      </c>
      <c r="R2405" t="n">
        <v>51.2</v>
      </c>
      <c r="S2405" t="n">
        <v>31.3</v>
      </c>
      <c r="T2405" t="n">
        <v>39.9</v>
      </c>
      <c r="U2405" t="inlineStr">
        <is>
          <t>42,153</t>
        </is>
      </c>
      <c r="V2405" t="n">
        <v>19.4</v>
      </c>
      <c r="W2405" t="inlineStr">
        <is>
          <t>6%</t>
        </is>
      </c>
      <c r="X2405" t="inlineStr">
        <is>
          <t>59 : 41</t>
        </is>
      </c>
      <c r="Y2405" t="inlineStr"/>
      <c r="Z2405" t="n">
        <v>1201</v>
      </c>
      <c r="AA2405" t="n">
        <v>25.5</v>
      </c>
      <c r="AB2405" t="inlineStr">
        <is>
          <t>U2404</t>
        </is>
      </c>
      <c r="AC2405" t="inlineStr">
        <is>
          <t>SP</t>
        </is>
      </c>
      <c r="AD2405" t="n">
        <v>25.5</v>
      </c>
      <c r="AE2405" t="n">
        <v>51.2</v>
      </c>
      <c r="AF2405" t="n">
        <v>19.4</v>
      </c>
      <c r="AG2405" t="inlineStr">
        <is>
          <t>1:19.4</t>
        </is>
      </c>
      <c r="AH2405" t="inlineStr">
        <is>
          <t>6%</t>
        </is>
      </c>
      <c r="AI2405" t="inlineStr"/>
      <c r="AJ2405" t="n">
        <v>25.58</v>
      </c>
    </row>
    <row r="2406">
      <c r="A2406" t="inlineStr">
        <is>
          <t>University Ulm</t>
        </is>
      </c>
      <c r="B2406" t="inlineStr">
        <is>
          <t>Germany</t>
        </is>
      </c>
      <c r="C2406" t="inlineStr">
        <is>
          <t>554</t>
        </is>
      </c>
      <c r="D2406" t="n">
        <v>22.4</v>
      </c>
      <c r="E2406" t="n">
        <v>7.4</v>
      </c>
      <c r="F2406" t="n">
        <v>5.5</v>
      </c>
      <c r="G2406" t="n">
        <v>78.5</v>
      </c>
      <c r="H2406" t="n">
        <v>31.2</v>
      </c>
      <c r="I2406" t="n">
        <v>39.6</v>
      </c>
      <c r="J2406" t="n">
        <v>21</v>
      </c>
      <c r="K2406" t="n">
        <v>61.1</v>
      </c>
      <c r="L2406" t="n">
        <v>2.9</v>
      </c>
      <c r="M2406" t="n">
        <v>2.1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n">
        <v>554</v>
      </c>
      <c r="Z2406" t="inlineStr"/>
      <c r="AA2406" t="inlineStr"/>
      <c r="AB2406" t="inlineStr">
        <is>
          <t>U2405</t>
        </is>
      </c>
      <c r="AC2406" t="inlineStr">
        <is>
          <t>GE</t>
        </is>
      </c>
      <c r="AD2406" t="n">
        <v>22.4</v>
      </c>
      <c r="AE2406" t="n">
        <v>31.2</v>
      </c>
      <c r="AF2406" t="inlineStr"/>
      <c r="AG2406" t="inlineStr"/>
      <c r="AH2406" t="inlineStr"/>
      <c r="AI2406" t="n">
        <v>7.4</v>
      </c>
      <c r="AJ2406" t="n">
        <v>22.84</v>
      </c>
    </row>
    <row r="2407">
      <c r="A2407" t="inlineStr">
        <is>
          <t>UNSW Sydney</t>
        </is>
      </c>
      <c r="B2407" t="inlineStr">
        <is>
          <t>Australia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>
        <is>
          <t>84</t>
        </is>
      </c>
      <c r="O2407" t="inlineStr">
        <is>
          <t>68.9</t>
        </is>
      </c>
      <c r="P2407" t="n">
        <v>47.2</v>
      </c>
      <c r="Q2407" t="n">
        <v>57.4</v>
      </c>
      <c r="R2407" t="n">
        <v>91.09999999999999</v>
      </c>
      <c r="S2407" t="n">
        <v>98.59999999999999</v>
      </c>
      <c r="T2407" t="n">
        <v>94.5</v>
      </c>
      <c r="U2407" t="inlineStr">
        <is>
          <t>47,044</t>
        </is>
      </c>
      <c r="V2407" t="n">
        <v>36.6</v>
      </c>
      <c r="W2407" t="inlineStr">
        <is>
          <t>40%</t>
        </is>
      </c>
      <c r="X2407" t="inlineStr">
        <is>
          <t>47 : 53</t>
        </is>
      </c>
      <c r="Y2407" t="inlineStr"/>
      <c r="Z2407" t="n">
        <v>84</v>
      </c>
      <c r="AA2407" t="n">
        <v>68.90000000000001</v>
      </c>
      <c r="AB2407" t="inlineStr">
        <is>
          <t>U2406</t>
        </is>
      </c>
      <c r="AC2407" t="inlineStr">
        <is>
          <t>AU</t>
        </is>
      </c>
      <c r="AD2407" t="n">
        <v>68.90000000000001</v>
      </c>
      <c r="AE2407" t="n">
        <v>91.09999999999999</v>
      </c>
      <c r="AF2407" t="n">
        <v>36.6</v>
      </c>
      <c r="AG2407" t="inlineStr">
        <is>
          <t>1:36.6</t>
        </is>
      </c>
      <c r="AH2407" t="inlineStr">
        <is>
          <t>40%</t>
        </is>
      </c>
      <c r="AI2407" t="inlineStr"/>
      <c r="AJ2407" t="n">
        <v>73.94</v>
      </c>
    </row>
    <row r="2408">
      <c r="A2408" t="inlineStr">
        <is>
          <t>UPES</t>
        </is>
      </c>
      <c r="B2408" t="inlineStr">
        <is>
          <t>India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>
        <is>
          <t>801–1000</t>
        </is>
      </c>
      <c r="O2408" t="inlineStr">
        <is>
          <t>32.7–36.9</t>
        </is>
      </c>
      <c r="P2408" t="n">
        <v>28.3</v>
      </c>
      <c r="Q2408" t="n">
        <v>16.7</v>
      </c>
      <c r="R2408" t="n">
        <v>63.7</v>
      </c>
      <c r="S2408" t="n">
        <v>17.1</v>
      </c>
      <c r="T2408" t="n">
        <v>50.7</v>
      </c>
      <c r="U2408" t="inlineStr">
        <is>
          <t>11,792</t>
        </is>
      </c>
      <c r="V2408" t="n">
        <v>11</v>
      </c>
      <c r="W2408" t="inlineStr">
        <is>
          <t>0%</t>
        </is>
      </c>
      <c r="X2408" t="inlineStr">
        <is>
          <t>31 : 69</t>
        </is>
      </c>
      <c r="Y2408" t="inlineStr"/>
      <c r="Z2408" t="n">
        <v>801</v>
      </c>
      <c r="AA2408" t="n">
        <v>34.8</v>
      </c>
      <c r="AB2408" t="inlineStr">
        <is>
          <t>U2407</t>
        </is>
      </c>
      <c r="AC2408" t="inlineStr">
        <is>
          <t>IN</t>
        </is>
      </c>
      <c r="AD2408" t="n">
        <v>34.8</v>
      </c>
      <c r="AE2408" t="n">
        <v>63.7</v>
      </c>
      <c r="AF2408" t="n">
        <v>11</v>
      </c>
      <c r="AG2408" t="inlineStr">
        <is>
          <t>1:11.0</t>
        </is>
      </c>
      <c r="AH2408" t="inlineStr">
        <is>
          <t>0%</t>
        </is>
      </c>
      <c r="AI2408" t="inlineStr"/>
      <c r="AJ2408" t="n">
        <v>33.71</v>
      </c>
    </row>
    <row r="2409">
      <c r="A2409" t="inlineStr">
        <is>
          <t>Uppsala University</t>
        </is>
      </c>
      <c r="B2409" t="inlineStr">
        <is>
          <t>Sweden</t>
        </is>
      </c>
      <c r="C2409" t="inlineStr">
        <is>
          <t>103</t>
        </is>
      </c>
      <c r="D2409" t="n">
        <v>59.3</v>
      </c>
      <c r="E2409" t="n">
        <v>61.4</v>
      </c>
      <c r="F2409" t="n">
        <v>33.7</v>
      </c>
      <c r="G2409" t="n">
        <v>52</v>
      </c>
      <c r="H2409" t="n">
        <v>42.3</v>
      </c>
      <c r="I2409" t="n">
        <v>99.40000000000001</v>
      </c>
      <c r="J2409" t="n">
        <v>81.09999999999999</v>
      </c>
      <c r="K2409" t="n">
        <v>96.7</v>
      </c>
      <c r="L2409" t="n">
        <v>68.40000000000001</v>
      </c>
      <c r="M2409" t="n">
        <v>99.2</v>
      </c>
      <c r="N2409">
        <f>140</f>
        <v/>
      </c>
      <c r="O2409" t="inlineStr">
        <is>
          <t>62.8</t>
        </is>
      </c>
      <c r="P2409" t="n">
        <v>43.9</v>
      </c>
      <c r="Q2409" t="n">
        <v>55</v>
      </c>
      <c r="R2409" t="n">
        <v>81.3</v>
      </c>
      <c r="S2409" t="n">
        <v>97.7</v>
      </c>
      <c r="T2409" t="n">
        <v>74.7</v>
      </c>
      <c r="U2409" t="inlineStr">
        <is>
          <t>24,749</t>
        </is>
      </c>
      <c r="V2409" t="n">
        <v>13.3</v>
      </c>
      <c r="W2409" t="inlineStr">
        <is>
          <t>17%</t>
        </is>
      </c>
      <c r="X2409" t="inlineStr">
        <is>
          <t>60 : 40</t>
        </is>
      </c>
      <c r="Y2409" t="n">
        <v>103</v>
      </c>
      <c r="Z2409" t="n">
        <v>140</v>
      </c>
      <c r="AA2409" t="n">
        <v>62.8</v>
      </c>
      <c r="AB2409" t="inlineStr">
        <is>
          <t>U2408</t>
        </is>
      </c>
      <c r="AC2409" t="inlineStr">
        <is>
          <t>SW</t>
        </is>
      </c>
      <c r="AD2409" t="n">
        <v>59.3</v>
      </c>
      <c r="AE2409" t="n">
        <v>42.3</v>
      </c>
      <c r="AF2409" t="n">
        <v>13.3</v>
      </c>
      <c r="AG2409" t="inlineStr">
        <is>
          <t>1:13.3</t>
        </is>
      </c>
      <c r="AH2409" t="inlineStr">
        <is>
          <t>17%</t>
        </is>
      </c>
      <c r="AI2409" t="n">
        <v>61.4</v>
      </c>
      <c r="AJ2409" t="n">
        <v>53.1</v>
      </c>
    </row>
    <row r="2410">
      <c r="A2410" t="inlineStr">
        <is>
          <t>Ural Federal University</t>
        </is>
      </c>
      <c r="B2410" t="inlineStr">
        <is>
          <t>Russian Federation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>
        <is>
          <t>1001–1200</t>
        </is>
      </c>
      <c r="O2410" t="inlineStr">
        <is>
          <t>28.3–32.6</t>
        </is>
      </c>
      <c r="P2410" t="n">
        <v>24.9</v>
      </c>
      <c r="Q2410" t="n">
        <v>25.9</v>
      </c>
      <c r="R2410" t="n">
        <v>34.7</v>
      </c>
      <c r="S2410" t="n">
        <v>50.6</v>
      </c>
      <c r="T2410" t="n">
        <v>59.8</v>
      </c>
      <c r="U2410" t="inlineStr">
        <is>
          <t>26,883</t>
        </is>
      </c>
      <c r="V2410" t="n">
        <v>14</v>
      </c>
      <c r="W2410" t="inlineStr">
        <is>
          <t>16%</t>
        </is>
      </c>
      <c r="X2410" t="inlineStr">
        <is>
          <t>50 : 50</t>
        </is>
      </c>
      <c r="Y2410" t="inlineStr"/>
      <c r="Z2410" t="n">
        <v>1001</v>
      </c>
      <c r="AA2410" t="n">
        <v>30.45</v>
      </c>
      <c r="AB2410" t="inlineStr">
        <is>
          <t>U2409</t>
        </is>
      </c>
      <c r="AC2410" t="inlineStr">
        <is>
          <t>RU</t>
        </is>
      </c>
      <c r="AD2410" t="n">
        <v>30.45</v>
      </c>
      <c r="AE2410" t="n">
        <v>34.7</v>
      </c>
      <c r="AF2410" t="n">
        <v>14</v>
      </c>
      <c r="AG2410" t="inlineStr">
        <is>
          <t>1:14.0</t>
        </is>
      </c>
      <c r="AH2410" t="inlineStr">
        <is>
          <t>16%</t>
        </is>
      </c>
      <c r="AI2410" t="inlineStr"/>
      <c r="AJ2410" t="n">
        <v>31.94</v>
      </c>
    </row>
    <row r="2411">
      <c r="A2411" t="inlineStr">
        <is>
          <t>Ural Federal University - UrFU</t>
        </is>
      </c>
      <c r="B2411" t="inlineStr">
        <is>
          <t>Russian Federation</t>
        </is>
      </c>
      <c r="C2411" t="inlineStr">
        <is>
          <t>516</t>
        </is>
      </c>
      <c r="D2411" t="n">
        <v>23.6</v>
      </c>
      <c r="E2411" t="n">
        <v>19.6</v>
      </c>
      <c r="F2411" t="n">
        <v>14.2</v>
      </c>
      <c r="G2411" t="n">
        <v>95.5</v>
      </c>
      <c r="H2411" t="n">
        <v>2.1</v>
      </c>
      <c r="I2411" t="n">
        <v>5.4</v>
      </c>
      <c r="J2411" t="n">
        <v>25.3</v>
      </c>
      <c r="K2411" t="n">
        <v>86.59999999999999</v>
      </c>
      <c r="L2411" t="n">
        <v>1.9</v>
      </c>
      <c r="M2411" t="n">
        <v>12.7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n">
        <v>516</v>
      </c>
      <c r="Z2411" t="inlineStr"/>
      <c r="AA2411" t="inlineStr"/>
      <c r="AB2411" t="inlineStr">
        <is>
          <t>U2410</t>
        </is>
      </c>
      <c r="AC2411" t="inlineStr">
        <is>
          <t>RU</t>
        </is>
      </c>
      <c r="AD2411" t="n">
        <v>23.6</v>
      </c>
      <c r="AE2411" t="n">
        <v>2.1</v>
      </c>
      <c r="AF2411" t="inlineStr"/>
      <c r="AG2411" t="inlineStr"/>
      <c r="AH2411" t="inlineStr"/>
      <c r="AI2411" t="n">
        <v>19.6</v>
      </c>
      <c r="AJ2411" t="n">
        <v>14.02</v>
      </c>
    </row>
    <row r="2412">
      <c r="A2412" t="inlineStr">
        <is>
          <t>Urmia University</t>
        </is>
      </c>
      <c r="B2412" t="inlineStr">
        <is>
          <t>Iran</t>
        </is>
      </c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>
        <is>
          <t>801–1000</t>
        </is>
      </c>
      <c r="O2412" t="inlineStr">
        <is>
          <t>32.7–36.9</t>
        </is>
      </c>
      <c r="P2412" t="n">
        <v>29.6</v>
      </c>
      <c r="Q2412" t="n">
        <v>19.5</v>
      </c>
      <c r="R2412" t="n">
        <v>56.9</v>
      </c>
      <c r="S2412" t="n">
        <v>25.8</v>
      </c>
      <c r="T2412" t="n">
        <v>38</v>
      </c>
      <c r="U2412" t="inlineStr">
        <is>
          <t>13,300</t>
        </is>
      </c>
      <c r="V2412" t="n">
        <v>26.4</v>
      </c>
      <c r="W2412" t="inlineStr">
        <is>
          <t>12%</t>
        </is>
      </c>
      <c r="X2412" t="inlineStr">
        <is>
          <t>49 : 51</t>
        </is>
      </c>
      <c r="Y2412" t="inlineStr"/>
      <c r="Z2412" t="n">
        <v>801</v>
      </c>
      <c r="AA2412" t="n">
        <v>34.8</v>
      </c>
      <c r="AB2412" t="inlineStr">
        <is>
          <t>U2411</t>
        </is>
      </c>
      <c r="AC2412" t="inlineStr">
        <is>
          <t>IR</t>
        </is>
      </c>
      <c r="AD2412" t="n">
        <v>34.8</v>
      </c>
      <c r="AE2412" t="n">
        <v>56.9</v>
      </c>
      <c r="AF2412" t="n">
        <v>26.4</v>
      </c>
      <c r="AG2412" t="inlineStr">
        <is>
          <t>1:26.4</t>
        </is>
      </c>
      <c r="AH2412" t="inlineStr">
        <is>
          <t>12%</t>
        </is>
      </c>
      <c r="AI2412" t="inlineStr"/>
      <c r="AJ2412" t="n">
        <v>30.04</v>
      </c>
    </row>
    <row r="2413">
      <c r="A2413" t="inlineStr">
        <is>
          <t>Urmia University of Medical Sciences</t>
        </is>
      </c>
      <c r="B2413" t="inlineStr">
        <is>
          <t>Iran</t>
        </is>
      </c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>
        <is>
          <t>601–800</t>
        </is>
      </c>
      <c r="O2413" t="inlineStr">
        <is>
          <t>37.0–41.8</t>
        </is>
      </c>
      <c r="P2413" t="n">
        <v>35.3</v>
      </c>
      <c r="Q2413" t="n">
        <v>11.7</v>
      </c>
      <c r="R2413" t="n">
        <v>69.3</v>
      </c>
      <c r="S2413" t="n">
        <v>17.8</v>
      </c>
      <c r="T2413" t="n">
        <v>25.2</v>
      </c>
      <c r="U2413" t="inlineStr">
        <is>
          <t>4,556</t>
        </is>
      </c>
      <c r="V2413" t="n">
        <v>12.4</v>
      </c>
      <c r="W2413" t="inlineStr">
        <is>
          <t>5%</t>
        </is>
      </c>
      <c r="X2413" t="inlineStr">
        <is>
          <t>52 : 48</t>
        </is>
      </c>
      <c r="Y2413" t="inlineStr"/>
      <c r="Z2413" t="n">
        <v>601</v>
      </c>
      <c r="AA2413" t="n">
        <v>39.4</v>
      </c>
      <c r="AB2413" t="inlineStr">
        <is>
          <t>U2412</t>
        </is>
      </c>
      <c r="AC2413" t="inlineStr">
        <is>
          <t>IR</t>
        </is>
      </c>
      <c r="AD2413" t="n">
        <v>39.4</v>
      </c>
      <c r="AE2413" t="n">
        <v>69.3</v>
      </c>
      <c r="AF2413" t="n">
        <v>12.4</v>
      </c>
      <c r="AG2413" t="inlineStr">
        <is>
          <t>1:12.4</t>
        </is>
      </c>
      <c r="AH2413" t="inlineStr">
        <is>
          <t>5%</t>
        </is>
      </c>
      <c r="AI2413" t="inlineStr"/>
      <c r="AJ2413" t="n">
        <v>26.62</v>
      </c>
    </row>
    <row r="2414">
      <c r="A2414" t="inlineStr">
        <is>
          <t>Urmia University of Technology</t>
        </is>
      </c>
      <c r="B2414" t="inlineStr">
        <is>
          <t>Iran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>
        <is>
          <t>1001–1200</t>
        </is>
      </c>
      <c r="O2414" t="inlineStr">
        <is>
          <t>28.3–32.6</t>
        </is>
      </c>
      <c r="P2414" t="n">
        <v>11.4</v>
      </c>
      <c r="Q2414" t="n">
        <v>16.8</v>
      </c>
      <c r="R2414" t="n">
        <v>59.9</v>
      </c>
      <c r="S2414" t="n">
        <v>16.6</v>
      </c>
      <c r="T2414" t="n">
        <v>27.7</v>
      </c>
      <c r="U2414" t="inlineStr">
        <is>
          <t>3,193</t>
        </is>
      </c>
      <c r="V2414" t="n">
        <v>30.7</v>
      </c>
      <c r="W2414" t="inlineStr">
        <is>
          <t>0%</t>
        </is>
      </c>
      <c r="X2414" t="inlineStr">
        <is>
          <t>30 : 70</t>
        </is>
      </c>
      <c r="Y2414" t="inlineStr"/>
      <c r="Z2414" t="n">
        <v>1001</v>
      </c>
      <c r="AA2414" t="n">
        <v>30.45</v>
      </c>
      <c r="AB2414" t="inlineStr">
        <is>
          <t>U2413</t>
        </is>
      </c>
      <c r="AC2414" t="inlineStr">
        <is>
          <t>IR</t>
        </is>
      </c>
      <c r="AD2414" t="n">
        <v>30.45</v>
      </c>
      <c r="AE2414" t="n">
        <v>59.9</v>
      </c>
      <c r="AF2414" t="n">
        <v>30.7</v>
      </c>
      <c r="AG2414" t="inlineStr">
        <is>
          <t>1:30.7</t>
        </is>
      </c>
      <c r="AH2414" t="inlineStr">
        <is>
          <t>0%</t>
        </is>
      </c>
      <c r="AI2414" t="inlineStr"/>
      <c r="AJ2414" t="n">
        <v>27.05</v>
      </c>
    </row>
    <row r="2415">
      <c r="A2415" t="inlineStr">
        <is>
          <t>USAMV Cluj-Napoca</t>
        </is>
      </c>
      <c r="B2415" t="inlineStr">
        <is>
          <t>Romania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>
        <is>
          <t>1001–1200</t>
        </is>
      </c>
      <c r="O2415" t="inlineStr">
        <is>
          <t>28.3–32.6</t>
        </is>
      </c>
      <c r="P2415" t="n">
        <v>19.9</v>
      </c>
      <c r="Q2415" t="n">
        <v>9.1</v>
      </c>
      <c r="R2415" t="n">
        <v>54.5</v>
      </c>
      <c r="S2415" t="n">
        <v>23.8</v>
      </c>
      <c r="T2415" t="n">
        <v>40</v>
      </c>
      <c r="U2415" t="inlineStr">
        <is>
          <t>5,501</t>
        </is>
      </c>
      <c r="V2415" t="n">
        <v>17.7</v>
      </c>
      <c r="W2415" t="inlineStr">
        <is>
          <t>7%</t>
        </is>
      </c>
      <c r="X2415" t="inlineStr">
        <is>
          <t>53 : 47</t>
        </is>
      </c>
      <c r="Y2415" t="inlineStr"/>
      <c r="Z2415" t="n">
        <v>1001</v>
      </c>
      <c r="AA2415" t="n">
        <v>30.45</v>
      </c>
      <c r="AB2415" t="inlineStr">
        <is>
          <t>U2414</t>
        </is>
      </c>
      <c r="AC2415" t="inlineStr">
        <is>
          <t>RO</t>
        </is>
      </c>
      <c r="AD2415" t="n">
        <v>30.45</v>
      </c>
      <c r="AE2415" t="n">
        <v>54.5</v>
      </c>
      <c r="AF2415" t="n">
        <v>17.7</v>
      </c>
      <c r="AG2415" t="inlineStr">
        <is>
          <t>1:17.7</t>
        </is>
      </c>
      <c r="AH2415" t="inlineStr">
        <is>
          <t>7%</t>
        </is>
      </c>
      <c r="AI2415" t="inlineStr"/>
      <c r="AJ2415" t="n">
        <v>24.35</v>
      </c>
    </row>
    <row r="2416">
      <c r="A2416" t="inlineStr">
        <is>
          <t>USI - Università della Svizzera italiana</t>
        </is>
      </c>
      <c r="B2416" t="inlineStr">
        <is>
          <t>Switzerland</t>
        </is>
      </c>
      <c r="C2416" t="inlineStr">
        <is>
          <t>405</t>
        </is>
      </c>
      <c r="D2416" t="n">
        <v>29.3</v>
      </c>
      <c r="E2416" t="n">
        <v>6.1</v>
      </c>
      <c r="F2416" t="n">
        <v>4.6</v>
      </c>
      <c r="G2416" t="n">
        <v>73.5</v>
      </c>
      <c r="H2416" t="n">
        <v>40.7</v>
      </c>
      <c r="I2416" t="n">
        <v>100</v>
      </c>
      <c r="J2416" t="n">
        <v>100</v>
      </c>
      <c r="K2416" t="n">
        <v>39.3</v>
      </c>
      <c r="L2416" t="n">
        <v>2.1</v>
      </c>
      <c r="M2416" t="n">
        <v>1.1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n">
        <v>405</v>
      </c>
      <c r="Z2416" t="inlineStr"/>
      <c r="AA2416" t="inlineStr"/>
      <c r="AB2416" t="inlineStr">
        <is>
          <t>U2415</t>
        </is>
      </c>
      <c r="AC2416" t="inlineStr">
        <is>
          <t>SW</t>
        </is>
      </c>
      <c r="AD2416" t="n">
        <v>29.3</v>
      </c>
      <c r="AE2416" t="n">
        <v>40.7</v>
      </c>
      <c r="AF2416" t="inlineStr"/>
      <c r="AG2416" t="inlineStr"/>
      <c r="AH2416" t="inlineStr"/>
      <c r="AI2416" t="n">
        <v>6.1</v>
      </c>
      <c r="AJ2416" t="n">
        <v>25.72</v>
      </c>
    </row>
    <row r="2417">
      <c r="A2417" t="inlineStr">
        <is>
          <t xml:space="preserve">Utah State University </t>
        </is>
      </c>
      <c r="B2417" t="inlineStr">
        <is>
          <t>United States</t>
        </is>
      </c>
      <c r="C2417" t="inlineStr">
        <is>
          <t>1001-1200</t>
        </is>
      </c>
      <c r="D2417" t="inlineStr"/>
      <c r="E2417" t="n">
        <v>6.2</v>
      </c>
      <c r="F2417" t="n">
        <v>2</v>
      </c>
      <c r="G2417" t="n">
        <v>5.4</v>
      </c>
      <c r="H2417" t="n">
        <v>22.4</v>
      </c>
      <c r="I2417" t="n">
        <v>1.1</v>
      </c>
      <c r="J2417" t="n">
        <v>1.6</v>
      </c>
      <c r="K2417" t="n">
        <v>54.7</v>
      </c>
      <c r="L2417" t="n">
        <v>7.6</v>
      </c>
      <c r="M2417" t="n">
        <v>7.4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n">
        <v>1001</v>
      </c>
      <c r="Z2417" t="inlineStr"/>
      <c r="AA2417" t="inlineStr"/>
      <c r="AB2417" t="inlineStr">
        <is>
          <t>U2416</t>
        </is>
      </c>
      <c r="AC2417" t="inlineStr">
        <is>
          <t>UN</t>
        </is>
      </c>
      <c r="AD2417" t="inlineStr"/>
      <c r="AE2417" t="n">
        <v>22.4</v>
      </c>
      <c r="AF2417" t="inlineStr"/>
      <c r="AG2417" t="inlineStr"/>
      <c r="AH2417" t="inlineStr"/>
      <c r="AI2417" t="n">
        <v>6.2</v>
      </c>
      <c r="AJ2417" t="n">
        <v>20.18</v>
      </c>
    </row>
    <row r="2418">
      <c r="A2418" t="inlineStr">
        <is>
          <t>Utrecht University</t>
        </is>
      </c>
      <c r="B2418" t="inlineStr">
        <is>
          <t>Netherlands</t>
        </is>
      </c>
      <c r="C2418" t="inlineStr">
        <is>
          <t>105</t>
        </is>
      </c>
      <c r="D2418" t="n">
        <v>59.1</v>
      </c>
      <c r="E2418" t="n">
        <v>66.5</v>
      </c>
      <c r="F2418" t="n">
        <v>38.8</v>
      </c>
      <c r="G2418" t="n">
        <v>31</v>
      </c>
      <c r="H2418" t="n">
        <v>79.5</v>
      </c>
      <c r="I2418" t="n">
        <v>55.7</v>
      </c>
      <c r="J2418" t="n">
        <v>19.4</v>
      </c>
      <c r="K2418" t="n">
        <v>97.3</v>
      </c>
      <c r="L2418" t="n">
        <v>54.7</v>
      </c>
      <c r="M2418" t="n">
        <v>61.9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n">
        <v>105</v>
      </c>
      <c r="Z2418" t="inlineStr"/>
      <c r="AA2418" t="inlineStr"/>
      <c r="AB2418" t="inlineStr">
        <is>
          <t>U2417</t>
        </is>
      </c>
      <c r="AC2418" t="inlineStr">
        <is>
          <t>NE</t>
        </is>
      </c>
      <c r="AD2418" t="n">
        <v>59.1</v>
      </c>
      <c r="AE2418" t="n">
        <v>79.5</v>
      </c>
      <c r="AF2418" t="inlineStr"/>
      <c r="AG2418" t="inlineStr"/>
      <c r="AH2418" t="inlineStr"/>
      <c r="AI2418" t="n">
        <v>66.5</v>
      </c>
      <c r="AJ2418" t="n">
        <v>37.48</v>
      </c>
    </row>
    <row r="2419">
      <c r="A2419" t="inlineStr">
        <is>
          <t>Utsunomiya University</t>
        </is>
      </c>
      <c r="B2419" t="inlineStr">
        <is>
          <t>Japan</t>
        </is>
      </c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>
        <is>
          <t>1501+</t>
        </is>
      </c>
      <c r="O2419" t="inlineStr">
        <is>
          <t>9.7–22.7</t>
        </is>
      </c>
      <c r="P2419" t="n">
        <v>20.4</v>
      </c>
      <c r="Q2419" t="n">
        <v>12.6</v>
      </c>
      <c r="R2419" t="n">
        <v>9.1</v>
      </c>
      <c r="S2419" t="n">
        <v>27.7</v>
      </c>
      <c r="T2419" t="n">
        <v>29.1</v>
      </c>
      <c r="U2419" t="inlineStr">
        <is>
          <t>4,805</t>
        </is>
      </c>
      <c r="V2419" t="n">
        <v>13.7</v>
      </c>
      <c r="W2419" t="inlineStr">
        <is>
          <t>4%</t>
        </is>
      </c>
      <c r="X2419" t="inlineStr">
        <is>
          <t>37 : 63</t>
        </is>
      </c>
      <c r="Y2419" t="inlineStr"/>
      <c r="Z2419" t="n">
        <v>1501</v>
      </c>
      <c r="AA2419" t="n">
        <v>16.2</v>
      </c>
      <c r="AB2419" t="inlineStr">
        <is>
          <t>U2418</t>
        </is>
      </c>
      <c r="AC2419" t="inlineStr">
        <is>
          <t>JA</t>
        </is>
      </c>
      <c r="AD2419" t="n">
        <v>16.2</v>
      </c>
      <c r="AE2419" t="n">
        <v>9.1</v>
      </c>
      <c r="AF2419" t="n">
        <v>13.7</v>
      </c>
      <c r="AG2419" t="inlineStr">
        <is>
          <t>1:13.7</t>
        </is>
      </c>
      <c r="AH2419" t="inlineStr">
        <is>
          <t>4%</t>
        </is>
      </c>
      <c r="AI2419" t="inlineStr"/>
      <c r="AJ2419" t="n">
        <v>9.789999999999999</v>
      </c>
    </row>
    <row r="2420">
      <c r="A2420" t="inlineStr">
        <is>
          <t>Uzhhorod National University</t>
        </is>
      </c>
      <c r="B2420" t="inlineStr">
        <is>
          <t>Ukraine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>
        <is>
          <t>1501+</t>
        </is>
      </c>
      <c r="O2420" t="inlineStr">
        <is>
          <t>9.7–22.7</t>
        </is>
      </c>
      <c r="P2420" t="n">
        <v>22.2</v>
      </c>
      <c r="Q2420" t="n">
        <v>8.9</v>
      </c>
      <c r="R2420" t="n">
        <v>4.7</v>
      </c>
      <c r="S2420" t="n">
        <v>16.2</v>
      </c>
      <c r="T2420" t="n">
        <v>45.2</v>
      </c>
      <c r="U2420" t="inlineStr">
        <is>
          <t>14,460</t>
        </is>
      </c>
      <c r="V2420" t="n">
        <v>11.3</v>
      </c>
      <c r="W2420" t="inlineStr">
        <is>
          <t>13%</t>
        </is>
      </c>
      <c r="X2420" t="inlineStr">
        <is>
          <t>53 : 47</t>
        </is>
      </c>
      <c r="Y2420" t="inlineStr"/>
      <c r="Z2420" t="n">
        <v>1501</v>
      </c>
      <c r="AA2420" t="n">
        <v>16.2</v>
      </c>
      <c r="AB2420" t="inlineStr">
        <is>
          <t>U2419</t>
        </is>
      </c>
      <c r="AC2420" t="inlineStr">
        <is>
          <t>UK</t>
        </is>
      </c>
      <c r="AD2420" t="n">
        <v>16.2</v>
      </c>
      <c r="AE2420" t="n">
        <v>4.7</v>
      </c>
      <c r="AF2420" t="n">
        <v>11.3</v>
      </c>
      <c r="AG2420" t="inlineStr">
        <is>
          <t>1:11.3</t>
        </is>
      </c>
      <c r="AH2420" t="inlineStr">
        <is>
          <t>13%</t>
        </is>
      </c>
      <c r="AI2420" t="inlineStr"/>
      <c r="AJ2420" t="n">
        <v>10.41</v>
      </c>
    </row>
    <row r="2421">
      <c r="A2421" t="inlineStr">
        <is>
          <t>V.I. Vernadsky Crimean Federal University (Vernadsky CFU)</t>
        </is>
      </c>
      <c r="B2421" t="inlineStr">
        <is>
          <t>Ukraine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>
        <is>
          <t>1501+</t>
        </is>
      </c>
      <c r="O2421" t="inlineStr">
        <is>
          <t>9.7–22.7</t>
        </is>
      </c>
      <c r="P2421" t="n">
        <v>19</v>
      </c>
      <c r="Q2421" t="n">
        <v>9.9</v>
      </c>
      <c r="R2421" t="n">
        <v>7.6</v>
      </c>
      <c r="S2421" t="n">
        <v>16.6</v>
      </c>
      <c r="T2421" t="n">
        <v>27.2</v>
      </c>
      <c r="U2421" t="inlineStr">
        <is>
          <t>21,485</t>
        </is>
      </c>
      <c r="V2421" t="n">
        <v>12.5</v>
      </c>
      <c r="W2421" t="inlineStr">
        <is>
          <t>9%</t>
        </is>
      </c>
      <c r="X2421" t="inlineStr">
        <is>
          <t>55 : 45</t>
        </is>
      </c>
      <c r="Y2421" t="inlineStr"/>
      <c r="Z2421" t="n">
        <v>1501</v>
      </c>
      <c r="AA2421" t="n">
        <v>16.2</v>
      </c>
      <c r="AB2421" t="inlineStr">
        <is>
          <t>U2420</t>
        </is>
      </c>
      <c r="AC2421" t="inlineStr">
        <is>
          <t>UK</t>
        </is>
      </c>
      <c r="AD2421" t="n">
        <v>16.2</v>
      </c>
      <c r="AE2421" t="n">
        <v>7.6</v>
      </c>
      <c r="AF2421" t="n">
        <v>12.5</v>
      </c>
      <c r="AG2421" t="inlineStr">
        <is>
          <t>1:12.5</t>
        </is>
      </c>
      <c r="AH2421" t="inlineStr">
        <is>
          <t>9%</t>
        </is>
      </c>
      <c r="AI2421" t="inlineStr"/>
      <c r="AJ2421" t="n">
        <v>7.46</v>
      </c>
    </row>
    <row r="2422">
      <c r="A2422" t="inlineStr">
        <is>
          <t>V. N. Karazin Kharkiv National University</t>
        </is>
      </c>
      <c r="B2422" t="inlineStr">
        <is>
          <t>Ukraine</t>
        </is>
      </c>
      <c r="C2422" t="inlineStr">
        <is>
          <t>741-750</t>
        </is>
      </c>
      <c r="D2422" t="inlineStr"/>
      <c r="E2422" t="n">
        <v>12.6</v>
      </c>
      <c r="F2422" t="n">
        <v>16.9</v>
      </c>
      <c r="G2422" t="n">
        <v>64.59999999999999</v>
      </c>
      <c r="H2422" t="n">
        <v>1.4</v>
      </c>
      <c r="I2422" t="n">
        <v>3.3</v>
      </c>
      <c r="J2422" t="n">
        <v>55.7</v>
      </c>
      <c r="K2422" t="n">
        <v>29.4</v>
      </c>
      <c r="L2422" t="n">
        <v>4</v>
      </c>
      <c r="M2422" t="n">
        <v>4.9</v>
      </c>
      <c r="N2422" t="inlineStr">
        <is>
          <t>1201–1500</t>
        </is>
      </c>
      <c r="O2422" t="inlineStr">
        <is>
          <t>22.8–28.2</t>
        </is>
      </c>
      <c r="P2422" t="n">
        <v>26.4</v>
      </c>
      <c r="Q2422" t="n">
        <v>10.9</v>
      </c>
      <c r="R2422" t="n">
        <v>8.800000000000001</v>
      </c>
      <c r="S2422" t="n">
        <v>46.6</v>
      </c>
      <c r="T2422" t="n">
        <v>47.2</v>
      </c>
      <c r="U2422" t="inlineStr">
        <is>
          <t>17,491</t>
        </is>
      </c>
      <c r="V2422" t="n">
        <v>8.300000000000001</v>
      </c>
      <c r="W2422" t="inlineStr">
        <is>
          <t>28%</t>
        </is>
      </c>
      <c r="X2422" t="inlineStr">
        <is>
          <t>53 : 47</t>
        </is>
      </c>
      <c r="Y2422" t="n">
        <v>741</v>
      </c>
      <c r="Z2422" t="n">
        <v>1201</v>
      </c>
      <c r="AA2422" t="n">
        <v>25.5</v>
      </c>
      <c r="AB2422" t="inlineStr">
        <is>
          <t>U2421</t>
        </is>
      </c>
      <c r="AC2422" t="inlineStr">
        <is>
          <t>UK</t>
        </is>
      </c>
      <c r="AD2422" t="n">
        <v>25.5</v>
      </c>
      <c r="AE2422" t="n">
        <v>1.4</v>
      </c>
      <c r="AF2422" t="n">
        <v>8.300000000000001</v>
      </c>
      <c r="AG2422" t="inlineStr">
        <is>
          <t>1:8.3</t>
        </is>
      </c>
      <c r="AH2422" t="inlineStr">
        <is>
          <t>28%</t>
        </is>
      </c>
      <c r="AI2422" t="n">
        <v>12.6</v>
      </c>
      <c r="AJ2422" t="n">
        <v>10.94</v>
      </c>
    </row>
    <row r="2423">
      <c r="A2423" t="inlineStr">
        <is>
          <t>Van Yüzüncü Yil University</t>
        </is>
      </c>
      <c r="B2423" t="inlineStr">
        <is>
          <t>Turkey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>
        <is>
          <t>1501+</t>
        </is>
      </c>
      <c r="O2423" t="inlineStr">
        <is>
          <t>9.7–22.7</t>
        </is>
      </c>
      <c r="P2423" t="n">
        <v>21.7</v>
      </c>
      <c r="Q2423" t="n">
        <v>22.8</v>
      </c>
      <c r="R2423" t="n">
        <v>19.3</v>
      </c>
      <c r="S2423" t="n">
        <v>45.4</v>
      </c>
      <c r="T2423" t="n">
        <v>21.4</v>
      </c>
      <c r="U2423" t="inlineStr">
        <is>
          <t>20,317</t>
        </is>
      </c>
      <c r="V2423" t="n">
        <v>17.5</v>
      </c>
      <c r="W2423" t="inlineStr">
        <is>
          <t>3%</t>
        </is>
      </c>
      <c r="X2423" t="inlineStr">
        <is>
          <t>47 : 53</t>
        </is>
      </c>
      <c r="Y2423" t="inlineStr"/>
      <c r="Z2423" t="n">
        <v>1501</v>
      </c>
      <c r="AA2423" t="n">
        <v>16.2</v>
      </c>
      <c r="AB2423" t="inlineStr">
        <is>
          <t>U2422</t>
        </is>
      </c>
      <c r="AC2423" t="inlineStr">
        <is>
          <t>TU</t>
        </is>
      </c>
      <c r="AD2423" t="n">
        <v>16.2</v>
      </c>
      <c r="AE2423" t="n">
        <v>19.3</v>
      </c>
      <c r="AF2423" t="n">
        <v>17.5</v>
      </c>
      <c r="AG2423" t="inlineStr">
        <is>
          <t>1:17.5</t>
        </is>
      </c>
      <c r="AH2423" t="inlineStr">
        <is>
          <t>3%</t>
        </is>
      </c>
      <c r="AI2423" t="inlineStr"/>
      <c r="AJ2423" t="n">
        <v>16.37</v>
      </c>
    </row>
    <row r="2424">
      <c r="A2424" t="inlineStr">
        <is>
          <t>Vancouver Island University</t>
        </is>
      </c>
      <c r="B2424" t="inlineStr">
        <is>
          <t>Canada</t>
        </is>
      </c>
      <c r="C2424" t="inlineStr">
        <is>
          <t>1201-1400</t>
        </is>
      </c>
      <c r="D2424" t="inlineStr"/>
      <c r="E2424" t="n">
        <v>4.5</v>
      </c>
      <c r="F2424" t="n">
        <v>3.7</v>
      </c>
      <c r="G2424" t="n">
        <v>48.8</v>
      </c>
      <c r="H2424" t="n">
        <v>1.1</v>
      </c>
      <c r="I2424" t="inlineStr"/>
      <c r="J2424" t="inlineStr"/>
      <c r="K2424" t="n">
        <v>2.6</v>
      </c>
      <c r="L2424" t="n">
        <v>1.5</v>
      </c>
      <c r="M2424" t="n">
        <v>1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n">
        <v>1201</v>
      </c>
      <c r="Z2424" t="inlineStr"/>
      <c r="AA2424" t="inlineStr"/>
      <c r="AB2424" t="inlineStr">
        <is>
          <t>U2423</t>
        </is>
      </c>
      <c r="AC2424" t="inlineStr">
        <is>
          <t>CA</t>
        </is>
      </c>
      <c r="AD2424" t="inlineStr"/>
      <c r="AE2424" t="n">
        <v>1.1</v>
      </c>
      <c r="AF2424" t="inlineStr"/>
      <c r="AG2424" t="inlineStr"/>
      <c r="AH2424" t="inlineStr"/>
      <c r="AI2424" t="n">
        <v>4.5</v>
      </c>
      <c r="AJ2424" t="n">
        <v>13.72</v>
      </c>
    </row>
    <row r="2425">
      <c r="A2425" t="inlineStr">
        <is>
          <t>Vanderbilt University</t>
        </is>
      </c>
      <c r="B2425" t="inlineStr">
        <is>
          <t>United States</t>
        </is>
      </c>
      <c r="C2425" t="inlineStr">
        <is>
          <t>248</t>
        </is>
      </c>
      <c r="D2425" t="n">
        <v>40.8</v>
      </c>
      <c r="E2425" t="n">
        <v>24.4</v>
      </c>
      <c r="F2425" t="n">
        <v>21.8</v>
      </c>
      <c r="G2425" t="n">
        <v>100</v>
      </c>
      <c r="H2425" t="n">
        <v>53</v>
      </c>
      <c r="I2425" t="n">
        <v>30.1</v>
      </c>
      <c r="J2425" t="n">
        <v>36</v>
      </c>
      <c r="K2425" t="n">
        <v>78.59999999999999</v>
      </c>
      <c r="L2425" t="n">
        <v>34.7</v>
      </c>
      <c r="M2425" t="n">
        <v>24.5</v>
      </c>
      <c r="N2425">
        <f>92</f>
        <v/>
      </c>
      <c r="O2425" t="inlineStr">
        <is>
          <t>67.4</t>
        </is>
      </c>
      <c r="P2425" t="n">
        <v>54.1</v>
      </c>
      <c r="Q2425" t="n">
        <v>48.5</v>
      </c>
      <c r="R2425" t="n">
        <v>96</v>
      </c>
      <c r="S2425" t="n">
        <v>96.5</v>
      </c>
      <c r="T2425" t="n">
        <v>62.9</v>
      </c>
      <c r="U2425" t="inlineStr">
        <is>
          <t>12,971</t>
        </is>
      </c>
      <c r="V2425" t="n">
        <v>3.9</v>
      </c>
      <c r="W2425" t="inlineStr">
        <is>
          <t>17%</t>
        </is>
      </c>
      <c r="X2425" t="inlineStr">
        <is>
          <t>55 : 45</t>
        </is>
      </c>
      <c r="Y2425" t="n">
        <v>248</v>
      </c>
      <c r="Z2425" t="n">
        <v>92</v>
      </c>
      <c r="AA2425" t="n">
        <v>67.40000000000001</v>
      </c>
      <c r="AB2425" t="inlineStr">
        <is>
          <t>U2424</t>
        </is>
      </c>
      <c r="AC2425" t="inlineStr">
        <is>
          <t>UN</t>
        </is>
      </c>
      <c r="AD2425" t="n">
        <v>40.8</v>
      </c>
      <c r="AE2425" t="n">
        <v>53</v>
      </c>
      <c r="AF2425" t="n">
        <v>3.9</v>
      </c>
      <c r="AG2425" t="inlineStr">
        <is>
          <t>1:3.9</t>
        </is>
      </c>
      <c r="AH2425" t="inlineStr">
        <is>
          <t>17%</t>
        </is>
      </c>
      <c r="AI2425" t="n">
        <v>24.4</v>
      </c>
      <c r="AJ2425" t="n">
        <v>50.08</v>
      </c>
    </row>
    <row r="2426">
      <c r="A2426" t="inlineStr">
        <is>
          <t>Vellore Institute of Technology (VIT)</t>
        </is>
      </c>
      <c r="B2426" t="inlineStr">
        <is>
          <t>India</t>
        </is>
      </c>
      <c r="C2426" t="inlineStr">
        <is>
          <t>791-800</t>
        </is>
      </c>
      <c r="D2426" t="inlineStr"/>
      <c r="E2426" t="n">
        <v>12.7</v>
      </c>
      <c r="F2426" t="n">
        <v>16.1</v>
      </c>
      <c r="G2426" t="n">
        <v>7.3</v>
      </c>
      <c r="H2426" t="n">
        <v>18.9</v>
      </c>
      <c r="I2426" t="n">
        <v>8.9</v>
      </c>
      <c r="J2426" t="n">
        <v>2.9</v>
      </c>
      <c r="K2426" t="n">
        <v>76.90000000000001</v>
      </c>
      <c r="L2426" t="n">
        <v>6.1</v>
      </c>
      <c r="M2426" t="n">
        <v>29.6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n">
        <v>791</v>
      </c>
      <c r="Z2426" t="inlineStr"/>
      <c r="AA2426" t="inlineStr"/>
      <c r="AB2426" t="inlineStr">
        <is>
          <t>U2425</t>
        </is>
      </c>
      <c r="AC2426" t="inlineStr">
        <is>
          <t>IN</t>
        </is>
      </c>
      <c r="AD2426" t="inlineStr"/>
      <c r="AE2426" t="n">
        <v>18.9</v>
      </c>
      <c r="AF2426" t="inlineStr"/>
      <c r="AG2426" t="inlineStr"/>
      <c r="AH2426" t="inlineStr"/>
      <c r="AI2426" t="n">
        <v>12.7</v>
      </c>
      <c r="AJ2426" t="n">
        <v>19.12</v>
      </c>
    </row>
    <row r="2427">
      <c r="A2427" t="inlineStr">
        <is>
          <t>Veltech University</t>
        </is>
      </c>
      <c r="B2427" t="inlineStr">
        <is>
          <t>India</t>
        </is>
      </c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>
        <is>
          <t>1201–1500</t>
        </is>
      </c>
      <c r="O2427" t="inlineStr">
        <is>
          <t>22.8–28.2</t>
        </is>
      </c>
      <c r="P2427" t="n">
        <v>17.9</v>
      </c>
      <c r="Q2427" t="n">
        <v>9.1</v>
      </c>
      <c r="R2427" t="n">
        <v>44.4</v>
      </c>
      <c r="S2427" t="n">
        <v>16</v>
      </c>
      <c r="T2427" t="n">
        <v>27.7</v>
      </c>
      <c r="U2427" t="inlineStr">
        <is>
          <t>9,943</t>
        </is>
      </c>
      <c r="V2427" t="n">
        <v>14.4</v>
      </c>
      <c r="W2427" t="inlineStr">
        <is>
          <t>2%</t>
        </is>
      </c>
      <c r="X2427" t="inlineStr">
        <is>
          <t>16 : 84</t>
        </is>
      </c>
      <c r="Y2427" t="inlineStr"/>
      <c r="Z2427" t="n">
        <v>1201</v>
      </c>
      <c r="AA2427" t="n">
        <v>25.5</v>
      </c>
      <c r="AB2427" t="inlineStr">
        <is>
          <t>U2426</t>
        </is>
      </c>
      <c r="AC2427" t="inlineStr">
        <is>
          <t>IN</t>
        </is>
      </c>
      <c r="AD2427" t="n">
        <v>25.5</v>
      </c>
      <c r="AE2427" t="n">
        <v>44.4</v>
      </c>
      <c r="AF2427" t="n">
        <v>14.4</v>
      </c>
      <c r="AG2427" t="inlineStr">
        <is>
          <t>1:14.4</t>
        </is>
      </c>
      <c r="AH2427" t="inlineStr">
        <is>
          <t>2%</t>
        </is>
      </c>
      <c r="AI2427" t="inlineStr"/>
      <c r="AJ2427" t="n">
        <v>18.32</v>
      </c>
    </row>
    <row r="2428">
      <c r="A2428" t="inlineStr">
        <is>
          <t>Verona University</t>
        </is>
      </c>
      <c r="B2428" t="inlineStr">
        <is>
          <t>Italy</t>
        </is>
      </c>
      <c r="C2428" t="inlineStr">
        <is>
          <t>771-780</t>
        </is>
      </c>
      <c r="D2428" t="inlineStr"/>
      <c r="E2428" t="n">
        <v>9.1</v>
      </c>
      <c r="F2428" t="n">
        <v>2.7</v>
      </c>
      <c r="G2428" t="n">
        <v>4.1</v>
      </c>
      <c r="H2428" t="n">
        <v>41.6</v>
      </c>
      <c r="I2428" t="n">
        <v>4.5</v>
      </c>
      <c r="J2428" t="n">
        <v>4.2</v>
      </c>
      <c r="K2428" t="n">
        <v>71</v>
      </c>
      <c r="L2428" t="n">
        <v>3.1</v>
      </c>
      <c r="M2428" t="n">
        <v>22.5</v>
      </c>
      <c r="N2428" t="inlineStr">
        <is>
          <t>401–500</t>
        </is>
      </c>
      <c r="O2428" t="inlineStr">
        <is>
          <t>45.4–49.0</t>
        </is>
      </c>
      <c r="P2428" t="n">
        <v>29.6</v>
      </c>
      <c r="Q2428" t="n">
        <v>26.2</v>
      </c>
      <c r="R2428" t="n">
        <v>84.09999999999999</v>
      </c>
      <c r="S2428" t="n">
        <v>67</v>
      </c>
      <c r="T2428" t="n">
        <v>46</v>
      </c>
      <c r="U2428" t="inlineStr">
        <is>
          <t>20,968</t>
        </is>
      </c>
      <c r="V2428" t="n">
        <v>26</v>
      </c>
      <c r="W2428" t="inlineStr">
        <is>
          <t>4%</t>
        </is>
      </c>
      <c r="X2428" t="inlineStr">
        <is>
          <t>64 : 36</t>
        </is>
      </c>
      <c r="Y2428" t="n">
        <v>771</v>
      </c>
      <c r="Z2428" t="n">
        <v>401</v>
      </c>
      <c r="AA2428" t="n">
        <v>47.2</v>
      </c>
      <c r="AB2428" t="inlineStr">
        <is>
          <t>U2427</t>
        </is>
      </c>
      <c r="AC2428" t="inlineStr">
        <is>
          <t>IT</t>
        </is>
      </c>
      <c r="AD2428" t="n">
        <v>47.2</v>
      </c>
      <c r="AE2428" t="n">
        <v>41.6</v>
      </c>
      <c r="AF2428" t="n">
        <v>26</v>
      </c>
      <c r="AG2428" t="inlineStr">
        <is>
          <t>1:26.0</t>
        </is>
      </c>
      <c r="AH2428" t="inlineStr">
        <is>
          <t>4%</t>
        </is>
      </c>
      <c r="AI2428" t="n">
        <v>9.1</v>
      </c>
      <c r="AJ2428" t="n">
        <v>30.85</v>
      </c>
    </row>
    <row r="2429">
      <c r="A2429" t="inlineStr">
        <is>
          <t xml:space="preserve">Victoria University </t>
        </is>
      </c>
      <c r="B2429" t="inlineStr">
        <is>
          <t>Australia</t>
        </is>
      </c>
      <c r="C2429" t="inlineStr">
        <is>
          <t>741-750</t>
        </is>
      </c>
      <c r="D2429" t="inlineStr"/>
      <c r="E2429" t="n">
        <v>6.9</v>
      </c>
      <c r="F2429" t="n">
        <v>6.1</v>
      </c>
      <c r="G2429" t="n">
        <v>2.4</v>
      </c>
      <c r="H2429" t="n">
        <v>34.1</v>
      </c>
      <c r="I2429" t="n">
        <v>32.7</v>
      </c>
      <c r="J2429" t="n">
        <v>41.5</v>
      </c>
      <c r="K2429" t="n">
        <v>44.9</v>
      </c>
      <c r="L2429" t="n">
        <v>6.4</v>
      </c>
      <c r="M2429" t="n">
        <v>34.8</v>
      </c>
      <c r="N2429" t="inlineStr">
        <is>
          <t>401–500</t>
        </is>
      </c>
      <c r="O2429" t="inlineStr">
        <is>
          <t>45.4–49.0</t>
        </is>
      </c>
      <c r="P2429" t="n">
        <v>27.4</v>
      </c>
      <c r="Q2429" t="n">
        <v>29.9</v>
      </c>
      <c r="R2429" t="n">
        <v>73.09999999999999</v>
      </c>
      <c r="S2429" t="n">
        <v>57.2</v>
      </c>
      <c r="T2429" t="n">
        <v>75.5</v>
      </c>
      <c r="U2429" t="inlineStr">
        <is>
          <t>14,113</t>
        </is>
      </c>
      <c r="V2429" t="n">
        <v>40</v>
      </c>
      <c r="W2429" t="inlineStr">
        <is>
          <t>19%</t>
        </is>
      </c>
      <c r="X2429" t="inlineStr">
        <is>
          <t>57 : 43</t>
        </is>
      </c>
      <c r="Y2429" t="n">
        <v>741</v>
      </c>
      <c r="Z2429" t="n">
        <v>401</v>
      </c>
      <c r="AA2429" t="n">
        <v>47.2</v>
      </c>
      <c r="AB2429" t="inlineStr">
        <is>
          <t>U2428</t>
        </is>
      </c>
      <c r="AC2429" t="inlineStr">
        <is>
          <t>AU</t>
        </is>
      </c>
      <c r="AD2429" t="n">
        <v>47.2</v>
      </c>
      <c r="AE2429" t="n">
        <v>34.1</v>
      </c>
      <c r="AF2429" t="n">
        <v>40</v>
      </c>
      <c r="AG2429" t="inlineStr">
        <is>
          <t>1:40.0</t>
        </is>
      </c>
      <c r="AH2429" t="inlineStr">
        <is>
          <t>19%</t>
        </is>
      </c>
      <c r="AI2429" t="n">
        <v>6.9</v>
      </c>
      <c r="AJ2429" t="n">
        <v>37.66</v>
      </c>
    </row>
    <row r="2430">
      <c r="A2430" t="inlineStr">
        <is>
          <t>Victoria University of Wellington</t>
        </is>
      </c>
      <c r="B2430" t="inlineStr">
        <is>
          <t>New Zealand</t>
        </is>
      </c>
      <c r="C2430" t="inlineStr">
        <is>
          <t>244</t>
        </is>
      </c>
      <c r="D2430" t="n">
        <v>41.2</v>
      </c>
      <c r="E2430" t="n">
        <v>42.8</v>
      </c>
      <c r="F2430" t="n">
        <v>21.4</v>
      </c>
      <c r="G2430" t="n">
        <v>10.1</v>
      </c>
      <c r="H2430" t="n">
        <v>32.1</v>
      </c>
      <c r="I2430" t="n">
        <v>100</v>
      </c>
      <c r="J2430" t="n">
        <v>31</v>
      </c>
      <c r="K2430" t="n">
        <v>70.7</v>
      </c>
      <c r="L2430" t="n">
        <v>71.59999999999999</v>
      </c>
      <c r="M2430" t="n">
        <v>91.40000000000001</v>
      </c>
      <c r="N2430" t="inlineStr">
        <is>
          <t>401–500</t>
        </is>
      </c>
      <c r="O2430" t="inlineStr">
        <is>
          <t>45.4–49.0</t>
        </is>
      </c>
      <c r="P2430" t="n">
        <v>28.6</v>
      </c>
      <c r="Q2430" t="n">
        <v>34.1</v>
      </c>
      <c r="R2430" t="n">
        <v>69.40000000000001</v>
      </c>
      <c r="S2430" t="n">
        <v>58.4</v>
      </c>
      <c r="T2430" t="n">
        <v>80.3</v>
      </c>
      <c r="U2430" t="inlineStr">
        <is>
          <t>18,231</t>
        </is>
      </c>
      <c r="V2430" t="n">
        <v>19.4</v>
      </c>
      <c r="W2430" t="inlineStr">
        <is>
          <t>17%</t>
        </is>
      </c>
      <c r="X2430" t="inlineStr">
        <is>
          <t>58 : 42</t>
        </is>
      </c>
      <c r="Y2430" t="n">
        <v>244</v>
      </c>
      <c r="Z2430" t="n">
        <v>401</v>
      </c>
      <c r="AA2430" t="n">
        <v>47.2</v>
      </c>
      <c r="AB2430" t="inlineStr">
        <is>
          <t>U2429</t>
        </is>
      </c>
      <c r="AC2430" t="inlineStr">
        <is>
          <t>NE</t>
        </is>
      </c>
      <c r="AD2430" t="n">
        <v>41.2</v>
      </c>
      <c r="AE2430" t="n">
        <v>32.1</v>
      </c>
      <c r="AF2430" t="n">
        <v>19.4</v>
      </c>
      <c r="AG2430" t="inlineStr">
        <is>
          <t>1:19.4</t>
        </is>
      </c>
      <c r="AH2430" t="inlineStr">
        <is>
          <t>17%</t>
        </is>
      </c>
      <c r="AI2430" t="n">
        <v>42.8</v>
      </c>
      <c r="AJ2430" t="n">
        <v>40.41</v>
      </c>
    </row>
    <row r="2431">
      <c r="A2431" t="inlineStr">
        <is>
          <t>Viet Nam National University Ho Chi Minh City (VNU-HCM)</t>
        </is>
      </c>
      <c r="B2431" t="inlineStr">
        <is>
          <t>Vietnam</t>
        </is>
      </c>
      <c r="C2431" t="inlineStr">
        <is>
          <t>901-950</t>
        </is>
      </c>
      <c r="D2431" t="inlineStr"/>
      <c r="E2431" t="n">
        <v>18.8</v>
      </c>
      <c r="F2431" t="n">
        <v>24.6</v>
      </c>
      <c r="G2431" t="n">
        <v>5.7</v>
      </c>
      <c r="H2431" t="n">
        <v>2.1</v>
      </c>
      <c r="I2431" t="n">
        <v>4.2</v>
      </c>
      <c r="J2431" t="n">
        <v>1.1</v>
      </c>
      <c r="K2431" t="n">
        <v>45.7</v>
      </c>
      <c r="L2431" t="n">
        <v>24.9</v>
      </c>
      <c r="M2431" t="n">
        <v>4.6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n">
        <v>901</v>
      </c>
      <c r="Z2431" t="inlineStr"/>
      <c r="AA2431" t="inlineStr"/>
      <c r="AB2431" t="inlineStr">
        <is>
          <t>U2430</t>
        </is>
      </c>
      <c r="AC2431" t="inlineStr">
        <is>
          <t>VI</t>
        </is>
      </c>
      <c r="AD2431" t="inlineStr"/>
      <c r="AE2431" t="n">
        <v>2.1</v>
      </c>
      <c r="AF2431" t="inlineStr"/>
      <c r="AG2431" t="inlineStr"/>
      <c r="AH2431" t="inlineStr"/>
      <c r="AI2431" t="n">
        <v>18.8</v>
      </c>
      <c r="AJ2431" t="n">
        <v>14.02</v>
      </c>
    </row>
    <row r="2432">
      <c r="A2432" t="inlineStr">
        <is>
          <t>Vietnam National University (Ho Chi Minh City)</t>
        </is>
      </c>
      <c r="B2432" t="inlineStr">
        <is>
          <t>Vietnam</t>
        </is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>
        <is>
          <t>1501+</t>
        </is>
      </c>
      <c r="O2432" t="inlineStr">
        <is>
          <t>9.7–22.7</t>
        </is>
      </c>
      <c r="P2432" t="n">
        <v>14.6</v>
      </c>
      <c r="Q2432" t="n">
        <v>11.2</v>
      </c>
      <c r="R2432" t="n">
        <v>26.1</v>
      </c>
      <c r="S2432" t="n">
        <v>26.2</v>
      </c>
      <c r="T2432" t="n">
        <v>36.8</v>
      </c>
      <c r="U2432" t="inlineStr">
        <is>
          <t>83,599</t>
        </is>
      </c>
      <c r="V2432" t="n">
        <v>24.5</v>
      </c>
      <c r="W2432" t="inlineStr">
        <is>
          <t>1%</t>
        </is>
      </c>
      <c r="X2432" t="inlineStr">
        <is>
          <t>46 : 54</t>
        </is>
      </c>
      <c r="Y2432" t="inlineStr"/>
      <c r="Z2432" t="n">
        <v>1501</v>
      </c>
      <c r="AA2432" t="n">
        <v>16.2</v>
      </c>
      <c r="AB2432" t="inlineStr">
        <is>
          <t>U2431</t>
        </is>
      </c>
      <c r="AC2432" t="inlineStr">
        <is>
          <t>VI</t>
        </is>
      </c>
      <c r="AD2432" t="n">
        <v>16.2</v>
      </c>
      <c r="AE2432" t="n">
        <v>26.1</v>
      </c>
      <c r="AF2432" t="n">
        <v>24.5</v>
      </c>
      <c r="AG2432" t="inlineStr">
        <is>
          <t>1:24.5</t>
        </is>
      </c>
      <c r="AH2432" t="inlineStr">
        <is>
          <t>1%</t>
        </is>
      </c>
      <c r="AI2432" t="inlineStr"/>
      <c r="AJ2432" t="n">
        <v>16.07</v>
      </c>
    </row>
    <row r="2433">
      <c r="A2433" t="inlineStr">
        <is>
          <t xml:space="preserve">Vietnam National University, Hanoi </t>
        </is>
      </c>
      <c r="B2433" t="inlineStr">
        <is>
          <t>Vietnam</t>
        </is>
      </c>
      <c r="C2433" t="inlineStr">
        <is>
          <t>851-900</t>
        </is>
      </c>
      <c r="D2433" t="inlineStr"/>
      <c r="E2433" t="n">
        <v>15.3</v>
      </c>
      <c r="F2433" t="n">
        <v>18.7</v>
      </c>
      <c r="G2433" t="n">
        <v>7.6</v>
      </c>
      <c r="H2433" t="n">
        <v>2.4</v>
      </c>
      <c r="I2433" t="n">
        <v>5.5</v>
      </c>
      <c r="J2433" t="n">
        <v>1.2</v>
      </c>
      <c r="K2433" t="n">
        <v>61</v>
      </c>
      <c r="L2433" t="n">
        <v>60.1</v>
      </c>
      <c r="M2433" t="n">
        <v>6.4</v>
      </c>
      <c r="N2433" t="inlineStr">
        <is>
          <t>1201–1500</t>
        </is>
      </c>
      <c r="O2433" t="inlineStr">
        <is>
          <t>22.8–28.2</t>
        </is>
      </c>
      <c r="P2433" t="n">
        <v>20.9</v>
      </c>
      <c r="Q2433" t="n">
        <v>11.2</v>
      </c>
      <c r="R2433" t="n">
        <v>46.8</v>
      </c>
      <c r="S2433" t="n">
        <v>19.1</v>
      </c>
      <c r="T2433" t="n">
        <v>48.9</v>
      </c>
      <c r="U2433" t="inlineStr">
        <is>
          <t>52,005</t>
        </is>
      </c>
      <c r="V2433" t="n">
        <v>15.9</v>
      </c>
      <c r="W2433" t="inlineStr">
        <is>
          <t>1%</t>
        </is>
      </c>
      <c r="X2433" t="inlineStr">
        <is>
          <t>63 : 37</t>
        </is>
      </c>
      <c r="Y2433" t="n">
        <v>851</v>
      </c>
      <c r="Z2433" t="n">
        <v>1201</v>
      </c>
      <c r="AA2433" t="n">
        <v>25.5</v>
      </c>
      <c r="AB2433" t="inlineStr">
        <is>
          <t>U2432</t>
        </is>
      </c>
      <c r="AC2433" t="inlineStr">
        <is>
          <t>VI</t>
        </is>
      </c>
      <c r="AD2433" t="n">
        <v>25.5</v>
      </c>
      <c r="AE2433" t="n">
        <v>2.4</v>
      </c>
      <c r="AF2433" t="n">
        <v>15.9</v>
      </c>
      <c r="AG2433" t="inlineStr">
        <is>
          <t>1:15.9</t>
        </is>
      </c>
      <c r="AH2433" t="inlineStr">
        <is>
          <t>1%</t>
        </is>
      </c>
      <c r="AI2433" t="n">
        <v>15.3</v>
      </c>
      <c r="AJ2433" t="n">
        <v>11.82</v>
      </c>
    </row>
    <row r="2434">
      <c r="A2434" t="inlineStr">
        <is>
          <t>Vignan’s Foundation for Science, Technology and Research</t>
        </is>
      </c>
      <c r="B2434" t="inlineStr">
        <is>
          <t>India</t>
        </is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>
        <is>
          <t>1501+</t>
        </is>
      </c>
      <c r="O2434" t="inlineStr">
        <is>
          <t>9.7–22.7</t>
        </is>
      </c>
      <c r="P2434" t="n">
        <v>22.2</v>
      </c>
      <c r="Q2434" t="n">
        <v>7.6</v>
      </c>
      <c r="R2434" t="n">
        <v>36</v>
      </c>
      <c r="S2434" t="n">
        <v>16.7</v>
      </c>
      <c r="T2434" t="n">
        <v>21.1</v>
      </c>
      <c r="U2434" t="inlineStr">
        <is>
          <t>7,111</t>
        </is>
      </c>
      <c r="V2434" t="n">
        <v>11.3</v>
      </c>
      <c r="W2434" t="inlineStr">
        <is>
          <t>1%</t>
        </is>
      </c>
      <c r="X2434" t="inlineStr">
        <is>
          <t>47 : 53</t>
        </is>
      </c>
      <c r="Y2434" t="inlineStr"/>
      <c r="Z2434" t="n">
        <v>1501</v>
      </c>
      <c r="AA2434" t="n">
        <v>16.2</v>
      </c>
      <c r="AB2434" t="inlineStr">
        <is>
          <t>U2433</t>
        </is>
      </c>
      <c r="AC2434" t="inlineStr">
        <is>
          <t>IN</t>
        </is>
      </c>
      <c r="AD2434" t="n">
        <v>16.2</v>
      </c>
      <c r="AE2434" t="n">
        <v>36</v>
      </c>
      <c r="AF2434" t="n">
        <v>11.3</v>
      </c>
      <c r="AG2434" t="inlineStr">
        <is>
          <t>1:11.3</t>
        </is>
      </c>
      <c r="AH2434" t="inlineStr">
        <is>
          <t>1%</t>
        </is>
      </c>
      <c r="AI2434" t="inlineStr"/>
      <c r="AJ2434" t="n">
        <v>13.39</v>
      </c>
    </row>
    <row r="2435">
      <c r="A2435" t="inlineStr">
        <is>
          <t>Vilnius Gediminas Technical University</t>
        </is>
      </c>
      <c r="B2435" t="inlineStr">
        <is>
          <t>Lithuania</t>
        </is>
      </c>
      <c r="C2435" t="inlineStr">
        <is>
          <t>851-900</t>
        </is>
      </c>
      <c r="D2435" t="inlineStr"/>
      <c r="E2435" t="n">
        <v>8.699999999999999</v>
      </c>
      <c r="F2435" t="n">
        <v>13.8</v>
      </c>
      <c r="G2435" t="n">
        <v>37.7</v>
      </c>
      <c r="H2435" t="n">
        <v>7.8</v>
      </c>
      <c r="I2435" t="n">
        <v>14.7</v>
      </c>
      <c r="J2435" t="n">
        <v>32.9</v>
      </c>
      <c r="K2435" t="n">
        <v>41.4</v>
      </c>
      <c r="L2435" t="n">
        <v>6.9</v>
      </c>
      <c r="M2435" t="n">
        <v>2</v>
      </c>
      <c r="N2435" t="inlineStr">
        <is>
          <t>1201–1500</t>
        </is>
      </c>
      <c r="O2435" t="inlineStr">
        <is>
          <t>22.8–28.2</t>
        </is>
      </c>
      <c r="P2435" t="n">
        <v>22</v>
      </c>
      <c r="Q2435" t="n">
        <v>16.3</v>
      </c>
      <c r="R2435" t="n">
        <v>36</v>
      </c>
      <c r="S2435" t="n">
        <v>57.8</v>
      </c>
      <c r="T2435" t="n">
        <v>47.2</v>
      </c>
      <c r="U2435" t="inlineStr">
        <is>
          <t>8,369</t>
        </is>
      </c>
      <c r="V2435" t="n">
        <v>12.3</v>
      </c>
      <c r="W2435" t="inlineStr">
        <is>
          <t>11%</t>
        </is>
      </c>
      <c r="X2435" t="inlineStr">
        <is>
          <t>34 : 66</t>
        </is>
      </c>
      <c r="Y2435" t="n">
        <v>851</v>
      </c>
      <c r="Z2435" t="n">
        <v>1201</v>
      </c>
      <c r="AA2435" t="n">
        <v>25.5</v>
      </c>
      <c r="AB2435" t="inlineStr">
        <is>
          <t>U2434</t>
        </is>
      </c>
      <c r="AC2435" t="inlineStr">
        <is>
          <t>LI</t>
        </is>
      </c>
      <c r="AD2435" t="n">
        <v>25.5</v>
      </c>
      <c r="AE2435" t="n">
        <v>7.8</v>
      </c>
      <c r="AF2435" t="n">
        <v>12.3</v>
      </c>
      <c r="AG2435" t="inlineStr">
        <is>
          <t>1:12.3</t>
        </is>
      </c>
      <c r="AH2435" t="inlineStr">
        <is>
          <t>11%</t>
        </is>
      </c>
      <c r="AI2435" t="n">
        <v>8.699999999999999</v>
      </c>
      <c r="AJ2435" t="n">
        <v>15.71</v>
      </c>
    </row>
    <row r="2436">
      <c r="A2436" t="inlineStr">
        <is>
          <t xml:space="preserve">Vilnius University </t>
        </is>
      </c>
      <c r="B2436" t="inlineStr">
        <is>
          <t>Lithuania</t>
        </is>
      </c>
      <c r="C2436" t="inlineStr">
        <is>
          <t>439</t>
        </is>
      </c>
      <c r="D2436" t="n">
        <v>27.1</v>
      </c>
      <c r="E2436" t="n">
        <v>19.1</v>
      </c>
      <c r="F2436" t="n">
        <v>23.5</v>
      </c>
      <c r="G2436" t="n">
        <v>74.7</v>
      </c>
      <c r="H2436" t="n">
        <v>3.3</v>
      </c>
      <c r="I2436" t="n">
        <v>12.4</v>
      </c>
      <c r="J2436" t="n">
        <v>13.6</v>
      </c>
      <c r="K2436" t="n">
        <v>75.5</v>
      </c>
      <c r="L2436" t="n">
        <v>83.7</v>
      </c>
      <c r="M2436" t="n">
        <v>27.1</v>
      </c>
      <c r="N2436" t="inlineStr">
        <is>
          <t>801–1000</t>
        </is>
      </c>
      <c r="O2436" t="inlineStr">
        <is>
          <t>32.7–36.9</t>
        </is>
      </c>
      <c r="P2436" t="n">
        <v>26.6</v>
      </c>
      <c r="Q2436" t="n">
        <v>17.5</v>
      </c>
      <c r="R2436" t="n">
        <v>51.4</v>
      </c>
      <c r="S2436" t="n">
        <v>44.4</v>
      </c>
      <c r="T2436" t="n">
        <v>46.7</v>
      </c>
      <c r="U2436" t="inlineStr">
        <is>
          <t>20,901</t>
        </is>
      </c>
      <c r="V2436" t="n">
        <v>9.1</v>
      </c>
      <c r="W2436" t="inlineStr">
        <is>
          <t>9%</t>
        </is>
      </c>
      <c r="X2436" t="inlineStr">
        <is>
          <t>65 : 35</t>
        </is>
      </c>
      <c r="Y2436" t="n">
        <v>439</v>
      </c>
      <c r="Z2436" t="n">
        <v>801</v>
      </c>
      <c r="AA2436" t="n">
        <v>34.8</v>
      </c>
      <c r="AB2436" t="inlineStr">
        <is>
          <t>U2435</t>
        </is>
      </c>
      <c r="AC2436" t="inlineStr">
        <is>
          <t>LI</t>
        </is>
      </c>
      <c r="AD2436" t="n">
        <v>27.1</v>
      </c>
      <c r="AE2436" t="n">
        <v>3.3</v>
      </c>
      <c r="AF2436" t="n">
        <v>9.1</v>
      </c>
      <c r="AG2436" t="inlineStr">
        <is>
          <t>1:9.1</t>
        </is>
      </c>
      <c r="AH2436" t="inlineStr">
        <is>
          <t>9%</t>
        </is>
      </c>
      <c r="AI2436" t="n">
        <v>19.1</v>
      </c>
      <c r="AJ2436" t="n">
        <v>14.86</v>
      </c>
    </row>
    <row r="2437">
      <c r="A2437" t="inlineStr">
        <is>
          <t>Virginia Commonwealth University</t>
        </is>
      </c>
      <c r="B2437" t="inlineStr">
        <is>
          <t>United States</t>
        </is>
      </c>
      <c r="C2437" t="inlineStr">
        <is>
          <t>851-900</t>
        </is>
      </c>
      <c r="D2437" t="inlineStr"/>
      <c r="E2437" t="n">
        <v>7.1</v>
      </c>
      <c r="F2437" t="n">
        <v>8.5</v>
      </c>
      <c r="G2437" t="n">
        <v>38.8</v>
      </c>
      <c r="H2437" t="n">
        <v>12.8</v>
      </c>
      <c r="I2437" t="n">
        <v>9.699999999999999</v>
      </c>
      <c r="J2437" t="n">
        <v>3.2</v>
      </c>
      <c r="K2437" t="n">
        <v>73.5</v>
      </c>
      <c r="L2437" t="n">
        <v>8.199999999999999</v>
      </c>
      <c r="M2437" t="n">
        <v>8.5</v>
      </c>
      <c r="N2437" t="inlineStr">
        <is>
          <t>401–500</t>
        </is>
      </c>
      <c r="O2437" t="inlineStr">
        <is>
          <t>45.4–49.0</t>
        </is>
      </c>
      <c r="P2437" t="n">
        <v>36.4</v>
      </c>
      <c r="Q2437" t="n">
        <v>23.2</v>
      </c>
      <c r="R2437" t="n">
        <v>82.8</v>
      </c>
      <c r="S2437" t="n">
        <v>72.7</v>
      </c>
      <c r="T2437" t="n">
        <v>36.5</v>
      </c>
      <c r="U2437" t="inlineStr">
        <is>
          <t>25,944</t>
        </is>
      </c>
      <c r="V2437" t="n">
        <v>10.6</v>
      </c>
      <c r="W2437" t="inlineStr">
        <is>
          <t>3%</t>
        </is>
      </c>
      <c r="X2437" t="inlineStr">
        <is>
          <t>63 : 37</t>
        </is>
      </c>
      <c r="Y2437" t="n">
        <v>851</v>
      </c>
      <c r="Z2437" t="n">
        <v>401</v>
      </c>
      <c r="AA2437" t="n">
        <v>47.2</v>
      </c>
      <c r="AB2437" t="inlineStr">
        <is>
          <t>U2436</t>
        </is>
      </c>
      <c r="AC2437" t="inlineStr">
        <is>
          <t>UN</t>
        </is>
      </c>
      <c r="AD2437" t="n">
        <v>47.2</v>
      </c>
      <c r="AE2437" t="n">
        <v>12.8</v>
      </c>
      <c r="AF2437" t="n">
        <v>10.6</v>
      </c>
      <c r="AG2437" t="inlineStr">
        <is>
          <t>1:10.6</t>
        </is>
      </c>
      <c r="AH2437" t="inlineStr">
        <is>
          <t>3%</t>
        </is>
      </c>
      <c r="AI2437" t="n">
        <v>7.1</v>
      </c>
      <c r="AJ2437" t="n">
        <v>18.26</v>
      </c>
    </row>
    <row r="2438">
      <c r="A2438" t="inlineStr">
        <is>
          <t>Virginia Polytechnic Institute and State University</t>
        </is>
      </c>
      <c r="B2438" t="inlineStr">
        <is>
          <t>United States</t>
        </is>
      </c>
      <c r="C2438" t="inlineStr">
        <is>
          <t>389</t>
        </is>
      </c>
      <c r="D2438" t="n">
        <v>30.1</v>
      </c>
      <c r="E2438" t="n">
        <v>26.4</v>
      </c>
      <c r="F2438" t="n">
        <v>26.2</v>
      </c>
      <c r="G2438" t="n">
        <v>18.9</v>
      </c>
      <c r="H2438" t="n">
        <v>28.4</v>
      </c>
      <c r="I2438" t="n">
        <v>71.8</v>
      </c>
      <c r="J2438" t="n">
        <v>16.5</v>
      </c>
      <c r="K2438" t="n">
        <v>82.59999999999999</v>
      </c>
      <c r="L2438" t="n">
        <v>24</v>
      </c>
      <c r="M2438" t="n">
        <v>34.8</v>
      </c>
      <c r="N2438" t="inlineStr">
        <is>
          <t>251–300</t>
        </is>
      </c>
      <c r="O2438" t="inlineStr">
        <is>
          <t>53.1–55.8</t>
        </is>
      </c>
      <c r="P2438" t="n">
        <v>42.5</v>
      </c>
      <c r="Q2438" t="n">
        <v>39.4</v>
      </c>
      <c r="R2438" t="n">
        <v>78.8</v>
      </c>
      <c r="S2438" t="n">
        <v>76.7</v>
      </c>
      <c r="T2438" t="n">
        <v>65.40000000000001</v>
      </c>
      <c r="U2438" t="inlineStr">
        <is>
          <t>37,225</t>
        </is>
      </c>
      <c r="V2438" t="n">
        <v>18.6</v>
      </c>
      <c r="W2438" t="inlineStr">
        <is>
          <t>13%</t>
        </is>
      </c>
      <c r="X2438" t="inlineStr">
        <is>
          <t>44 : 56</t>
        </is>
      </c>
      <c r="Y2438" t="n">
        <v>389</v>
      </c>
      <c r="Z2438" t="n">
        <v>251</v>
      </c>
      <c r="AA2438" t="n">
        <v>54.45</v>
      </c>
      <c r="AB2438" t="inlineStr">
        <is>
          <t>U2437</t>
        </is>
      </c>
      <c r="AC2438" t="inlineStr">
        <is>
          <t>UN</t>
        </is>
      </c>
      <c r="AD2438" t="n">
        <v>30.1</v>
      </c>
      <c r="AE2438" t="n">
        <v>28.4</v>
      </c>
      <c r="AF2438" t="n">
        <v>18.6</v>
      </c>
      <c r="AG2438" t="inlineStr">
        <is>
          <t>1:18.6</t>
        </is>
      </c>
      <c r="AH2438" t="inlineStr">
        <is>
          <t>13%</t>
        </is>
      </c>
      <c r="AI2438" t="n">
        <v>26.4</v>
      </c>
      <c r="AJ2438" t="n">
        <v>38.46</v>
      </c>
    </row>
    <row r="2439">
      <c r="A2439" t="inlineStr">
        <is>
          <t>Visvesvaraya National Institute of Technology, Nagpur</t>
        </is>
      </c>
      <c r="B2439" t="inlineStr">
        <is>
          <t>India</t>
        </is>
      </c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>
        <is>
          <t>1201–1500</t>
        </is>
      </c>
      <c r="O2439" t="inlineStr">
        <is>
          <t>22.8–28.2</t>
        </is>
      </c>
      <c r="P2439" t="n">
        <v>24.5</v>
      </c>
      <c r="Q2439" t="n">
        <v>13.4</v>
      </c>
      <c r="R2439" t="n">
        <v>41.8</v>
      </c>
      <c r="S2439" t="n">
        <v>40.4</v>
      </c>
      <c r="T2439" t="n">
        <v>20.1</v>
      </c>
      <c r="U2439" t="inlineStr">
        <is>
          <t>4,512</t>
        </is>
      </c>
      <c r="V2439" t="n">
        <v>15.3</v>
      </c>
      <c r="W2439" t="inlineStr">
        <is>
          <t>2%</t>
        </is>
      </c>
      <c r="X2439" t="inlineStr">
        <is>
          <t>27 : 73</t>
        </is>
      </c>
      <c r="Y2439" t="inlineStr"/>
      <c r="Z2439" t="n">
        <v>1201</v>
      </c>
      <c r="AA2439" t="n">
        <v>25.5</v>
      </c>
      <c r="AB2439" t="inlineStr">
        <is>
          <t>U2438</t>
        </is>
      </c>
      <c r="AC2439" t="inlineStr">
        <is>
          <t>IN</t>
        </is>
      </c>
      <c r="AD2439" t="n">
        <v>25.5</v>
      </c>
      <c r="AE2439" t="n">
        <v>41.8</v>
      </c>
      <c r="AF2439" t="n">
        <v>15.3</v>
      </c>
      <c r="AG2439" t="inlineStr">
        <is>
          <t>1:15.3</t>
        </is>
      </c>
      <c r="AH2439" t="inlineStr">
        <is>
          <t>2%</t>
        </is>
      </c>
      <c r="AI2439" t="inlineStr"/>
      <c r="AJ2439" t="n">
        <v>17.94</v>
      </c>
    </row>
    <row r="2440">
      <c r="A2440" t="inlineStr">
        <is>
          <t>VIT University</t>
        </is>
      </c>
      <c r="B2440" t="inlineStr">
        <is>
          <t>India</t>
        </is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>
        <is>
          <t>601–800</t>
        </is>
      </c>
      <c r="O2440" t="inlineStr">
        <is>
          <t>37.0–41.8</t>
        </is>
      </c>
      <c r="P2440" t="n">
        <v>27.9</v>
      </c>
      <c r="Q2440" t="n">
        <v>15.6</v>
      </c>
      <c r="R2440" t="n">
        <v>68.3</v>
      </c>
      <c r="S2440" t="n">
        <v>28.9</v>
      </c>
      <c r="T2440" t="n">
        <v>46.2</v>
      </c>
      <c r="U2440" t="inlineStr">
        <is>
          <t>37,686</t>
        </is>
      </c>
      <c r="V2440" t="n">
        <v>18.8</v>
      </c>
      <c r="W2440" t="inlineStr">
        <is>
          <t>5%</t>
        </is>
      </c>
      <c r="X2440" t="inlineStr">
        <is>
          <t>30 : 70</t>
        </is>
      </c>
      <c r="Y2440" t="inlineStr"/>
      <c r="Z2440" t="n">
        <v>601</v>
      </c>
      <c r="AA2440" t="n">
        <v>39.4</v>
      </c>
      <c r="AB2440" t="inlineStr">
        <is>
          <t>U2439</t>
        </is>
      </c>
      <c r="AC2440" t="inlineStr">
        <is>
          <t>IN</t>
        </is>
      </c>
      <c r="AD2440" t="n">
        <v>39.4</v>
      </c>
      <c r="AE2440" t="n">
        <v>68.3</v>
      </c>
      <c r="AF2440" t="n">
        <v>18.8</v>
      </c>
      <c r="AG2440" t="inlineStr">
        <is>
          <t>1:18.8</t>
        </is>
      </c>
      <c r="AH2440" t="inlineStr">
        <is>
          <t>5%</t>
        </is>
      </c>
      <c r="AI2440" t="inlineStr"/>
      <c r="AJ2440" t="n">
        <v>33.44</v>
      </c>
    </row>
    <row r="2441">
      <c r="A2441" t="inlineStr">
        <is>
          <t>Vita-Salute San Raffaele University</t>
        </is>
      </c>
      <c r="B2441" t="inlineStr">
        <is>
          <t>Italy</t>
        </is>
      </c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>
        <is>
          <t>251–300</t>
        </is>
      </c>
      <c r="O2441" t="inlineStr">
        <is>
          <t>53.1–55.8</t>
        </is>
      </c>
      <c r="P2441" t="n">
        <v>34.6</v>
      </c>
      <c r="Q2441" t="n">
        <v>26.9</v>
      </c>
      <c r="R2441" t="n">
        <v>98.3</v>
      </c>
      <c r="S2441" t="n">
        <v>66.8</v>
      </c>
      <c r="T2441" t="n">
        <v>49.8</v>
      </c>
      <c r="U2441" t="inlineStr">
        <is>
          <t>4,087</t>
        </is>
      </c>
      <c r="V2441" t="n">
        <v>13.9</v>
      </c>
      <c r="W2441" t="inlineStr">
        <is>
          <t>5%</t>
        </is>
      </c>
      <c r="X2441" t="inlineStr">
        <is>
          <t>62 : 38</t>
        </is>
      </c>
      <c r="Y2441" t="inlineStr"/>
      <c r="Z2441" t="n">
        <v>251</v>
      </c>
      <c r="AA2441" t="n">
        <v>54.45</v>
      </c>
      <c r="AB2441" t="inlineStr">
        <is>
          <t>U2440</t>
        </is>
      </c>
      <c r="AC2441" t="inlineStr">
        <is>
          <t>IT</t>
        </is>
      </c>
      <c r="AD2441" t="n">
        <v>54.45</v>
      </c>
      <c r="AE2441" t="n">
        <v>98.3</v>
      </c>
      <c r="AF2441" t="n">
        <v>13.9</v>
      </c>
      <c r="AG2441" t="inlineStr">
        <is>
          <t>1:13.9</t>
        </is>
      </c>
      <c r="AH2441" t="inlineStr">
        <is>
          <t>5%</t>
        </is>
      </c>
      <c r="AI2441" t="inlineStr"/>
      <c r="AJ2441" t="n">
        <v>49.32</v>
      </c>
    </row>
    <row r="2442">
      <c r="A2442" t="inlineStr">
        <is>
          <t>Volgograd State Technical University</t>
        </is>
      </c>
      <c r="B2442" t="inlineStr">
        <is>
          <t>Russian Federation</t>
        </is>
      </c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>
        <is>
          <t>1501+</t>
        </is>
      </c>
      <c r="O2442" t="inlineStr">
        <is>
          <t>9.7–22.7</t>
        </is>
      </c>
      <c r="P2442" t="n">
        <v>17.8</v>
      </c>
      <c r="Q2442" t="n">
        <v>9.300000000000001</v>
      </c>
      <c r="R2442" t="n">
        <v>22.9</v>
      </c>
      <c r="S2442" t="n">
        <v>18.5</v>
      </c>
      <c r="T2442" t="n">
        <v>27.9</v>
      </c>
      <c r="U2442" t="inlineStr">
        <is>
          <t>12,884</t>
        </is>
      </c>
      <c r="V2442" t="n">
        <v>13.9</v>
      </c>
      <c r="W2442" t="inlineStr">
        <is>
          <t>10%</t>
        </is>
      </c>
      <c r="X2442" t="inlineStr">
        <is>
          <t>30 : 70</t>
        </is>
      </c>
      <c r="Y2442" t="inlineStr"/>
      <c r="Z2442" t="n">
        <v>1501</v>
      </c>
      <c r="AA2442" t="n">
        <v>16.2</v>
      </c>
      <c r="AB2442" t="inlineStr">
        <is>
          <t>U2441</t>
        </is>
      </c>
      <c r="AC2442" t="inlineStr">
        <is>
          <t>RU</t>
        </is>
      </c>
      <c r="AD2442" t="n">
        <v>16.2</v>
      </c>
      <c r="AE2442" t="n">
        <v>22.9</v>
      </c>
      <c r="AF2442" t="n">
        <v>13.9</v>
      </c>
      <c r="AG2442" t="inlineStr">
        <is>
          <t>1:13.9</t>
        </is>
      </c>
      <c r="AH2442" t="inlineStr">
        <is>
          <t>10%</t>
        </is>
      </c>
      <c r="AI2442" t="inlineStr"/>
      <c r="AJ2442" t="n">
        <v>11.95</v>
      </c>
    </row>
    <row r="2443">
      <c r="A2443" t="inlineStr">
        <is>
          <t>Volgograd State University</t>
        </is>
      </c>
      <c r="B2443" t="inlineStr">
        <is>
          <t>Russian Federation</t>
        </is>
      </c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>
        <is>
          <t>1201–1500</t>
        </is>
      </c>
      <c r="O2443" t="inlineStr">
        <is>
          <t>22.8–28.2</t>
        </is>
      </c>
      <c r="P2443" t="n">
        <v>24</v>
      </c>
      <c r="Q2443" t="n">
        <v>12.9</v>
      </c>
      <c r="R2443" t="n">
        <v>34.5</v>
      </c>
      <c r="S2443" t="n">
        <v>15.8</v>
      </c>
      <c r="T2443" t="n">
        <v>27.9</v>
      </c>
      <c r="U2443" t="inlineStr">
        <is>
          <t>6,577</t>
        </is>
      </c>
      <c r="V2443" t="n">
        <v>10.5</v>
      </c>
      <c r="W2443" t="inlineStr">
        <is>
          <t>5%</t>
        </is>
      </c>
      <c r="X2443" t="inlineStr">
        <is>
          <t>43 : 57</t>
        </is>
      </c>
      <c r="Y2443" t="inlineStr"/>
      <c r="Z2443" t="n">
        <v>1201</v>
      </c>
      <c r="AA2443" t="n">
        <v>25.5</v>
      </c>
      <c r="AB2443" t="inlineStr">
        <is>
          <t>U2442</t>
        </is>
      </c>
      <c r="AC2443" t="inlineStr">
        <is>
          <t>RU</t>
        </is>
      </c>
      <c r="AD2443" t="n">
        <v>25.5</v>
      </c>
      <c r="AE2443" t="n">
        <v>34.5</v>
      </c>
      <c r="AF2443" t="n">
        <v>10.5</v>
      </c>
      <c r="AG2443" t="inlineStr">
        <is>
          <t>1:10.5</t>
        </is>
      </c>
      <c r="AH2443" t="inlineStr">
        <is>
          <t>5%</t>
        </is>
      </c>
      <c r="AI2443" t="inlineStr"/>
      <c r="AJ2443" t="n">
        <v>17.36</v>
      </c>
    </row>
    <row r="2444">
      <c r="A2444" t="inlineStr">
        <is>
          <t>Voronezh State Technical University</t>
        </is>
      </c>
      <c r="B2444" t="inlineStr">
        <is>
          <t>Russian Federation</t>
        </is>
      </c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>
        <is>
          <t>1501+</t>
        </is>
      </c>
      <c r="O2444" t="inlineStr">
        <is>
          <t>9.7–22.7</t>
        </is>
      </c>
      <c r="P2444" t="n">
        <v>20.5</v>
      </c>
      <c r="Q2444" t="n">
        <v>8.5</v>
      </c>
      <c r="R2444" t="n">
        <v>29.8</v>
      </c>
      <c r="S2444" t="n">
        <v>18.8</v>
      </c>
      <c r="T2444" t="n">
        <v>23.9</v>
      </c>
      <c r="U2444" t="inlineStr">
        <is>
          <t>10,060</t>
        </is>
      </c>
      <c r="V2444" t="n">
        <v>13.5</v>
      </c>
      <c r="W2444" t="inlineStr">
        <is>
          <t>6%</t>
        </is>
      </c>
      <c r="X2444" t="inlineStr">
        <is>
          <t>36 : 64</t>
        </is>
      </c>
      <c r="Y2444" t="inlineStr"/>
      <c r="Z2444" t="n">
        <v>1501</v>
      </c>
      <c r="AA2444" t="n">
        <v>16.2</v>
      </c>
      <c r="AB2444" t="inlineStr">
        <is>
          <t>U2443</t>
        </is>
      </c>
      <c r="AC2444" t="inlineStr">
        <is>
          <t>RU</t>
        </is>
      </c>
      <c r="AD2444" t="n">
        <v>16.2</v>
      </c>
      <c r="AE2444" t="n">
        <v>29.8</v>
      </c>
      <c r="AF2444" t="n">
        <v>13.5</v>
      </c>
      <c r="AG2444" t="inlineStr">
        <is>
          <t>1:13.5</t>
        </is>
      </c>
      <c r="AH2444" t="inlineStr">
        <is>
          <t>6%</t>
        </is>
      </c>
      <c r="AI2444" t="inlineStr"/>
      <c r="AJ2444" t="n">
        <v>12.66</v>
      </c>
    </row>
    <row r="2445">
      <c r="A2445" t="inlineStr">
        <is>
          <t>Voronezh State University</t>
        </is>
      </c>
      <c r="B2445" t="inlineStr">
        <is>
          <t>Russian Federation</t>
        </is>
      </c>
      <c r="C2445" t="inlineStr">
        <is>
          <t>1201-1400</t>
        </is>
      </c>
      <c r="D2445" t="inlineStr"/>
      <c r="E2445" t="n">
        <v>5.4</v>
      </c>
      <c r="F2445" t="n">
        <v>2.7</v>
      </c>
      <c r="G2445" t="n">
        <v>21.8</v>
      </c>
      <c r="H2445" t="n">
        <v>1.3</v>
      </c>
      <c r="I2445" t="n">
        <v>3</v>
      </c>
      <c r="J2445" t="n">
        <v>21.4</v>
      </c>
      <c r="K2445" t="n">
        <v>12.1</v>
      </c>
      <c r="L2445" t="n">
        <v>3</v>
      </c>
      <c r="M2445" t="n">
        <v>1</v>
      </c>
      <c r="N2445" t="inlineStr">
        <is>
          <t>1501+</t>
        </is>
      </c>
      <c r="O2445" t="inlineStr">
        <is>
          <t>9.7–22.7</t>
        </is>
      </c>
      <c r="P2445" t="n">
        <v>22.7</v>
      </c>
      <c r="Q2445" t="n">
        <v>10.7</v>
      </c>
      <c r="R2445" t="n">
        <v>7.7</v>
      </c>
      <c r="S2445" t="n">
        <v>17.4</v>
      </c>
      <c r="T2445" t="n">
        <v>37</v>
      </c>
      <c r="U2445" t="inlineStr">
        <is>
          <t>16,386</t>
        </is>
      </c>
      <c r="V2445" t="n">
        <v>11.1</v>
      </c>
      <c r="W2445" t="inlineStr">
        <is>
          <t>15%</t>
        </is>
      </c>
      <c r="X2445" t="inlineStr">
        <is>
          <t>52 : 48</t>
        </is>
      </c>
      <c r="Y2445" t="n">
        <v>1201</v>
      </c>
      <c r="Z2445" t="n">
        <v>1501</v>
      </c>
      <c r="AA2445" t="n">
        <v>16.2</v>
      </c>
      <c r="AB2445" t="inlineStr">
        <is>
          <t>U2444</t>
        </is>
      </c>
      <c r="AC2445" t="inlineStr">
        <is>
          <t>RU</t>
        </is>
      </c>
      <c r="AD2445" t="n">
        <v>16.2</v>
      </c>
      <c r="AE2445" t="n">
        <v>1.3</v>
      </c>
      <c r="AF2445" t="n">
        <v>11.1</v>
      </c>
      <c r="AG2445" t="inlineStr">
        <is>
          <t>1:11.1</t>
        </is>
      </c>
      <c r="AH2445" t="inlineStr">
        <is>
          <t>15%</t>
        </is>
      </c>
      <c r="AI2445" t="n">
        <v>5.4</v>
      </c>
      <c r="AJ2445" t="n">
        <v>8.34</v>
      </c>
    </row>
    <row r="2446">
      <c r="A2446" t="inlineStr">
        <is>
          <t>Vrije Universiteit Amsterdam</t>
        </is>
      </c>
      <c r="B2446" t="inlineStr">
        <is>
          <t>Netherlands</t>
        </is>
      </c>
      <c r="C2446" t="inlineStr">
        <is>
          <t>221</t>
        </is>
      </c>
      <c r="D2446" t="n">
        <v>43.8</v>
      </c>
      <c r="E2446" t="n">
        <v>39.4</v>
      </c>
      <c r="F2446" t="n">
        <v>17.8</v>
      </c>
      <c r="G2446" t="n">
        <v>21.3</v>
      </c>
      <c r="H2446" t="n">
        <v>63.7</v>
      </c>
      <c r="I2446" t="n">
        <v>67.3</v>
      </c>
      <c r="J2446" t="n">
        <v>47.4</v>
      </c>
      <c r="K2446" t="n">
        <v>89</v>
      </c>
      <c r="L2446" t="n">
        <v>45.1</v>
      </c>
      <c r="M2446" t="n">
        <v>50.8</v>
      </c>
      <c r="N2446" t="inlineStr">
        <is>
          <t>125</t>
        </is>
      </c>
      <c r="O2446" t="inlineStr">
        <is>
          <t>64.7</t>
        </is>
      </c>
      <c r="P2446" t="n">
        <v>40.4</v>
      </c>
      <c r="Q2446" t="n">
        <v>51</v>
      </c>
      <c r="R2446" t="n">
        <v>93.40000000000001</v>
      </c>
      <c r="S2446" t="n">
        <v>91.5</v>
      </c>
      <c r="T2446" t="n">
        <v>84.3</v>
      </c>
      <c r="U2446" t="inlineStr">
        <is>
          <t>31,704</t>
        </is>
      </c>
      <c r="V2446" t="n">
        <v>19.2</v>
      </c>
      <c r="W2446" t="inlineStr">
        <is>
          <t>18%</t>
        </is>
      </c>
      <c r="X2446" t="inlineStr">
        <is>
          <t>57 : 43</t>
        </is>
      </c>
      <c r="Y2446" t="n">
        <v>221</v>
      </c>
      <c r="Z2446" t="n">
        <v>125</v>
      </c>
      <c r="AA2446" t="n">
        <v>64.7</v>
      </c>
      <c r="AB2446" t="inlineStr">
        <is>
          <t>U2445</t>
        </is>
      </c>
      <c r="AC2446" t="inlineStr">
        <is>
          <t>NE</t>
        </is>
      </c>
      <c r="AD2446" t="n">
        <v>43.8</v>
      </c>
      <c r="AE2446" t="n">
        <v>63.7</v>
      </c>
      <c r="AF2446" t="n">
        <v>19.2</v>
      </c>
      <c r="AG2446" t="inlineStr">
        <is>
          <t>1:19.2</t>
        </is>
      </c>
      <c r="AH2446" t="inlineStr">
        <is>
          <t>18%</t>
        </is>
      </c>
      <c r="AI2446" t="n">
        <v>39.4</v>
      </c>
      <c r="AJ2446" t="n">
        <v>59.81</v>
      </c>
    </row>
    <row r="2447">
      <c r="A2447" t="inlineStr">
        <is>
          <t>Vrije Universiteit Brussel (VUB)</t>
        </is>
      </c>
      <c r="B2447" t="inlineStr">
        <is>
          <t>Belgium</t>
        </is>
      </c>
      <c r="C2447" t="inlineStr">
        <is>
          <t>278</t>
        </is>
      </c>
      <c r="D2447" t="n">
        <v>38.1</v>
      </c>
      <c r="E2447" t="n">
        <v>23.3</v>
      </c>
      <c r="F2447" t="n">
        <v>13.7</v>
      </c>
      <c r="G2447" t="n">
        <v>76.09999999999999</v>
      </c>
      <c r="H2447" t="n">
        <v>18.2</v>
      </c>
      <c r="I2447" t="n">
        <v>93.59999999999999</v>
      </c>
      <c r="J2447" t="n">
        <v>58.2</v>
      </c>
      <c r="K2447" t="n">
        <v>93.09999999999999</v>
      </c>
      <c r="L2447" t="n">
        <v>51.8</v>
      </c>
      <c r="M2447" t="n">
        <v>72.09999999999999</v>
      </c>
      <c r="N2447" t="inlineStr">
        <is>
          <t>201–250</t>
        </is>
      </c>
      <c r="O2447" t="inlineStr">
        <is>
          <t>55.9–58.6</t>
        </is>
      </c>
      <c r="P2447" t="n">
        <v>37.8</v>
      </c>
      <c r="Q2447" t="n">
        <v>42.6</v>
      </c>
      <c r="R2447" t="n">
        <v>80.90000000000001</v>
      </c>
      <c r="S2447" t="n">
        <v>92.40000000000001</v>
      </c>
      <c r="T2447" t="n">
        <v>78.5</v>
      </c>
      <c r="U2447" t="inlineStr">
        <is>
          <t>14,931</t>
        </is>
      </c>
      <c r="V2447" t="n">
        <v>35.1</v>
      </c>
      <c r="W2447" t="inlineStr">
        <is>
          <t>23%</t>
        </is>
      </c>
      <c r="X2447" t="inlineStr">
        <is>
          <t>58 : 42</t>
        </is>
      </c>
      <c r="Y2447" t="n">
        <v>278</v>
      </c>
      <c r="Z2447" t="n">
        <v>201</v>
      </c>
      <c r="AA2447" t="n">
        <v>57.25</v>
      </c>
      <c r="AB2447" t="inlineStr">
        <is>
          <t>U2446</t>
        </is>
      </c>
      <c r="AC2447" t="inlineStr">
        <is>
          <t>BE</t>
        </is>
      </c>
      <c r="AD2447" t="n">
        <v>38.1</v>
      </c>
      <c r="AE2447" t="n">
        <v>18.2</v>
      </c>
      <c r="AF2447" t="n">
        <v>35.1</v>
      </c>
      <c r="AG2447" t="inlineStr">
        <is>
          <t>1:35.1</t>
        </is>
      </c>
      <c r="AH2447" t="inlineStr">
        <is>
          <t>23%</t>
        </is>
      </c>
      <c r="AI2447" t="n">
        <v>23.3</v>
      </c>
      <c r="AJ2447" t="n">
        <v>40.22</v>
      </c>
    </row>
    <row r="2448">
      <c r="A2448" t="inlineStr">
        <is>
          <t>VSB - Technical University of Ostrava</t>
        </is>
      </c>
      <c r="B2448" t="inlineStr">
        <is>
          <t>Czech Republic</t>
        </is>
      </c>
      <c r="C2448" t="inlineStr">
        <is>
          <t>1001-1200</t>
        </is>
      </c>
      <c r="D2448" t="inlineStr"/>
      <c r="E2448" t="n">
        <v>6</v>
      </c>
      <c r="F2448" t="n">
        <v>10.5</v>
      </c>
      <c r="G2448" t="n">
        <v>18.6</v>
      </c>
      <c r="H2448" t="n">
        <v>4.7</v>
      </c>
      <c r="I2448" t="n">
        <v>11.3</v>
      </c>
      <c r="J2448" t="n">
        <v>28.3</v>
      </c>
      <c r="K2448" t="n">
        <v>50.2</v>
      </c>
      <c r="L2448" t="n">
        <v>3.9</v>
      </c>
      <c r="M2448" t="n">
        <v>4.6</v>
      </c>
      <c r="N2448" t="inlineStr">
        <is>
          <t>1201–1500</t>
        </is>
      </c>
      <c r="O2448" t="inlineStr">
        <is>
          <t>22.8–28.2</t>
        </is>
      </c>
      <c r="P2448" t="n">
        <v>26.8</v>
      </c>
      <c r="Q2448" t="n">
        <v>19.7</v>
      </c>
      <c r="R2448" t="n">
        <v>27.8</v>
      </c>
      <c r="S2448" t="n">
        <v>31</v>
      </c>
      <c r="T2448" t="n">
        <v>46.9</v>
      </c>
      <c r="U2448" t="inlineStr">
        <is>
          <t>11,390</t>
        </is>
      </c>
      <c r="V2448" t="n">
        <v>14.7</v>
      </c>
      <c r="W2448" t="inlineStr">
        <is>
          <t>13%</t>
        </is>
      </c>
      <c r="X2448" t="inlineStr">
        <is>
          <t>33 : 67</t>
        </is>
      </c>
      <c r="Y2448" t="n">
        <v>1001</v>
      </c>
      <c r="Z2448" t="n">
        <v>1201</v>
      </c>
      <c r="AA2448" t="n">
        <v>25.5</v>
      </c>
      <c r="AB2448" t="inlineStr">
        <is>
          <t>U2447</t>
        </is>
      </c>
      <c r="AC2448" t="inlineStr">
        <is>
          <t>CZ</t>
        </is>
      </c>
      <c r="AD2448" t="n">
        <v>25.5</v>
      </c>
      <c r="AE2448" t="n">
        <v>4.7</v>
      </c>
      <c r="AF2448" t="n">
        <v>14.7</v>
      </c>
      <c r="AG2448" t="inlineStr">
        <is>
          <t>1:14.7</t>
        </is>
      </c>
      <c r="AH2448" t="inlineStr">
        <is>
          <t>13%</t>
        </is>
      </c>
      <c r="AI2448" t="n">
        <v>6</v>
      </c>
      <c r="AJ2448" t="n">
        <v>16.48</v>
      </c>
    </row>
    <row r="2449">
      <c r="A2449" t="inlineStr">
        <is>
          <t>Vytautas Magnus University</t>
        </is>
      </c>
      <c r="B2449" t="inlineStr">
        <is>
          <t>Lithuania</t>
        </is>
      </c>
      <c r="C2449" t="inlineStr">
        <is>
          <t>741-750</t>
        </is>
      </c>
      <c r="D2449" t="inlineStr"/>
      <c r="E2449" t="n">
        <v>10.4</v>
      </c>
      <c r="F2449" t="n">
        <v>16.8</v>
      </c>
      <c r="G2449" t="n">
        <v>41.8</v>
      </c>
      <c r="H2449" t="n">
        <v>2.4</v>
      </c>
      <c r="I2449" t="n">
        <v>26.7</v>
      </c>
      <c r="J2449" t="n">
        <v>47.8</v>
      </c>
      <c r="K2449" t="n">
        <v>48.1</v>
      </c>
      <c r="L2449" t="n">
        <v>21.6</v>
      </c>
      <c r="M2449" t="n">
        <v>6.7</v>
      </c>
      <c r="N2449" t="inlineStr">
        <is>
          <t>1201–1500</t>
        </is>
      </c>
      <c r="O2449" t="inlineStr">
        <is>
          <t>22.8–28.2</t>
        </is>
      </c>
      <c r="P2449" t="n">
        <v>22.4</v>
      </c>
      <c r="Q2449" t="n">
        <v>12.3</v>
      </c>
      <c r="R2449" t="n">
        <v>27.4</v>
      </c>
      <c r="S2449" t="n">
        <v>20.9</v>
      </c>
      <c r="T2449" t="n">
        <v>61.9</v>
      </c>
      <c r="U2449" t="inlineStr">
        <is>
          <t>8,210</t>
        </is>
      </c>
      <c r="V2449" t="n">
        <v>11.2</v>
      </c>
      <c r="W2449" t="inlineStr">
        <is>
          <t>15%</t>
        </is>
      </c>
      <c r="X2449" t="inlineStr">
        <is>
          <t>61 : 39</t>
        </is>
      </c>
      <c r="Y2449" t="n">
        <v>741</v>
      </c>
      <c r="Z2449" t="n">
        <v>1201</v>
      </c>
      <c r="AA2449" t="n">
        <v>25.5</v>
      </c>
      <c r="AB2449" t="inlineStr">
        <is>
          <t>U2448</t>
        </is>
      </c>
      <c r="AC2449" t="inlineStr">
        <is>
          <t>LI</t>
        </is>
      </c>
      <c r="AD2449" t="n">
        <v>25.5</v>
      </c>
      <c r="AE2449" t="n">
        <v>2.4</v>
      </c>
      <c r="AF2449" t="n">
        <v>11.2</v>
      </c>
      <c r="AG2449" t="inlineStr">
        <is>
          <t>1:11.2</t>
        </is>
      </c>
      <c r="AH2449" t="inlineStr">
        <is>
          <t>15%</t>
        </is>
      </c>
      <c r="AI2449" t="n">
        <v>10.4</v>
      </c>
      <c r="AJ2449" t="n">
        <v>15.54</v>
      </c>
    </row>
    <row r="2450">
      <c r="A2450" t="inlineStr">
        <is>
          <t>Wageningen University &amp; Research</t>
        </is>
      </c>
      <c r="B2450" t="inlineStr">
        <is>
          <t>Netherlands</t>
        </is>
      </c>
      <c r="C2450" t="inlineStr">
        <is>
          <t>155</t>
        </is>
      </c>
      <c r="D2450" t="n">
        <v>51.6</v>
      </c>
      <c r="E2450" t="n">
        <v>42.1</v>
      </c>
      <c r="F2450" t="n">
        <v>23.8</v>
      </c>
      <c r="G2450" t="n">
        <v>98.59999999999999</v>
      </c>
      <c r="H2450" t="n">
        <v>41.3</v>
      </c>
      <c r="I2450" t="n">
        <v>59.4</v>
      </c>
      <c r="J2450" t="n">
        <v>81.2</v>
      </c>
      <c r="K2450" t="n">
        <v>97.90000000000001</v>
      </c>
      <c r="L2450" t="n">
        <v>21.1</v>
      </c>
      <c r="M2450" t="n">
        <v>92.3</v>
      </c>
      <c r="N2450">
        <f>64</f>
        <v/>
      </c>
      <c r="O2450" t="inlineStr">
        <is>
          <t>73.0</t>
        </is>
      </c>
      <c r="P2450" t="n">
        <v>56.4</v>
      </c>
      <c r="Q2450" t="n">
        <v>59.8</v>
      </c>
      <c r="R2450" t="n">
        <v>93.8</v>
      </c>
      <c r="S2450" t="n">
        <v>98.8</v>
      </c>
      <c r="T2450" t="n">
        <v>92.40000000000001</v>
      </c>
      <c r="U2450" t="inlineStr">
        <is>
          <t>15,899</t>
        </is>
      </c>
      <c r="V2450" t="n">
        <v>18.1</v>
      </c>
      <c r="W2450" t="inlineStr">
        <is>
          <t>28%</t>
        </is>
      </c>
      <c r="X2450" t="inlineStr">
        <is>
          <t>54 : 46</t>
        </is>
      </c>
      <c r="Y2450" t="n">
        <v>155</v>
      </c>
      <c r="Z2450" t="n">
        <v>64</v>
      </c>
      <c r="AA2450" t="n">
        <v>73</v>
      </c>
      <c r="AB2450" t="inlineStr">
        <is>
          <t>U2449</t>
        </is>
      </c>
      <c r="AC2450" t="inlineStr">
        <is>
          <t>NE</t>
        </is>
      </c>
      <c r="AD2450" t="n">
        <v>51.6</v>
      </c>
      <c r="AE2450" t="n">
        <v>41.3</v>
      </c>
      <c r="AF2450" t="n">
        <v>18.1</v>
      </c>
      <c r="AG2450" t="inlineStr">
        <is>
          <t>1:18.1</t>
        </is>
      </c>
      <c r="AH2450" t="inlineStr">
        <is>
          <t>28%</t>
        </is>
      </c>
      <c r="AI2450" t="n">
        <v>42.1</v>
      </c>
      <c r="AJ2450" t="n">
        <v>59.6</v>
      </c>
    </row>
    <row r="2451">
      <c r="A2451" t="inlineStr">
        <is>
          <t>Wakayama Medical University</t>
        </is>
      </c>
      <c r="B2451" t="inlineStr">
        <is>
          <t>Japan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>
        <is>
          <t>1001–1200</t>
        </is>
      </c>
      <c r="O2451" t="inlineStr">
        <is>
          <t>28.3–32.6</t>
        </is>
      </c>
      <c r="P2451" t="n">
        <v>33.8</v>
      </c>
      <c r="Q2451" t="n">
        <v>12.7</v>
      </c>
      <c r="R2451" t="n">
        <v>49.5</v>
      </c>
      <c r="S2451" t="n">
        <v>59.1</v>
      </c>
      <c r="T2451" t="n">
        <v>19.6</v>
      </c>
      <c r="U2451" t="inlineStr">
        <is>
          <t>1,810</t>
        </is>
      </c>
      <c r="V2451" t="n">
        <v>4.3</v>
      </c>
      <c r="W2451" t="inlineStr">
        <is>
          <t>0%</t>
        </is>
      </c>
      <c r="X2451" t="inlineStr">
        <is>
          <t>45 : 55</t>
        </is>
      </c>
      <c r="Y2451" t="inlineStr"/>
      <c r="Z2451" t="n">
        <v>1001</v>
      </c>
      <c r="AA2451" t="n">
        <v>30.45</v>
      </c>
      <c r="AB2451" t="inlineStr">
        <is>
          <t>U2450</t>
        </is>
      </c>
      <c r="AC2451" t="inlineStr">
        <is>
          <t>JA</t>
        </is>
      </c>
      <c r="AD2451" t="n">
        <v>30.45</v>
      </c>
      <c r="AE2451" t="n">
        <v>49.5</v>
      </c>
      <c r="AF2451" t="n">
        <v>4.3</v>
      </c>
      <c r="AG2451" t="inlineStr">
        <is>
          <t>1:4.3</t>
        </is>
      </c>
      <c r="AH2451" t="inlineStr">
        <is>
          <t>0%</t>
        </is>
      </c>
      <c r="AI2451" t="inlineStr"/>
      <c r="AJ2451" t="n">
        <v>19.79</v>
      </c>
    </row>
    <row r="2452">
      <c r="A2452" t="inlineStr">
        <is>
          <t>Wake Forest University</t>
        </is>
      </c>
      <c r="B2452" t="inlineStr">
        <is>
          <t>United States</t>
        </is>
      </c>
      <c r="C2452" t="inlineStr">
        <is>
          <t>741-750</t>
        </is>
      </c>
      <c r="D2452" t="inlineStr"/>
      <c r="E2452" t="n">
        <v>5.1</v>
      </c>
      <c r="F2452" t="n">
        <v>6.3</v>
      </c>
      <c r="G2452" t="n">
        <v>100</v>
      </c>
      <c r="H2452" t="n">
        <v>8.6</v>
      </c>
      <c r="I2452" t="n">
        <v>3.2</v>
      </c>
      <c r="J2452" t="n">
        <v>10.9</v>
      </c>
      <c r="K2452" t="n">
        <v>42.8</v>
      </c>
      <c r="L2452" t="n">
        <v>15.4</v>
      </c>
      <c r="M2452" t="n">
        <v>1.7</v>
      </c>
      <c r="N2452" t="inlineStr">
        <is>
          <t>401–500</t>
        </is>
      </c>
      <c r="O2452" t="inlineStr">
        <is>
          <t>45.4–49.0</t>
        </is>
      </c>
      <c r="P2452" t="n">
        <v>39.6</v>
      </c>
      <c r="Q2452" t="n">
        <v>22</v>
      </c>
      <c r="R2452" t="n">
        <v>80.59999999999999</v>
      </c>
      <c r="S2452" t="n">
        <v>78.5</v>
      </c>
      <c r="T2452" t="n">
        <v>38.7</v>
      </c>
      <c r="U2452" t="inlineStr">
        <is>
          <t>8,293</t>
        </is>
      </c>
      <c r="V2452" t="n">
        <v>4.1</v>
      </c>
      <c r="W2452" t="inlineStr">
        <is>
          <t>9%</t>
        </is>
      </c>
      <c r="X2452" t="inlineStr">
        <is>
          <t>54 : 46</t>
        </is>
      </c>
      <c r="Y2452" t="n">
        <v>741</v>
      </c>
      <c r="Z2452" t="n">
        <v>401</v>
      </c>
      <c r="AA2452" t="n">
        <v>47.2</v>
      </c>
      <c r="AB2452" t="inlineStr">
        <is>
          <t>U2451</t>
        </is>
      </c>
      <c r="AC2452" t="inlineStr">
        <is>
          <t>UN</t>
        </is>
      </c>
      <c r="AD2452" t="n">
        <v>47.2</v>
      </c>
      <c r="AE2452" t="n">
        <v>8.6</v>
      </c>
      <c r="AF2452" t="n">
        <v>4.1</v>
      </c>
      <c r="AG2452" t="inlineStr">
        <is>
          <t>1:4.1</t>
        </is>
      </c>
      <c r="AH2452" t="inlineStr">
        <is>
          <t>9%</t>
        </is>
      </c>
      <c r="AI2452" t="n">
        <v>5.1</v>
      </c>
      <c r="AJ2452" t="n">
        <v>16.89</v>
      </c>
    </row>
    <row r="2453">
      <c r="A2453" t="inlineStr">
        <is>
          <t>Walailak University</t>
        </is>
      </c>
      <c r="B2453" t="inlineStr">
        <is>
          <t>Thailand</t>
        </is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>
        <is>
          <t>1201–1500</t>
        </is>
      </c>
      <c r="O2453" t="inlineStr">
        <is>
          <t>22.8–28.2</t>
        </is>
      </c>
      <c r="P2453" t="n">
        <v>20.9</v>
      </c>
      <c r="Q2453" t="n">
        <v>13.3</v>
      </c>
      <c r="R2453" t="n">
        <v>35.5</v>
      </c>
      <c r="S2453" t="n">
        <v>16.3</v>
      </c>
      <c r="T2453" t="n">
        <v>40.7</v>
      </c>
      <c r="U2453" t="inlineStr">
        <is>
          <t>8,553</t>
        </is>
      </c>
      <c r="V2453" t="n">
        <v>13.6</v>
      </c>
      <c r="W2453" t="inlineStr">
        <is>
          <t>1%</t>
        </is>
      </c>
      <c r="X2453" t="inlineStr">
        <is>
          <t>73 : 27</t>
        </is>
      </c>
      <c r="Y2453" t="inlineStr"/>
      <c r="Z2453" t="n">
        <v>1201</v>
      </c>
      <c r="AA2453" t="n">
        <v>25.5</v>
      </c>
      <c r="AB2453" t="inlineStr">
        <is>
          <t>U2452</t>
        </is>
      </c>
      <c r="AC2453" t="inlineStr">
        <is>
          <t>TH</t>
        </is>
      </c>
      <c r="AD2453" t="n">
        <v>25.5</v>
      </c>
      <c r="AE2453" t="n">
        <v>35.5</v>
      </c>
      <c r="AF2453" t="n">
        <v>13.6</v>
      </c>
      <c r="AG2453" t="inlineStr">
        <is>
          <t>1:13.6</t>
        </is>
      </c>
      <c r="AH2453" t="inlineStr">
        <is>
          <t>1%</t>
        </is>
      </c>
      <c r="AI2453" t="inlineStr"/>
      <c r="AJ2453" t="n">
        <v>20.96</v>
      </c>
    </row>
    <row r="2454">
      <c r="A2454" t="inlineStr">
        <is>
          <t>Warsaw University of Life Sciences – SGGW (WULS-SGGW)</t>
        </is>
      </c>
      <c r="B2454" t="inlineStr">
        <is>
          <t>Poland</t>
        </is>
      </c>
      <c r="C2454" t="inlineStr">
        <is>
          <t>1001-1200</t>
        </is>
      </c>
      <c r="D2454" t="inlineStr"/>
      <c r="E2454" t="n">
        <v>6.6</v>
      </c>
      <c r="F2454" t="n">
        <v>4.4</v>
      </c>
      <c r="G2454" t="n">
        <v>18.8</v>
      </c>
      <c r="H2454" t="n">
        <v>6.8</v>
      </c>
      <c r="I2454" t="n">
        <v>2.3</v>
      </c>
      <c r="J2454" t="n">
        <v>6.4</v>
      </c>
      <c r="K2454" t="n">
        <v>74.40000000000001</v>
      </c>
      <c r="L2454" t="n">
        <v>3</v>
      </c>
      <c r="M2454" t="n">
        <v>6.9</v>
      </c>
      <c r="N2454" t="inlineStr">
        <is>
          <t>1201–1500</t>
        </is>
      </c>
      <c r="O2454" t="inlineStr">
        <is>
          <t>22.8–28.2</t>
        </is>
      </c>
      <c r="P2454" t="n">
        <v>19.9</v>
      </c>
      <c r="Q2454" t="n">
        <v>11.8</v>
      </c>
      <c r="R2454" t="n">
        <v>41.6</v>
      </c>
      <c r="S2454" t="n">
        <v>23.4</v>
      </c>
      <c r="T2454" t="n">
        <v>34.2</v>
      </c>
      <c r="U2454" t="inlineStr">
        <is>
          <t>15,737</t>
        </is>
      </c>
      <c r="V2454" t="n">
        <v>13.4</v>
      </c>
      <c r="W2454" t="inlineStr">
        <is>
          <t>8%</t>
        </is>
      </c>
      <c r="X2454" t="inlineStr">
        <is>
          <t>58 : 42</t>
        </is>
      </c>
      <c r="Y2454" t="n">
        <v>1001</v>
      </c>
      <c r="Z2454" t="n">
        <v>1201</v>
      </c>
      <c r="AA2454" t="n">
        <v>25.5</v>
      </c>
      <c r="AB2454" t="inlineStr">
        <is>
          <t>U2453</t>
        </is>
      </c>
      <c r="AC2454" t="inlineStr">
        <is>
          <t>PO</t>
        </is>
      </c>
      <c r="AD2454" t="n">
        <v>25.5</v>
      </c>
      <c r="AE2454" t="n">
        <v>6.8</v>
      </c>
      <c r="AF2454" t="n">
        <v>13.4</v>
      </c>
      <c r="AG2454" t="inlineStr">
        <is>
          <t>1:13.4</t>
        </is>
      </c>
      <c r="AH2454" t="inlineStr">
        <is>
          <t>8%</t>
        </is>
      </c>
      <c r="AI2454" t="n">
        <v>6.6</v>
      </c>
      <c r="AJ2454" t="n">
        <v>9.91</v>
      </c>
    </row>
    <row r="2455">
      <c r="A2455" t="inlineStr">
        <is>
          <t>Warsaw University of Technology</t>
        </is>
      </c>
      <c r="B2455" t="inlineStr">
        <is>
          <t>Poland</t>
        </is>
      </c>
      <c r="C2455" t="inlineStr">
        <is>
          <t>527</t>
        </is>
      </c>
      <c r="D2455" t="n">
        <v>23.2</v>
      </c>
      <c r="E2455" t="n">
        <v>23.3</v>
      </c>
      <c r="F2455" t="n">
        <v>51.9</v>
      </c>
      <c r="G2455" t="n">
        <v>42.6</v>
      </c>
      <c r="H2455" t="n">
        <v>4.7</v>
      </c>
      <c r="I2455" t="n">
        <v>2.4</v>
      </c>
      <c r="J2455" t="n">
        <v>10.3</v>
      </c>
      <c r="K2455" t="n">
        <v>60.6</v>
      </c>
      <c r="L2455" t="n">
        <v>9.800000000000001</v>
      </c>
      <c r="M2455" t="n">
        <v>1.4</v>
      </c>
      <c r="N2455" t="inlineStr">
        <is>
          <t>1201–1500</t>
        </is>
      </c>
      <c r="O2455" t="inlineStr">
        <is>
          <t>22.8–28.2</t>
        </is>
      </c>
      <c r="P2455" t="n">
        <v>22</v>
      </c>
      <c r="Q2455" t="n">
        <v>19.6</v>
      </c>
      <c r="R2455" t="n">
        <v>33.3</v>
      </c>
      <c r="S2455" t="n">
        <v>53.5</v>
      </c>
      <c r="T2455" t="n">
        <v>31.7</v>
      </c>
      <c r="U2455" t="inlineStr">
        <is>
          <t>23,167</t>
        </is>
      </c>
      <c r="V2455" t="n">
        <v>17.1</v>
      </c>
      <c r="W2455" t="inlineStr">
        <is>
          <t>7%</t>
        </is>
      </c>
      <c r="X2455" t="inlineStr">
        <is>
          <t>32 : 68</t>
        </is>
      </c>
      <c r="Y2455" t="n">
        <v>527</v>
      </c>
      <c r="Z2455" t="n">
        <v>1201</v>
      </c>
      <c r="AA2455" t="n">
        <v>25.5</v>
      </c>
      <c r="AB2455" t="inlineStr">
        <is>
          <t>U2454</t>
        </is>
      </c>
      <c r="AC2455" t="inlineStr">
        <is>
          <t>PO</t>
        </is>
      </c>
      <c r="AD2455" t="n">
        <v>23.2</v>
      </c>
      <c r="AE2455" t="n">
        <v>4.7</v>
      </c>
      <c r="AF2455" t="n">
        <v>17.1</v>
      </c>
      <c r="AG2455" t="inlineStr">
        <is>
          <t>1:17.1</t>
        </is>
      </c>
      <c r="AH2455" t="inlineStr">
        <is>
          <t>7%</t>
        </is>
      </c>
      <c r="AI2455" t="n">
        <v>23.3</v>
      </c>
      <c r="AJ2455" t="n">
        <v>12.76</v>
      </c>
    </row>
    <row r="2456">
      <c r="A2456" t="inlineStr">
        <is>
          <t>Waseda University</t>
        </is>
      </c>
      <c r="B2456" t="inlineStr">
        <is>
          <t>Japan</t>
        </is>
      </c>
      <c r="C2456" t="inlineStr">
        <is>
          <t>181</t>
        </is>
      </c>
      <c r="D2456" t="n">
        <v>48.5</v>
      </c>
      <c r="E2456" t="n">
        <v>60.7</v>
      </c>
      <c r="F2456" t="n">
        <v>96.09999999999999</v>
      </c>
      <c r="G2456" t="n">
        <v>23.5</v>
      </c>
      <c r="H2456" t="n">
        <v>3.8</v>
      </c>
      <c r="I2456" t="n">
        <v>27.9</v>
      </c>
      <c r="J2456" t="n">
        <v>28</v>
      </c>
      <c r="K2456" t="n">
        <v>66.40000000000001</v>
      </c>
      <c r="L2456" t="n">
        <v>83.7</v>
      </c>
      <c r="M2456" t="n">
        <v>56.1</v>
      </c>
      <c r="N2456" t="inlineStr">
        <is>
          <t>801–1000</t>
        </is>
      </c>
      <c r="O2456" t="inlineStr">
        <is>
          <t>32.7–36.9</t>
        </is>
      </c>
      <c r="P2456" t="n">
        <v>33.7</v>
      </c>
      <c r="Q2456" t="n">
        <v>26.2</v>
      </c>
      <c r="R2456" t="n">
        <v>43.1</v>
      </c>
      <c r="S2456" t="n">
        <v>56.7</v>
      </c>
      <c r="T2456" t="n">
        <v>54.8</v>
      </c>
      <c r="U2456" t="inlineStr">
        <is>
          <t>46,013</t>
        </is>
      </c>
      <c r="V2456" t="n">
        <v>14.3</v>
      </c>
      <c r="W2456" t="inlineStr">
        <is>
          <t>13%</t>
        </is>
      </c>
      <c r="X2456" t="inlineStr">
        <is>
          <t>39 : 61</t>
        </is>
      </c>
      <c r="Y2456" t="n">
        <v>181</v>
      </c>
      <c r="Z2456" t="n">
        <v>801</v>
      </c>
      <c r="AA2456" t="n">
        <v>34.8</v>
      </c>
      <c r="AB2456" t="inlineStr">
        <is>
          <t>U2455</t>
        </is>
      </c>
      <c r="AC2456" t="inlineStr">
        <is>
          <t>JA</t>
        </is>
      </c>
      <c r="AD2456" t="n">
        <v>48.5</v>
      </c>
      <c r="AE2456" t="n">
        <v>3.8</v>
      </c>
      <c r="AF2456" t="n">
        <v>14.3</v>
      </c>
      <c r="AG2456" t="inlineStr">
        <is>
          <t>1:14.3</t>
        </is>
      </c>
      <c r="AH2456" t="inlineStr">
        <is>
          <t>13%</t>
        </is>
      </c>
      <c r="AI2456" t="n">
        <v>60.7</v>
      </c>
      <c r="AJ2456" t="n">
        <v>21.53</v>
      </c>
    </row>
    <row r="2457">
      <c r="A2457" t="inlineStr">
        <is>
          <t>Washington State University</t>
        </is>
      </c>
      <c r="B2457" t="inlineStr">
        <is>
          <t>United States</t>
        </is>
      </c>
      <c r="C2457" t="inlineStr">
        <is>
          <t>466</t>
        </is>
      </c>
      <c r="D2457" t="n">
        <v>25.7</v>
      </c>
      <c r="E2457" t="n">
        <v>23.3</v>
      </c>
      <c r="F2457" t="n">
        <v>20</v>
      </c>
      <c r="G2457" t="n">
        <v>15.5</v>
      </c>
      <c r="H2457" t="n">
        <v>33.5</v>
      </c>
      <c r="I2457" t="n">
        <v>47.1</v>
      </c>
      <c r="J2457" t="n">
        <v>5</v>
      </c>
      <c r="K2457" t="n">
        <v>77.3</v>
      </c>
      <c r="L2457" t="n">
        <v>8.6</v>
      </c>
      <c r="M2457" t="n">
        <v>29.6</v>
      </c>
      <c r="N2457" t="inlineStr">
        <is>
          <t>301–350</t>
        </is>
      </c>
      <c r="O2457" t="inlineStr">
        <is>
          <t>51.1–53.0</t>
        </is>
      </c>
      <c r="P2457" t="n">
        <v>36.9</v>
      </c>
      <c r="Q2457" t="n">
        <v>34.5</v>
      </c>
      <c r="R2457" t="n">
        <v>74.8</v>
      </c>
      <c r="S2457" t="n">
        <v>82.90000000000001</v>
      </c>
      <c r="T2457" t="n">
        <v>60.3</v>
      </c>
      <c r="U2457" t="inlineStr">
        <is>
          <t>28,896</t>
        </is>
      </c>
      <c r="V2457" t="n">
        <v>18.8</v>
      </c>
      <c r="W2457" t="inlineStr">
        <is>
          <t>6%</t>
        </is>
      </c>
      <c r="X2457" t="inlineStr">
        <is>
          <t>55 : 45</t>
        </is>
      </c>
      <c r="Y2457" t="n">
        <v>466</v>
      </c>
      <c r="Z2457" t="n">
        <v>301</v>
      </c>
      <c r="AA2457" t="n">
        <v>52.05</v>
      </c>
      <c r="AB2457" t="inlineStr">
        <is>
          <t>U2456</t>
        </is>
      </c>
      <c r="AC2457" t="inlineStr">
        <is>
          <t>UN</t>
        </is>
      </c>
      <c r="AD2457" t="n">
        <v>25.7</v>
      </c>
      <c r="AE2457" t="n">
        <v>33.5</v>
      </c>
      <c r="AF2457" t="n">
        <v>18.8</v>
      </c>
      <c r="AG2457" t="inlineStr">
        <is>
          <t>1:18.8</t>
        </is>
      </c>
      <c r="AH2457" t="inlineStr">
        <is>
          <t>6%</t>
        </is>
      </c>
      <c r="AI2457" t="n">
        <v>23.3</v>
      </c>
      <c r="AJ2457" t="n">
        <v>36.21</v>
      </c>
    </row>
    <row r="2458">
      <c r="A2458" t="inlineStr">
        <is>
          <t>Washington University in St. Louis</t>
        </is>
      </c>
      <c r="B2458" t="inlineStr">
        <is>
          <t>United States</t>
        </is>
      </c>
      <c r="C2458" t="inlineStr">
        <is>
          <t>176</t>
        </is>
      </c>
      <c r="D2458" t="n">
        <v>49</v>
      </c>
      <c r="E2458" t="n">
        <v>36.3</v>
      </c>
      <c r="F2458" t="n">
        <v>12</v>
      </c>
      <c r="G2458" t="n">
        <v>99.7</v>
      </c>
      <c r="H2458" t="n">
        <v>47.7</v>
      </c>
      <c r="I2458" t="n">
        <v>69.5</v>
      </c>
      <c r="J2458" t="n">
        <v>72.40000000000001</v>
      </c>
      <c r="K2458" t="n">
        <v>83.59999999999999</v>
      </c>
      <c r="L2458" t="n">
        <v>31.9</v>
      </c>
      <c r="M2458" t="n">
        <v>86.7</v>
      </c>
      <c r="N2458" t="inlineStr">
        <is>
          <t>68</t>
        </is>
      </c>
      <c r="O2458" t="inlineStr">
        <is>
          <t>72.3</t>
        </is>
      </c>
      <c r="P2458" t="n">
        <v>60.8</v>
      </c>
      <c r="Q2458" t="n">
        <v>57.2</v>
      </c>
      <c r="R2458" t="n">
        <v>97.5</v>
      </c>
      <c r="S2458" t="n">
        <v>77.8</v>
      </c>
      <c r="T2458" t="n">
        <v>72.7</v>
      </c>
      <c r="U2458" t="inlineStr">
        <is>
          <t>13,825</t>
        </is>
      </c>
      <c r="V2458" t="n">
        <v>7.3</v>
      </c>
      <c r="W2458" t="inlineStr">
        <is>
          <t>22%</t>
        </is>
      </c>
      <c r="X2458" t="inlineStr">
        <is>
          <t>52 : 48</t>
        </is>
      </c>
      <c r="Y2458" t="n">
        <v>176</v>
      </c>
      <c r="Z2458" t="n">
        <v>68</v>
      </c>
      <c r="AA2458" t="n">
        <v>72.3</v>
      </c>
      <c r="AB2458" t="inlineStr">
        <is>
          <t>U2457</t>
        </is>
      </c>
      <c r="AC2458" t="inlineStr">
        <is>
          <t>UN</t>
        </is>
      </c>
      <c r="AD2458" t="n">
        <v>49</v>
      </c>
      <c r="AE2458" t="n">
        <v>47.7</v>
      </c>
      <c r="AF2458" t="n">
        <v>7.3</v>
      </c>
      <c r="AG2458" t="inlineStr">
        <is>
          <t>1:7.3</t>
        </is>
      </c>
      <c r="AH2458" t="inlineStr">
        <is>
          <t>22%</t>
        </is>
      </c>
      <c r="AI2458" t="n">
        <v>36.3</v>
      </c>
      <c r="AJ2458" t="n">
        <v>55.41</v>
      </c>
    </row>
    <row r="2459">
      <c r="A2459" t="inlineStr">
        <is>
          <t>Wayne State University</t>
        </is>
      </c>
      <c r="B2459" t="inlineStr">
        <is>
          <t>United States</t>
        </is>
      </c>
      <c r="C2459" t="inlineStr">
        <is>
          <t>791-800</t>
        </is>
      </c>
      <c r="D2459" t="inlineStr"/>
      <c r="E2459" t="n">
        <v>7.6</v>
      </c>
      <c r="F2459" t="n">
        <v>3.4</v>
      </c>
      <c r="G2459" t="n">
        <v>62.1</v>
      </c>
      <c r="H2459" t="n">
        <v>10.6</v>
      </c>
      <c r="I2459" t="n">
        <v>13.3</v>
      </c>
      <c r="J2459" t="n">
        <v>5.4</v>
      </c>
      <c r="K2459" t="n">
        <v>73.59999999999999</v>
      </c>
      <c r="L2459" t="n">
        <v>19.4</v>
      </c>
      <c r="M2459" t="n">
        <v>3.1</v>
      </c>
      <c r="N2459" t="inlineStr">
        <is>
          <t>501–600</t>
        </is>
      </c>
      <c r="O2459" t="inlineStr">
        <is>
          <t>41.9–45.3</t>
        </is>
      </c>
      <c r="P2459" t="n">
        <v>36.4</v>
      </c>
      <c r="Q2459" t="n">
        <v>20.4</v>
      </c>
      <c r="R2459" t="n">
        <v>70.2</v>
      </c>
      <c r="S2459" t="n">
        <v>79.3</v>
      </c>
      <c r="T2459" t="n">
        <v>41.8</v>
      </c>
      <c r="U2459" t="inlineStr">
        <is>
          <t>22,523</t>
        </is>
      </c>
      <c r="V2459" t="n">
        <v>13</v>
      </c>
      <c r="W2459" t="inlineStr">
        <is>
          <t>5%</t>
        </is>
      </c>
      <c r="X2459" t="inlineStr">
        <is>
          <t>61 : 39</t>
        </is>
      </c>
      <c r="Y2459" t="n">
        <v>791</v>
      </c>
      <c r="Z2459" t="n">
        <v>501</v>
      </c>
      <c r="AA2459" t="n">
        <v>43.59999999999999</v>
      </c>
      <c r="AB2459" t="inlineStr">
        <is>
          <t>U2458</t>
        </is>
      </c>
      <c r="AC2459" t="inlineStr">
        <is>
          <t>UN</t>
        </is>
      </c>
      <c r="AD2459" t="n">
        <v>43.59999999999999</v>
      </c>
      <c r="AE2459" t="n">
        <v>10.6</v>
      </c>
      <c r="AF2459" t="n">
        <v>13</v>
      </c>
      <c r="AG2459" t="inlineStr">
        <is>
          <t>1:13.0</t>
        </is>
      </c>
      <c r="AH2459" t="inlineStr">
        <is>
          <t>5%</t>
        </is>
      </c>
      <c r="AI2459" t="n">
        <v>7.6</v>
      </c>
      <c r="AJ2459" t="n">
        <v>17.41</v>
      </c>
    </row>
    <row r="2460">
      <c r="A2460" t="inlineStr">
        <is>
          <t>Wenzhou Medical University</t>
        </is>
      </c>
      <c r="B2460" t="inlineStr">
        <is>
          <t>China</t>
        </is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>
        <is>
          <t>801–1000</t>
        </is>
      </c>
      <c r="O2460" t="inlineStr">
        <is>
          <t>32.7–36.9</t>
        </is>
      </c>
      <c r="P2460" t="n">
        <v>18.4</v>
      </c>
      <c r="Q2460" t="n">
        <v>13.6</v>
      </c>
      <c r="R2460" t="n">
        <v>68.7</v>
      </c>
      <c r="S2460" t="n">
        <v>38.3</v>
      </c>
      <c r="T2460" t="n">
        <v>42.8</v>
      </c>
      <c r="U2460" t="inlineStr">
        <is>
          <t>27,976</t>
        </is>
      </c>
      <c r="V2460" t="n">
        <v>14.6</v>
      </c>
      <c r="W2460" t="inlineStr">
        <is>
          <t>3%</t>
        </is>
      </c>
      <c r="X2460" t="inlineStr">
        <is>
          <t>61 : 39</t>
        </is>
      </c>
      <c r="Y2460" t="inlineStr"/>
      <c r="Z2460" t="n">
        <v>801</v>
      </c>
      <c r="AA2460" t="n">
        <v>34.8</v>
      </c>
      <c r="AB2460" t="inlineStr">
        <is>
          <t>U2459</t>
        </is>
      </c>
      <c r="AC2460" t="inlineStr">
        <is>
          <t>CH</t>
        </is>
      </c>
      <c r="AD2460" t="n">
        <v>34.8</v>
      </c>
      <c r="AE2460" t="n">
        <v>68.7</v>
      </c>
      <c r="AF2460" t="n">
        <v>14.6</v>
      </c>
      <c r="AG2460" t="inlineStr">
        <is>
          <t>1:14.6</t>
        </is>
      </c>
      <c r="AH2460" t="inlineStr">
        <is>
          <t>3%</t>
        </is>
      </c>
      <c r="AI2460" t="inlineStr"/>
      <c r="AJ2460" t="n">
        <v>31.69</v>
      </c>
    </row>
    <row r="2461">
      <c r="A2461" t="inlineStr">
        <is>
          <t>Wenzhou University</t>
        </is>
      </c>
      <c r="B2461" t="inlineStr">
        <is>
          <t>China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>
        <is>
          <t>801–1000</t>
        </is>
      </c>
      <c r="O2461" t="inlineStr">
        <is>
          <t>32.7–36.9</t>
        </is>
      </c>
      <c r="P2461" t="n">
        <v>16.2</v>
      </c>
      <c r="Q2461" t="n">
        <v>15</v>
      </c>
      <c r="R2461" t="n">
        <v>78.09999999999999</v>
      </c>
      <c r="S2461" t="n">
        <v>27.8</v>
      </c>
      <c r="T2461" t="n">
        <v>34.8</v>
      </c>
      <c r="U2461" t="inlineStr">
        <is>
          <t>22,633</t>
        </is>
      </c>
      <c r="V2461" t="n">
        <v>18.6</v>
      </c>
      <c r="W2461" t="inlineStr">
        <is>
          <t>2%</t>
        </is>
      </c>
      <c r="X2461" t="inlineStr">
        <is>
          <t>59 : 41</t>
        </is>
      </c>
      <c r="Y2461" t="inlineStr"/>
      <c r="Z2461" t="n">
        <v>801</v>
      </c>
      <c r="AA2461" t="n">
        <v>34.8</v>
      </c>
      <c r="AB2461" t="inlineStr">
        <is>
          <t>U2460</t>
        </is>
      </c>
      <c r="AC2461" t="inlineStr">
        <is>
          <t>CH</t>
        </is>
      </c>
      <c r="AD2461" t="n">
        <v>34.8</v>
      </c>
      <c r="AE2461" t="n">
        <v>78.09999999999999</v>
      </c>
      <c r="AF2461" t="n">
        <v>18.6</v>
      </c>
      <c r="AG2461" t="inlineStr">
        <is>
          <t>1:18.6</t>
        </is>
      </c>
      <c r="AH2461" t="inlineStr">
        <is>
          <t>2%</t>
        </is>
      </c>
      <c r="AI2461" t="inlineStr"/>
      <c r="AJ2461" t="n">
        <v>33.34</v>
      </c>
    </row>
    <row r="2462">
      <c r="A2462" t="inlineStr">
        <is>
          <t>West University of Timişoara</t>
        </is>
      </c>
      <c r="B2462" t="inlineStr">
        <is>
          <t>Romania</t>
        </is>
      </c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>
        <is>
          <t>1201–1500</t>
        </is>
      </c>
      <c r="O2462" t="inlineStr">
        <is>
          <t>22.8–28.2</t>
        </is>
      </c>
      <c r="P2462" t="n">
        <v>24.3</v>
      </c>
      <c r="Q2462" t="n">
        <v>13.7</v>
      </c>
      <c r="R2462" t="n">
        <v>40.2</v>
      </c>
      <c r="S2462" t="n">
        <v>17.4</v>
      </c>
      <c r="T2462" t="n">
        <v>34.9</v>
      </c>
      <c r="U2462" t="inlineStr">
        <is>
          <t>15,142</t>
        </is>
      </c>
      <c r="V2462" t="n">
        <v>23.9</v>
      </c>
      <c r="W2462" t="inlineStr">
        <is>
          <t>6%</t>
        </is>
      </c>
      <c r="X2462" t="inlineStr">
        <is>
          <t>64 : 36</t>
        </is>
      </c>
      <c r="Y2462" t="inlineStr"/>
      <c r="Z2462" t="n">
        <v>1201</v>
      </c>
      <c r="AA2462" t="n">
        <v>25.5</v>
      </c>
      <c r="AB2462" t="inlineStr">
        <is>
          <t>U2461</t>
        </is>
      </c>
      <c r="AC2462" t="inlineStr">
        <is>
          <t>RO</t>
        </is>
      </c>
      <c r="AD2462" t="n">
        <v>25.5</v>
      </c>
      <c r="AE2462" t="n">
        <v>40.2</v>
      </c>
      <c r="AF2462" t="n">
        <v>23.9</v>
      </c>
      <c r="AG2462" t="inlineStr">
        <is>
          <t>1:23.9</t>
        </is>
      </c>
      <c r="AH2462" t="inlineStr">
        <is>
          <t>6%</t>
        </is>
      </c>
      <c r="AI2462" t="inlineStr"/>
      <c r="AJ2462" t="n">
        <v>21.19</v>
      </c>
    </row>
    <row r="2463">
      <c r="A2463" t="inlineStr">
        <is>
          <t>West Virginia University</t>
        </is>
      </c>
      <c r="B2463" t="inlineStr">
        <is>
          <t>United States</t>
        </is>
      </c>
      <c r="C2463" t="inlineStr">
        <is>
          <t>1001-1200</t>
        </is>
      </c>
      <c r="D2463" t="inlineStr"/>
      <c r="E2463" t="n">
        <v>5.6</v>
      </c>
      <c r="F2463" t="n">
        <v>4.7</v>
      </c>
      <c r="G2463" t="n">
        <v>12.8</v>
      </c>
      <c r="H2463" t="n">
        <v>18.5</v>
      </c>
      <c r="I2463" t="n">
        <v>5.8</v>
      </c>
      <c r="J2463" t="n">
        <v>4.2</v>
      </c>
      <c r="K2463" t="n">
        <v>66.7</v>
      </c>
      <c r="L2463" t="n">
        <v>14.3</v>
      </c>
      <c r="M2463" t="n">
        <v>6.7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n">
        <v>1001</v>
      </c>
      <c r="Z2463" t="inlineStr"/>
      <c r="AA2463" t="inlineStr"/>
      <c r="AB2463" t="inlineStr">
        <is>
          <t>U2462</t>
        </is>
      </c>
      <c r="AC2463" t="inlineStr">
        <is>
          <t>UN</t>
        </is>
      </c>
      <c r="AD2463" t="inlineStr"/>
      <c r="AE2463" t="n">
        <v>18.5</v>
      </c>
      <c r="AF2463" t="inlineStr"/>
      <c r="AG2463" t="inlineStr"/>
      <c r="AH2463" t="inlineStr"/>
      <c r="AI2463" t="n">
        <v>5.6</v>
      </c>
      <c r="AJ2463" t="n">
        <v>18.99</v>
      </c>
    </row>
    <row r="2464">
      <c r="A2464" t="inlineStr">
        <is>
          <t>Western Michigan University</t>
        </is>
      </c>
      <c r="B2464" t="inlineStr">
        <is>
          <t>United States</t>
        </is>
      </c>
      <c r="C2464" t="inlineStr">
        <is>
          <t>1201-1400</t>
        </is>
      </c>
      <c r="D2464" t="inlineStr"/>
      <c r="E2464" t="n">
        <v>4.9</v>
      </c>
      <c r="F2464" t="n">
        <v>4.9</v>
      </c>
      <c r="G2464" t="n">
        <v>10</v>
      </c>
      <c r="H2464" t="n">
        <v>5.8</v>
      </c>
      <c r="I2464" t="n">
        <v>21.4</v>
      </c>
      <c r="J2464" t="n">
        <v>10.6</v>
      </c>
      <c r="K2464" t="n">
        <v>33.3</v>
      </c>
      <c r="L2464" t="n">
        <v>16.5</v>
      </c>
      <c r="M2464" t="n">
        <v>1.6</v>
      </c>
      <c r="N2464" t="inlineStr">
        <is>
          <t>1001–1200</t>
        </is>
      </c>
      <c r="O2464" t="inlineStr">
        <is>
          <t>28.3–32.6</t>
        </is>
      </c>
      <c r="P2464" t="n">
        <v>24</v>
      </c>
      <c r="Q2464" t="n">
        <v>17.1</v>
      </c>
      <c r="R2464" t="n">
        <v>39.2</v>
      </c>
      <c r="S2464" t="n">
        <v>39.3</v>
      </c>
      <c r="T2464" t="n">
        <v>43.1</v>
      </c>
      <c r="U2464" t="inlineStr">
        <is>
          <t>16,486</t>
        </is>
      </c>
      <c r="V2464" t="n">
        <v>21.3</v>
      </c>
      <c r="W2464" t="inlineStr">
        <is>
          <t>8%</t>
        </is>
      </c>
      <c r="X2464" t="inlineStr">
        <is>
          <t>53 : 47</t>
        </is>
      </c>
      <c r="Y2464" t="n">
        <v>1201</v>
      </c>
      <c r="Z2464" t="n">
        <v>1001</v>
      </c>
      <c r="AA2464" t="n">
        <v>30.45</v>
      </c>
      <c r="AB2464" t="inlineStr">
        <is>
          <t>U2463</t>
        </is>
      </c>
      <c r="AC2464" t="inlineStr">
        <is>
          <t>UN</t>
        </is>
      </c>
      <c r="AD2464" t="n">
        <v>30.45</v>
      </c>
      <c r="AE2464" t="n">
        <v>5.8</v>
      </c>
      <c r="AF2464" t="n">
        <v>21.3</v>
      </c>
      <c r="AG2464" t="inlineStr">
        <is>
          <t>1:21.3</t>
        </is>
      </c>
      <c r="AH2464" t="inlineStr">
        <is>
          <t>8%</t>
        </is>
      </c>
      <c r="AI2464" t="n">
        <v>4.9</v>
      </c>
      <c r="AJ2464" t="n">
        <v>14.54</v>
      </c>
    </row>
    <row r="2465">
      <c r="A2465" t="inlineStr">
        <is>
          <t xml:space="preserve"> Western Sydney University</t>
        </is>
      </c>
      <c r="B2465" t="inlineStr">
        <is>
          <t>Australia</t>
        </is>
      </c>
      <c r="C2465" t="inlineStr">
        <is>
          <t>384</t>
        </is>
      </c>
      <c r="D2465" t="n">
        <v>30.5</v>
      </c>
      <c r="E2465" t="n">
        <v>19.9</v>
      </c>
      <c r="F2465" t="n">
        <v>14.2</v>
      </c>
      <c r="G2465" t="n">
        <v>4.8</v>
      </c>
      <c r="H2465" t="n">
        <v>31</v>
      </c>
      <c r="I2465" t="n">
        <v>100</v>
      </c>
      <c r="J2465" t="n">
        <v>45.5</v>
      </c>
      <c r="K2465" t="n">
        <v>87.40000000000001</v>
      </c>
      <c r="L2465" t="n">
        <v>8.9</v>
      </c>
      <c r="M2465" t="n">
        <v>89.2</v>
      </c>
      <c r="N2465" t="inlineStr">
        <is>
          <t>301–350</t>
        </is>
      </c>
      <c r="O2465" t="inlineStr">
        <is>
          <t>51.1–53.0</t>
        </is>
      </c>
      <c r="P2465" t="n">
        <v>29.5</v>
      </c>
      <c r="Q2465" t="n">
        <v>31.7</v>
      </c>
      <c r="R2465" t="n">
        <v>87.7</v>
      </c>
      <c r="S2465" t="n">
        <v>51.5</v>
      </c>
      <c r="T2465" t="n">
        <v>87.2</v>
      </c>
      <c r="U2465" t="inlineStr">
        <is>
          <t>35,590</t>
        </is>
      </c>
      <c r="V2465" t="n">
        <v>41.8</v>
      </c>
      <c r="W2465" t="inlineStr">
        <is>
          <t>21%</t>
        </is>
      </c>
      <c r="X2465" t="inlineStr">
        <is>
          <t>59 : 41</t>
        </is>
      </c>
      <c r="Y2465" t="n">
        <v>384</v>
      </c>
      <c r="Z2465" t="n">
        <v>301</v>
      </c>
      <c r="AA2465" t="n">
        <v>52.05</v>
      </c>
      <c r="AB2465" t="inlineStr">
        <is>
          <t>U2464</t>
        </is>
      </c>
      <c r="AC2465" t="inlineStr">
        <is>
          <t>AU</t>
        </is>
      </c>
      <c r="AD2465" t="n">
        <v>30.5</v>
      </c>
      <c r="AE2465" t="n">
        <v>31</v>
      </c>
      <c r="AF2465" t="n">
        <v>41.8</v>
      </c>
      <c r="AG2465" t="inlineStr">
        <is>
          <t>1:41.8</t>
        </is>
      </c>
      <c r="AH2465" t="inlineStr">
        <is>
          <t>21%</t>
        </is>
      </c>
      <c r="AI2465" t="n">
        <v>19.9</v>
      </c>
      <c r="AJ2465" t="n">
        <v>40.49</v>
      </c>
    </row>
    <row r="2466">
      <c r="A2466" t="inlineStr">
        <is>
          <t>Western University</t>
        </is>
      </c>
      <c r="B2466" t="inlineStr">
        <is>
          <t>Canada</t>
        </is>
      </c>
      <c r="C2466" t="inlineStr">
        <is>
          <t>120</t>
        </is>
      </c>
      <c r="D2466" t="n">
        <v>55.8</v>
      </c>
      <c r="E2466" t="n">
        <v>32.6</v>
      </c>
      <c r="F2466" t="n">
        <v>38.9</v>
      </c>
      <c r="G2466" t="n">
        <v>3.3</v>
      </c>
      <c r="H2466" t="n">
        <v>93.40000000000001</v>
      </c>
      <c r="I2466" t="n">
        <v>99.8</v>
      </c>
      <c r="J2466" t="n">
        <v>49.5</v>
      </c>
      <c r="K2466" t="n">
        <v>81.5</v>
      </c>
      <c r="L2466" t="n">
        <v>96.7</v>
      </c>
      <c r="M2466" t="n">
        <v>99.3</v>
      </c>
      <c r="N2466" t="inlineStr">
        <is>
          <t>201–250</t>
        </is>
      </c>
      <c r="O2466" t="inlineStr">
        <is>
          <t>55.9–58.6</t>
        </is>
      </c>
      <c r="P2466" t="n">
        <v>40.2</v>
      </c>
      <c r="Q2466" t="n">
        <v>42.9</v>
      </c>
      <c r="R2466" t="n">
        <v>75.2</v>
      </c>
      <c r="S2466" t="n">
        <v>99.59999999999999</v>
      </c>
      <c r="T2466" t="n">
        <v>87.5</v>
      </c>
      <c r="U2466" t="inlineStr">
        <is>
          <t>30,176</t>
        </is>
      </c>
      <c r="V2466" t="n">
        <v>33</v>
      </c>
      <c r="W2466" t="inlineStr">
        <is>
          <t>24%</t>
        </is>
      </c>
      <c r="X2466" t="inlineStr">
        <is>
          <t>56 : 44</t>
        </is>
      </c>
      <c r="Y2466" t="n">
        <v>120</v>
      </c>
      <c r="Z2466" t="n">
        <v>201</v>
      </c>
      <c r="AA2466" t="n">
        <v>57.25</v>
      </c>
      <c r="AB2466" t="inlineStr">
        <is>
          <t>U2465</t>
        </is>
      </c>
      <c r="AC2466" t="inlineStr">
        <is>
          <t>CA</t>
        </is>
      </c>
      <c r="AD2466" t="n">
        <v>55.8</v>
      </c>
      <c r="AE2466" t="n">
        <v>93.40000000000001</v>
      </c>
      <c r="AF2466" t="n">
        <v>33</v>
      </c>
      <c r="AG2466" t="inlineStr">
        <is>
          <t>1:33.0</t>
        </is>
      </c>
      <c r="AH2466" t="inlineStr">
        <is>
          <t>24%</t>
        </is>
      </c>
      <c r="AI2466" t="n">
        <v>32.6</v>
      </c>
      <c r="AJ2466" t="n">
        <v>65.34</v>
      </c>
    </row>
    <row r="2467">
      <c r="A2467" t="inlineStr">
        <is>
          <t>Western Washington University</t>
        </is>
      </c>
      <c r="B2467" t="inlineStr">
        <is>
          <t>United States</t>
        </is>
      </c>
      <c r="C2467" t="inlineStr">
        <is>
          <t>1401+</t>
        </is>
      </c>
      <c r="D2467" t="inlineStr"/>
      <c r="E2467" t="n">
        <v>2.6</v>
      </c>
      <c r="F2467" t="n">
        <v>2.6</v>
      </c>
      <c r="G2467" t="n">
        <v>7.3</v>
      </c>
      <c r="H2467" t="n">
        <v>3.5</v>
      </c>
      <c r="I2467" t="n">
        <v>9.699999999999999</v>
      </c>
      <c r="J2467" t="n">
        <v>1.6</v>
      </c>
      <c r="K2467" t="n">
        <v>12.4</v>
      </c>
      <c r="L2467" t="n">
        <v>1.5</v>
      </c>
      <c r="M2467" t="n">
        <v>1.1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n">
        <v>1401</v>
      </c>
      <c r="Z2467" t="inlineStr"/>
      <c r="AA2467" t="inlineStr"/>
      <c r="AB2467" t="inlineStr">
        <is>
          <t>U2466</t>
        </is>
      </c>
      <c r="AC2467" t="inlineStr">
        <is>
          <t>UN</t>
        </is>
      </c>
      <c r="AD2467" t="inlineStr"/>
      <c r="AE2467" t="n">
        <v>3.5</v>
      </c>
      <c r="AF2467" t="inlineStr"/>
      <c r="AG2467" t="inlineStr"/>
      <c r="AH2467" t="inlineStr"/>
      <c r="AI2467" t="n">
        <v>2.6</v>
      </c>
      <c r="AJ2467" t="n">
        <v>14.45</v>
      </c>
    </row>
    <row r="2468">
      <c r="A2468" t="inlineStr">
        <is>
          <t xml:space="preserve">Westfälische Wilhelms-Universität Münster </t>
        </is>
      </c>
      <c r="B2468" t="inlineStr">
        <is>
          <t>Germany</t>
        </is>
      </c>
      <c r="C2468" t="inlineStr">
        <is>
          <t>367</t>
        </is>
      </c>
      <c r="D2468" t="n">
        <v>31.5</v>
      </c>
      <c r="E2468" t="n">
        <v>31.6</v>
      </c>
      <c r="F2468" t="n">
        <v>22.8</v>
      </c>
      <c r="G2468" t="n">
        <v>64.5</v>
      </c>
      <c r="H2468" t="n">
        <v>10</v>
      </c>
      <c r="I2468" t="n">
        <v>30.5</v>
      </c>
      <c r="J2468" t="n">
        <v>4.5</v>
      </c>
      <c r="K2468" t="n">
        <v>82</v>
      </c>
      <c r="L2468" t="n">
        <v>35.8</v>
      </c>
      <c r="M2468" t="n">
        <v>66.8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n">
        <v>367</v>
      </c>
      <c r="Z2468" t="inlineStr"/>
      <c r="AA2468" t="inlineStr"/>
      <c r="AB2468" t="inlineStr">
        <is>
          <t>U2467</t>
        </is>
      </c>
      <c r="AC2468" t="inlineStr">
        <is>
          <t>GE</t>
        </is>
      </c>
      <c r="AD2468" t="n">
        <v>31.5</v>
      </c>
      <c r="AE2468" t="n">
        <v>10</v>
      </c>
      <c r="AF2468" t="inlineStr"/>
      <c r="AG2468" t="inlineStr"/>
      <c r="AH2468" t="inlineStr"/>
      <c r="AI2468" t="n">
        <v>31.6</v>
      </c>
      <c r="AJ2468" t="n">
        <v>16.42</v>
      </c>
    </row>
    <row r="2469">
      <c r="A2469" t="inlineStr">
        <is>
          <t>William &amp; Mary</t>
        </is>
      </c>
      <c r="B2469" t="inlineStr">
        <is>
          <t>United States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>
        <is>
          <t>601–800</t>
        </is>
      </c>
      <c r="O2469" t="inlineStr">
        <is>
          <t>37.0–41.8</t>
        </is>
      </c>
      <c r="P2469" t="n">
        <v>38.4</v>
      </c>
      <c r="Q2469" t="n">
        <v>21.7</v>
      </c>
      <c r="R2469" t="n">
        <v>62.2</v>
      </c>
      <c r="S2469" t="n">
        <v>37.1</v>
      </c>
      <c r="T2469" t="n">
        <v>39.1</v>
      </c>
      <c r="U2469" t="inlineStr">
        <is>
          <t>8,253</t>
        </is>
      </c>
      <c r="V2469" t="n">
        <v>11.3</v>
      </c>
      <c r="W2469" t="inlineStr">
        <is>
          <t>7%</t>
        </is>
      </c>
      <c r="X2469" t="inlineStr">
        <is>
          <t>57 : 43</t>
        </is>
      </c>
      <c r="Y2469" t="inlineStr"/>
      <c r="Z2469" t="n">
        <v>601</v>
      </c>
      <c r="AA2469" t="n">
        <v>39.4</v>
      </c>
      <c r="AB2469" t="inlineStr">
        <is>
          <t>U2468</t>
        </is>
      </c>
      <c r="AC2469" t="inlineStr">
        <is>
          <t>UN</t>
        </is>
      </c>
      <c r="AD2469" t="n">
        <v>39.4</v>
      </c>
      <c r="AE2469" t="n">
        <v>62.2</v>
      </c>
      <c r="AF2469" t="n">
        <v>11.3</v>
      </c>
      <c r="AG2469" t="inlineStr">
        <is>
          <t>1:11.3</t>
        </is>
      </c>
      <c r="AH2469" t="inlineStr">
        <is>
          <t>7%</t>
        </is>
      </c>
      <c r="AI2469" t="inlineStr"/>
      <c r="AJ2469" t="n">
        <v>33.07</v>
      </c>
    </row>
    <row r="2470">
      <c r="A2470" t="inlineStr">
        <is>
          <t>Worcester Polytechnic Institute</t>
        </is>
      </c>
      <c r="B2470" t="inlineStr">
        <is>
          <t>United States</t>
        </is>
      </c>
      <c r="C2470" t="inlineStr">
        <is>
          <t>901-950</t>
        </is>
      </c>
      <c r="D2470" t="inlineStr"/>
      <c r="E2470" t="n">
        <v>3.5</v>
      </c>
      <c r="F2470" t="n">
        <v>5.2</v>
      </c>
      <c r="G2470" t="n">
        <v>17.4</v>
      </c>
      <c r="H2470" t="n">
        <v>26.2</v>
      </c>
      <c r="I2470" t="n">
        <v>42</v>
      </c>
      <c r="J2470" t="n">
        <v>23.5</v>
      </c>
      <c r="K2470" t="n">
        <v>25.6</v>
      </c>
      <c r="L2470" t="n">
        <v>8.300000000000001</v>
      </c>
      <c r="M2470" t="n">
        <v>1.9</v>
      </c>
      <c r="N2470" t="inlineStr">
        <is>
          <t>601–800</t>
        </is>
      </c>
      <c r="O2470" t="inlineStr">
        <is>
          <t>37.0–41.8</t>
        </is>
      </c>
      <c r="P2470" t="n">
        <v>30</v>
      </c>
      <c r="Q2470" t="n">
        <v>22.1</v>
      </c>
      <c r="R2470" t="n">
        <v>61.2</v>
      </c>
      <c r="S2470" t="n">
        <v>61.8</v>
      </c>
      <c r="T2470" t="n">
        <v>57.2</v>
      </c>
      <c r="U2470" t="inlineStr">
        <is>
          <t>5,834</t>
        </is>
      </c>
      <c r="V2470" t="n">
        <v>13</v>
      </c>
      <c r="W2470" t="inlineStr">
        <is>
          <t>14%</t>
        </is>
      </c>
      <c r="X2470" t="inlineStr">
        <is>
          <t>38 : 62</t>
        </is>
      </c>
      <c r="Y2470" t="n">
        <v>901</v>
      </c>
      <c r="Z2470" t="n">
        <v>601</v>
      </c>
      <c r="AA2470" t="n">
        <v>39.4</v>
      </c>
      <c r="AB2470" t="inlineStr">
        <is>
          <t>U2469</t>
        </is>
      </c>
      <c r="AC2470" t="inlineStr">
        <is>
          <t>UN</t>
        </is>
      </c>
      <c r="AD2470" t="n">
        <v>39.4</v>
      </c>
      <c r="AE2470" t="n">
        <v>26.2</v>
      </c>
      <c r="AF2470" t="n">
        <v>13</v>
      </c>
      <c r="AG2470" t="inlineStr">
        <is>
          <t>1:13.0</t>
        </is>
      </c>
      <c r="AH2470" t="inlineStr">
        <is>
          <t>14%</t>
        </is>
      </c>
      <c r="AI2470" t="n">
        <v>3.5</v>
      </c>
      <c r="AJ2470" t="n">
        <v>26.75</v>
      </c>
    </row>
    <row r="2471">
      <c r="A2471" t="inlineStr">
        <is>
          <t>Wrocław University of Environmental and Life Sciences</t>
        </is>
      </c>
      <c r="B2471" t="inlineStr">
        <is>
          <t>Poland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>
        <is>
          <t>1201–1500</t>
        </is>
      </c>
      <c r="O2471" t="inlineStr">
        <is>
          <t>22.8–28.2</t>
        </is>
      </c>
      <c r="P2471" t="n">
        <v>19.1</v>
      </c>
      <c r="Q2471" t="n">
        <v>13.9</v>
      </c>
      <c r="R2471" t="n">
        <v>34.3</v>
      </c>
      <c r="S2471" t="n">
        <v>49.8</v>
      </c>
      <c r="T2471" t="n">
        <v>29.6</v>
      </c>
      <c r="U2471" t="inlineStr">
        <is>
          <t>7,099</t>
        </is>
      </c>
      <c r="V2471" t="n">
        <v>16.7</v>
      </c>
      <c r="W2471" t="inlineStr">
        <is>
          <t>4%</t>
        </is>
      </c>
      <c r="X2471" t="inlineStr">
        <is>
          <t>67 : 33</t>
        </is>
      </c>
      <c r="Y2471" t="inlineStr"/>
      <c r="Z2471" t="n">
        <v>1201</v>
      </c>
      <c r="AA2471" t="n">
        <v>25.5</v>
      </c>
      <c r="AB2471" t="inlineStr">
        <is>
          <t>U2470</t>
        </is>
      </c>
      <c r="AC2471" t="inlineStr">
        <is>
          <t>PO</t>
        </is>
      </c>
      <c r="AD2471" t="n">
        <v>25.5</v>
      </c>
      <c r="AE2471" t="n">
        <v>34.3</v>
      </c>
      <c r="AF2471" t="n">
        <v>16.7</v>
      </c>
      <c r="AG2471" t="inlineStr">
        <is>
          <t>1:16.7</t>
        </is>
      </c>
      <c r="AH2471" t="inlineStr">
        <is>
          <t>4%</t>
        </is>
      </c>
      <c r="AI2471" t="inlineStr"/>
      <c r="AJ2471" t="n">
        <v>18.23</v>
      </c>
    </row>
    <row r="2472">
      <c r="A2472" t="inlineStr">
        <is>
          <t>Wrocław University of Science and Technology</t>
        </is>
      </c>
      <c r="B2472" t="inlineStr">
        <is>
          <t>Poland</t>
        </is>
      </c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>
        <is>
          <t>1201–1500</t>
        </is>
      </c>
      <c r="O2472" t="inlineStr">
        <is>
          <t>22.8–28.2</t>
        </is>
      </c>
      <c r="P2472" t="n">
        <v>19.7</v>
      </c>
      <c r="Q2472" t="n">
        <v>17.4</v>
      </c>
      <c r="R2472" t="n">
        <v>33.1</v>
      </c>
      <c r="S2472" t="n">
        <v>54.6</v>
      </c>
      <c r="T2472" t="n">
        <v>29.7</v>
      </c>
      <c r="U2472" t="inlineStr">
        <is>
          <t>22,772</t>
        </is>
      </c>
      <c r="V2472" t="n">
        <v>19.8</v>
      </c>
      <c r="W2472" t="inlineStr">
        <is>
          <t>4%</t>
        </is>
      </c>
      <c r="X2472" t="inlineStr">
        <is>
          <t>35 : 65</t>
        </is>
      </c>
      <c r="Y2472" t="inlineStr"/>
      <c r="Z2472" t="n">
        <v>1201</v>
      </c>
      <c r="AA2472" t="n">
        <v>25.5</v>
      </c>
      <c r="AB2472" t="inlineStr">
        <is>
          <t>U2471</t>
        </is>
      </c>
      <c r="AC2472" t="inlineStr">
        <is>
          <t>PO</t>
        </is>
      </c>
      <c r="AD2472" t="n">
        <v>25.5</v>
      </c>
      <c r="AE2472" t="n">
        <v>33.1</v>
      </c>
      <c r="AF2472" t="n">
        <v>19.8</v>
      </c>
      <c r="AG2472" t="inlineStr">
        <is>
          <t>1:19.8</t>
        </is>
      </c>
      <c r="AH2472" t="inlineStr">
        <is>
          <t>4%</t>
        </is>
      </c>
      <c r="AI2472" t="inlineStr"/>
      <c r="AJ2472" t="n">
        <v>19.72</v>
      </c>
    </row>
    <row r="2473">
      <c r="A2473" t="inlineStr">
        <is>
          <t>Wroclaw Medical University</t>
        </is>
      </c>
      <c r="B2473" t="inlineStr">
        <is>
          <t>Poland</t>
        </is>
      </c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>
        <is>
          <t>601–800</t>
        </is>
      </c>
      <c r="O2473" t="inlineStr">
        <is>
          <t>37.0–41.8</t>
        </is>
      </c>
      <c r="P2473" t="n">
        <v>40.7</v>
      </c>
      <c r="Q2473" t="n">
        <v>13.3</v>
      </c>
      <c r="R2473" t="n">
        <v>66.90000000000001</v>
      </c>
      <c r="S2473" t="n">
        <v>36.5</v>
      </c>
      <c r="T2473" t="n">
        <v>37.7</v>
      </c>
      <c r="U2473" t="inlineStr">
        <is>
          <t>8,014</t>
        </is>
      </c>
      <c r="V2473" t="n">
        <v>10.9</v>
      </c>
      <c r="W2473" t="inlineStr">
        <is>
          <t>14%</t>
        </is>
      </c>
      <c r="X2473" t="inlineStr">
        <is>
          <t>72 : 28</t>
        </is>
      </c>
      <c r="Y2473" t="inlineStr"/>
      <c r="Z2473" t="n">
        <v>601</v>
      </c>
      <c r="AA2473" t="n">
        <v>39.4</v>
      </c>
      <c r="AB2473" t="inlineStr">
        <is>
          <t>U2472</t>
        </is>
      </c>
      <c r="AC2473" t="inlineStr">
        <is>
          <t>PO</t>
        </is>
      </c>
      <c r="AD2473" t="n">
        <v>39.4</v>
      </c>
      <c r="AE2473" t="n">
        <v>66.90000000000001</v>
      </c>
      <c r="AF2473" t="n">
        <v>10.9</v>
      </c>
      <c r="AG2473" t="inlineStr">
        <is>
          <t>1:10.9</t>
        </is>
      </c>
      <c r="AH2473" t="inlineStr">
        <is>
          <t>14%</t>
        </is>
      </c>
      <c r="AI2473" t="inlineStr"/>
      <c r="AJ2473" t="n">
        <v>29.75</v>
      </c>
    </row>
    <row r="2474">
      <c r="A2474" t="inlineStr">
        <is>
          <t>Wroclaw University of Science and Technology (WRUST)</t>
        </is>
      </c>
      <c r="B2474" t="inlineStr">
        <is>
          <t>Poland</t>
        </is>
      </c>
      <c r="C2474" t="inlineStr">
        <is>
          <t>901-950</t>
        </is>
      </c>
      <c r="D2474" t="inlineStr"/>
      <c r="E2474" t="n">
        <v>11.7</v>
      </c>
      <c r="F2474" t="n">
        <v>18.9</v>
      </c>
      <c r="G2474" t="n">
        <v>33.7</v>
      </c>
      <c r="H2474" t="n">
        <v>5.3</v>
      </c>
      <c r="I2474" t="n">
        <v>3.4</v>
      </c>
      <c r="J2474" t="n">
        <v>5</v>
      </c>
      <c r="K2474" t="n">
        <v>55.5</v>
      </c>
      <c r="L2474" t="n">
        <v>3.2</v>
      </c>
      <c r="M2474" t="n">
        <v>1.3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n">
        <v>901</v>
      </c>
      <c r="Z2474" t="inlineStr"/>
      <c r="AA2474" t="inlineStr"/>
      <c r="AB2474" t="inlineStr">
        <is>
          <t>U2473</t>
        </is>
      </c>
      <c r="AC2474" t="inlineStr">
        <is>
          <t>PO</t>
        </is>
      </c>
      <c r="AD2474" t="inlineStr"/>
      <c r="AE2474" t="n">
        <v>5.3</v>
      </c>
      <c r="AF2474" t="inlineStr"/>
      <c r="AG2474" t="inlineStr"/>
      <c r="AH2474" t="inlineStr"/>
      <c r="AI2474" t="n">
        <v>11.7</v>
      </c>
      <c r="AJ2474" t="n">
        <v>14.99</v>
      </c>
    </row>
    <row r="2475">
      <c r="A2475" t="inlineStr">
        <is>
          <t>Wuhan Textile University</t>
        </is>
      </c>
      <c r="B2475" t="inlineStr">
        <is>
          <t>China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>
        <is>
          <t>1201–1500</t>
        </is>
      </c>
      <c r="O2475" t="inlineStr">
        <is>
          <t>22.8–28.2</t>
        </is>
      </c>
      <c r="P2475" t="n">
        <v>15</v>
      </c>
      <c r="Q2475" t="n">
        <v>11</v>
      </c>
      <c r="R2475" t="n">
        <v>46.2</v>
      </c>
      <c r="S2475" t="n">
        <v>36.7</v>
      </c>
      <c r="T2475" t="n">
        <v>23.5</v>
      </c>
      <c r="U2475" t="inlineStr">
        <is>
          <t>23,369</t>
        </is>
      </c>
      <c r="V2475" t="n">
        <v>15.8</v>
      </c>
      <c r="W2475" t="inlineStr">
        <is>
          <t>1%</t>
        </is>
      </c>
      <c r="X2475" t="inlineStr">
        <is>
          <t>50 : 50</t>
        </is>
      </c>
      <c r="Y2475" t="inlineStr"/>
      <c r="Z2475" t="n">
        <v>1201</v>
      </c>
      <c r="AA2475" t="n">
        <v>25.5</v>
      </c>
      <c r="AB2475" t="inlineStr">
        <is>
          <t>U2474</t>
        </is>
      </c>
      <c r="AC2475" t="inlineStr">
        <is>
          <t>CH</t>
        </is>
      </c>
      <c r="AD2475" t="n">
        <v>25.5</v>
      </c>
      <c r="AE2475" t="n">
        <v>46.2</v>
      </c>
      <c r="AF2475" t="n">
        <v>15.8</v>
      </c>
      <c r="AG2475" t="inlineStr">
        <is>
          <t>1:15.8</t>
        </is>
      </c>
      <c r="AH2475" t="inlineStr">
        <is>
          <t>1%</t>
        </is>
      </c>
      <c r="AI2475" t="inlineStr"/>
      <c r="AJ2475" t="n">
        <v>18.84</v>
      </c>
    </row>
    <row r="2476">
      <c r="A2476" t="inlineStr">
        <is>
          <t>Wuhan University</t>
        </is>
      </c>
      <c r="B2476" t="inlineStr">
        <is>
          <t>China</t>
        </is>
      </c>
      <c r="C2476" t="inlineStr">
        <is>
          <t>194</t>
        </is>
      </c>
      <c r="D2476" t="n">
        <v>46.7</v>
      </c>
      <c r="E2476" t="n">
        <v>39.2</v>
      </c>
      <c r="F2476" t="n">
        <v>40.5</v>
      </c>
      <c r="G2476" t="n">
        <v>14</v>
      </c>
      <c r="H2476" t="n">
        <v>91.90000000000001</v>
      </c>
      <c r="I2476" t="n">
        <v>39.2</v>
      </c>
      <c r="J2476" t="n">
        <v>4.9</v>
      </c>
      <c r="K2476" t="n">
        <v>78.2</v>
      </c>
      <c r="L2476" t="n">
        <v>46.5</v>
      </c>
      <c r="M2476" t="n">
        <v>22.2</v>
      </c>
      <c r="N2476">
        <f>164</f>
        <v/>
      </c>
      <c r="O2476" t="inlineStr">
        <is>
          <t>61.3</t>
        </is>
      </c>
      <c r="P2476" t="n">
        <v>50.9</v>
      </c>
      <c r="Q2476" t="n">
        <v>45</v>
      </c>
      <c r="R2476" t="n">
        <v>88.5</v>
      </c>
      <c r="S2476" t="n">
        <v>90.59999999999999</v>
      </c>
      <c r="T2476" t="n">
        <v>41</v>
      </c>
      <c r="U2476" t="inlineStr">
        <is>
          <t>56,066</t>
        </is>
      </c>
      <c r="V2476" t="n">
        <v>15</v>
      </c>
      <c r="W2476" t="inlineStr">
        <is>
          <t>5%</t>
        </is>
      </c>
      <c r="X2476" t="inlineStr"/>
      <c r="Y2476" t="n">
        <v>194</v>
      </c>
      <c r="Z2476" t="n">
        <v>164</v>
      </c>
      <c r="AA2476" t="n">
        <v>61.3</v>
      </c>
      <c r="AB2476" t="inlineStr">
        <is>
          <t>U2475</t>
        </is>
      </c>
      <c r="AC2476" t="inlineStr">
        <is>
          <t>CH</t>
        </is>
      </c>
      <c r="AD2476" t="n">
        <v>46.7</v>
      </c>
      <c r="AE2476" t="n">
        <v>91.90000000000001</v>
      </c>
      <c r="AF2476" t="n">
        <v>15</v>
      </c>
      <c r="AG2476" t="inlineStr">
        <is>
          <t>1:15.0</t>
        </is>
      </c>
      <c r="AH2476" t="inlineStr">
        <is>
          <t>5%</t>
        </is>
      </c>
      <c r="AI2476" t="n">
        <v>39.2</v>
      </c>
      <c r="AJ2476" t="n">
        <v>54.74</v>
      </c>
    </row>
    <row r="2477">
      <c r="A2477" t="inlineStr">
        <is>
          <t>Wuhan University of Technology</t>
        </is>
      </c>
      <c r="B2477" t="inlineStr">
        <is>
          <t>China</t>
        </is>
      </c>
      <c r="C2477" t="inlineStr">
        <is>
          <t>801-850</t>
        </is>
      </c>
      <c r="D2477" t="inlineStr"/>
      <c r="E2477" t="n">
        <v>6.9</v>
      </c>
      <c r="F2477" t="n">
        <v>2.5</v>
      </c>
      <c r="G2477" t="n">
        <v>11.5</v>
      </c>
      <c r="H2477" t="n">
        <v>47</v>
      </c>
      <c r="I2477" t="inlineStr"/>
      <c r="J2477" t="n">
        <v>2.5</v>
      </c>
      <c r="K2477" t="n">
        <v>51</v>
      </c>
      <c r="L2477" t="n">
        <v>5.8</v>
      </c>
      <c r="M2477" t="n">
        <v>1.5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n">
        <v>801</v>
      </c>
      <c r="Z2477" t="inlineStr"/>
      <c r="AA2477" t="inlineStr"/>
      <c r="AB2477" t="inlineStr">
        <is>
          <t>U2476</t>
        </is>
      </c>
      <c r="AC2477" t="inlineStr">
        <is>
          <t>CH</t>
        </is>
      </c>
      <c r="AD2477" t="inlineStr"/>
      <c r="AE2477" t="n">
        <v>47</v>
      </c>
      <c r="AF2477" t="inlineStr"/>
      <c r="AG2477" t="inlineStr"/>
      <c r="AH2477" t="inlineStr"/>
      <c r="AI2477" t="n">
        <v>6.9</v>
      </c>
      <c r="AJ2477" t="n">
        <v>27.63</v>
      </c>
    </row>
    <row r="2478">
      <c r="A2478" t="inlineStr">
        <is>
          <t>Xi'an Jiaotong Liverpool University</t>
        </is>
      </c>
      <c r="B2478" t="inlineStr">
        <is>
          <t>China</t>
        </is>
      </c>
      <c r="C2478" t="inlineStr">
        <is>
          <t>1001-1200</t>
        </is>
      </c>
      <c r="D2478" t="inlineStr"/>
      <c r="E2478" t="n">
        <v>4.2</v>
      </c>
      <c r="F2478" t="n">
        <v>1.9</v>
      </c>
      <c r="G2478" t="n">
        <v>6.2</v>
      </c>
      <c r="H2478" t="n">
        <v>5.6</v>
      </c>
      <c r="I2478" t="n">
        <v>94.8</v>
      </c>
      <c r="J2478" t="n">
        <v>2.8</v>
      </c>
      <c r="K2478" t="n">
        <v>37.8</v>
      </c>
      <c r="L2478" t="n">
        <v>1.5</v>
      </c>
      <c r="M2478" t="n">
        <v>1.5</v>
      </c>
      <c r="N2478" t="inlineStr">
        <is>
          <t>601–800</t>
        </is>
      </c>
      <c r="O2478" t="inlineStr">
        <is>
          <t>37.0–41.8</t>
        </is>
      </c>
      <c r="P2478" t="n">
        <v>18.6</v>
      </c>
      <c r="Q2478" t="n">
        <v>15.1</v>
      </c>
      <c r="R2478" t="n">
        <v>70.8</v>
      </c>
      <c r="S2478" t="n">
        <v>20.9</v>
      </c>
      <c r="T2478" t="n">
        <v>77.3</v>
      </c>
      <c r="U2478" t="inlineStr">
        <is>
          <t>19,535</t>
        </is>
      </c>
      <c r="V2478" t="n">
        <v>19.9</v>
      </c>
      <c r="W2478" t="inlineStr">
        <is>
          <t>4%</t>
        </is>
      </c>
      <c r="X2478" t="inlineStr">
        <is>
          <t>51 : 49</t>
        </is>
      </c>
      <c r="Y2478" t="n">
        <v>1001</v>
      </c>
      <c r="Z2478" t="n">
        <v>601</v>
      </c>
      <c r="AA2478" t="n">
        <v>39.4</v>
      </c>
      <c r="AB2478" t="inlineStr">
        <is>
          <t>U2477</t>
        </is>
      </c>
      <c r="AC2478" t="inlineStr">
        <is>
          <t>CH</t>
        </is>
      </c>
      <c r="AD2478" t="n">
        <v>39.4</v>
      </c>
      <c r="AE2478" t="n">
        <v>5.6</v>
      </c>
      <c r="AF2478" t="n">
        <v>19.9</v>
      </c>
      <c r="AG2478" t="inlineStr">
        <is>
          <t>1:19.9</t>
        </is>
      </c>
      <c r="AH2478" t="inlineStr">
        <is>
          <t>4%</t>
        </is>
      </c>
      <c r="AI2478" t="n">
        <v>4.2</v>
      </c>
      <c r="AJ2478" t="n">
        <v>21.7</v>
      </c>
    </row>
    <row r="2479">
      <c r="A2479" t="inlineStr">
        <is>
          <t>Xi’an Jiaotong University</t>
        </is>
      </c>
      <c r="B2479" t="inlineStr">
        <is>
          <t>China</t>
        </is>
      </c>
      <c r="C2479" t="inlineStr">
        <is>
          <t>295</t>
        </is>
      </c>
      <c r="D2479" t="n">
        <v>36.9</v>
      </c>
      <c r="E2479" t="n">
        <v>19</v>
      </c>
      <c r="F2479" t="n">
        <v>39.4</v>
      </c>
      <c r="G2479" t="n">
        <v>14</v>
      </c>
      <c r="H2479" t="n">
        <v>89.5</v>
      </c>
      <c r="I2479" t="n">
        <v>3.9</v>
      </c>
      <c r="J2479" t="n">
        <v>3.8</v>
      </c>
      <c r="K2479" t="n">
        <v>80.5</v>
      </c>
      <c r="L2479" t="n">
        <v>26.4</v>
      </c>
      <c r="M2479" t="n">
        <v>18.2</v>
      </c>
      <c r="N2479" t="inlineStr">
        <is>
          <t>251–300</t>
        </is>
      </c>
      <c r="O2479" t="inlineStr">
        <is>
          <t>53.1–55.8</t>
        </is>
      </c>
      <c r="P2479" t="n">
        <v>46.9</v>
      </c>
      <c r="Q2479" t="n">
        <v>48</v>
      </c>
      <c r="R2479" t="n">
        <v>70</v>
      </c>
      <c r="S2479" t="n">
        <v>98.3</v>
      </c>
      <c r="T2479" t="n">
        <v>37.8</v>
      </c>
      <c r="U2479" t="inlineStr">
        <is>
          <t>45,764</t>
        </is>
      </c>
      <c r="V2479" t="n">
        <v>14.7</v>
      </c>
      <c r="W2479" t="inlineStr">
        <is>
          <t>7%</t>
        </is>
      </c>
      <c r="X2479" t="inlineStr">
        <is>
          <t>35 : 65</t>
        </is>
      </c>
      <c r="Y2479" t="n">
        <v>295</v>
      </c>
      <c r="Z2479" t="n">
        <v>251</v>
      </c>
      <c r="AA2479" t="n">
        <v>54.45</v>
      </c>
      <c r="AB2479" t="inlineStr">
        <is>
          <t>U2478</t>
        </is>
      </c>
      <c r="AC2479" t="inlineStr">
        <is>
          <t>CH</t>
        </is>
      </c>
      <c r="AD2479" t="n">
        <v>36.9</v>
      </c>
      <c r="AE2479" t="n">
        <v>89.5</v>
      </c>
      <c r="AF2479" t="n">
        <v>14.7</v>
      </c>
      <c r="AG2479" t="inlineStr">
        <is>
          <t>1:14.7</t>
        </is>
      </c>
      <c r="AH2479" t="inlineStr">
        <is>
          <t>7%</t>
        </is>
      </c>
      <c r="AI2479" t="n">
        <v>19</v>
      </c>
      <c r="AJ2479" t="n">
        <v>54.81</v>
      </c>
    </row>
    <row r="2480">
      <c r="A2480" t="inlineStr">
        <is>
          <t>Xiamen University</t>
        </is>
      </c>
      <c r="B2480" t="inlineStr">
        <is>
          <t>China</t>
        </is>
      </c>
      <c r="C2480" t="inlineStr">
        <is>
          <t>362</t>
        </is>
      </c>
      <c r="D2480" t="n">
        <v>31.7</v>
      </c>
      <c r="E2480" t="n">
        <v>23.6</v>
      </c>
      <c r="F2480" t="n">
        <v>16.2</v>
      </c>
      <c r="G2480" t="n">
        <v>19</v>
      </c>
      <c r="H2480" t="n">
        <v>72.2</v>
      </c>
      <c r="I2480" t="n">
        <v>5.1</v>
      </c>
      <c r="J2480" t="n">
        <v>3.1</v>
      </c>
      <c r="K2480" t="n">
        <v>62.6</v>
      </c>
      <c r="L2480" t="n">
        <v>46</v>
      </c>
      <c r="M2480" t="n">
        <v>15.4</v>
      </c>
      <c r="N2480" t="inlineStr">
        <is>
          <t>301–350</t>
        </is>
      </c>
      <c r="O2480" t="inlineStr">
        <is>
          <t>51.1–53.0</t>
        </is>
      </c>
      <c r="P2480" t="n">
        <v>38</v>
      </c>
      <c r="Q2480" t="n">
        <v>33.5</v>
      </c>
      <c r="R2480" t="n">
        <v>83.7</v>
      </c>
      <c r="S2480" t="n">
        <v>72.09999999999999</v>
      </c>
      <c r="T2480" t="n">
        <v>38.4</v>
      </c>
      <c r="U2480" t="inlineStr">
        <is>
          <t>44,715</t>
        </is>
      </c>
      <c r="V2480" t="n">
        <v>15.1</v>
      </c>
      <c r="W2480" t="inlineStr">
        <is>
          <t>2%</t>
        </is>
      </c>
      <c r="X2480" t="inlineStr"/>
      <c r="Y2480" t="n">
        <v>362</v>
      </c>
      <c r="Z2480" t="n">
        <v>301</v>
      </c>
      <c r="AA2480" t="n">
        <v>52.05</v>
      </c>
      <c r="AB2480" t="inlineStr">
        <is>
          <t>U2479</t>
        </is>
      </c>
      <c r="AC2480" t="inlineStr">
        <is>
          <t>CH</t>
        </is>
      </c>
      <c r="AD2480" t="n">
        <v>31.7</v>
      </c>
      <c r="AE2480" t="n">
        <v>72.2</v>
      </c>
      <c r="AF2480" t="n">
        <v>15.1</v>
      </c>
      <c r="AG2480" t="inlineStr">
        <is>
          <t>1:15.1</t>
        </is>
      </c>
      <c r="AH2480" t="inlineStr">
        <is>
          <t>2%</t>
        </is>
      </c>
      <c r="AI2480" t="n">
        <v>23.6</v>
      </c>
      <c r="AJ2480" t="n">
        <v>42.12</v>
      </c>
    </row>
    <row r="2481">
      <c r="A2481" t="inlineStr">
        <is>
          <t>Xiangtan University</t>
        </is>
      </c>
      <c r="B2481" t="inlineStr">
        <is>
          <t>China</t>
        </is>
      </c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>
        <is>
          <t>1201–1500</t>
        </is>
      </c>
      <c r="O2481" t="inlineStr">
        <is>
          <t>22.8–28.2</t>
        </is>
      </c>
      <c r="P2481" t="n">
        <v>17</v>
      </c>
      <c r="Q2481" t="n">
        <v>15.9</v>
      </c>
      <c r="R2481" t="n">
        <v>49</v>
      </c>
      <c r="S2481" t="n">
        <v>33.7</v>
      </c>
      <c r="T2481" t="n">
        <v>21.8</v>
      </c>
      <c r="U2481" t="inlineStr">
        <is>
          <t>33,943</t>
        </is>
      </c>
      <c r="V2481" t="n">
        <v>20.6</v>
      </c>
      <c r="W2481" t="inlineStr">
        <is>
          <t>0%</t>
        </is>
      </c>
      <c r="X2481" t="inlineStr">
        <is>
          <t>50 : 50</t>
        </is>
      </c>
      <c r="Y2481" t="inlineStr"/>
      <c r="Z2481" t="n">
        <v>1201</v>
      </c>
      <c r="AA2481" t="n">
        <v>25.5</v>
      </c>
      <c r="AB2481" t="inlineStr">
        <is>
          <t>U2480</t>
        </is>
      </c>
      <c r="AC2481" t="inlineStr">
        <is>
          <t>CH</t>
        </is>
      </c>
      <c r="AD2481" t="n">
        <v>25.5</v>
      </c>
      <c r="AE2481" t="n">
        <v>49</v>
      </c>
      <c r="AF2481" t="n">
        <v>20.6</v>
      </c>
      <c r="AG2481" t="inlineStr">
        <is>
          <t>1:20.6</t>
        </is>
      </c>
      <c r="AH2481" t="inlineStr">
        <is>
          <t>0%</t>
        </is>
      </c>
      <c r="AI2481" t="inlineStr"/>
      <c r="AJ2481" t="n">
        <v>21.85</v>
      </c>
    </row>
    <row r="2482">
      <c r="A2482" t="inlineStr">
        <is>
          <t>Xidian University</t>
        </is>
      </c>
      <c r="B2482" t="inlineStr">
        <is>
          <t>China</t>
        </is>
      </c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>
        <is>
          <t>601–800</t>
        </is>
      </c>
      <c r="O2482" t="inlineStr">
        <is>
          <t>37.0–41.8</t>
        </is>
      </c>
      <c r="P2482" t="n">
        <v>24.3</v>
      </c>
      <c r="Q2482" t="n">
        <v>25</v>
      </c>
      <c r="R2482" t="n">
        <v>61</v>
      </c>
      <c r="S2482" t="n">
        <v>77.5</v>
      </c>
      <c r="T2482" t="n">
        <v>25.9</v>
      </c>
      <c r="U2482" t="inlineStr">
        <is>
          <t>37,660</t>
        </is>
      </c>
      <c r="V2482" t="n">
        <v>15.3</v>
      </c>
      <c r="W2482" t="inlineStr">
        <is>
          <t>1%</t>
        </is>
      </c>
      <c r="X2482" t="inlineStr">
        <is>
          <t>26 : 74</t>
        </is>
      </c>
      <c r="Y2482" t="inlineStr"/>
      <c r="Z2482" t="n">
        <v>601</v>
      </c>
      <c r="AA2482" t="n">
        <v>39.4</v>
      </c>
      <c r="AB2482" t="inlineStr">
        <is>
          <t>U2481</t>
        </is>
      </c>
      <c r="AC2482" t="inlineStr">
        <is>
          <t>CH</t>
        </is>
      </c>
      <c r="AD2482" t="n">
        <v>39.4</v>
      </c>
      <c r="AE2482" t="n">
        <v>61</v>
      </c>
      <c r="AF2482" t="n">
        <v>15.3</v>
      </c>
      <c r="AG2482" t="inlineStr">
        <is>
          <t>1:15.3</t>
        </is>
      </c>
      <c r="AH2482" t="inlineStr">
        <is>
          <t>1%</t>
        </is>
      </c>
      <c r="AI2482" t="inlineStr"/>
      <c r="AJ2482" t="n">
        <v>31.24</v>
      </c>
    </row>
    <row r="2483">
      <c r="A2483" t="inlineStr">
        <is>
          <t>Xuzhou Medical University</t>
        </is>
      </c>
      <c r="B2483" t="inlineStr">
        <is>
          <t>China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>
        <is>
          <t>1201–1500</t>
        </is>
      </c>
      <c r="O2483" t="inlineStr">
        <is>
          <t>22.8–28.2</t>
        </is>
      </c>
      <c r="P2483" t="n">
        <v>15.8</v>
      </c>
      <c r="Q2483" t="n">
        <v>16.3</v>
      </c>
      <c r="R2483" t="n">
        <v>43.5</v>
      </c>
      <c r="S2483" t="n">
        <v>26</v>
      </c>
      <c r="T2483" t="n">
        <v>21.4</v>
      </c>
      <c r="U2483" t="inlineStr">
        <is>
          <t>14,112</t>
        </is>
      </c>
      <c r="V2483" t="n">
        <v>18.6</v>
      </c>
      <c r="W2483" t="inlineStr">
        <is>
          <t>3%</t>
        </is>
      </c>
      <c r="X2483" t="inlineStr"/>
      <c r="Y2483" t="inlineStr"/>
      <c r="Z2483" t="n">
        <v>1201</v>
      </c>
      <c r="AA2483" t="n">
        <v>25.5</v>
      </c>
      <c r="AB2483" t="inlineStr">
        <is>
          <t>U2482</t>
        </is>
      </c>
      <c r="AC2483" t="inlineStr">
        <is>
          <t>CH</t>
        </is>
      </c>
      <c r="AD2483" t="n">
        <v>25.5</v>
      </c>
      <c r="AE2483" t="n">
        <v>43.5</v>
      </c>
      <c r="AF2483" t="n">
        <v>18.6</v>
      </c>
      <c r="AG2483" t="inlineStr">
        <is>
          <t>1:18.6</t>
        </is>
      </c>
      <c r="AH2483" t="inlineStr">
        <is>
          <t>3%</t>
        </is>
      </c>
      <c r="AI2483" t="inlineStr"/>
      <c r="AJ2483" t="n">
        <v>20.29</v>
      </c>
    </row>
    <row r="2484">
      <c r="A2484" t="inlineStr">
        <is>
          <t>Yıldız Technical University</t>
        </is>
      </c>
      <c r="B2484" t="inlineStr">
        <is>
          <t>Turkey</t>
        </is>
      </c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>
        <is>
          <t>801–1000</t>
        </is>
      </c>
      <c r="O2484" t="inlineStr">
        <is>
          <t>32.7–36.9</t>
        </is>
      </c>
      <c r="P2484" t="n">
        <v>32.1</v>
      </c>
      <c r="Q2484" t="n">
        <v>28</v>
      </c>
      <c r="R2484" t="n">
        <v>41.2</v>
      </c>
      <c r="S2484" t="n">
        <v>64.09999999999999</v>
      </c>
      <c r="T2484" t="n">
        <v>40.9</v>
      </c>
      <c r="U2484" t="inlineStr">
        <is>
          <t>19,651</t>
        </is>
      </c>
      <c r="V2484" t="n">
        <v>24.8</v>
      </c>
      <c r="W2484" t="inlineStr">
        <is>
          <t>13%</t>
        </is>
      </c>
      <c r="X2484" t="inlineStr">
        <is>
          <t>43 : 57</t>
        </is>
      </c>
      <c r="Y2484" t="inlineStr"/>
      <c r="Z2484" t="n">
        <v>801</v>
      </c>
      <c r="AA2484" t="n">
        <v>34.8</v>
      </c>
      <c r="AB2484" t="inlineStr">
        <is>
          <t>U2483</t>
        </is>
      </c>
      <c r="AC2484" t="inlineStr">
        <is>
          <t>TU</t>
        </is>
      </c>
      <c r="AD2484" t="n">
        <v>34.8</v>
      </c>
      <c r="AE2484" t="n">
        <v>41.2</v>
      </c>
      <c r="AF2484" t="n">
        <v>24.8</v>
      </c>
      <c r="AG2484" t="inlineStr">
        <is>
          <t>1:24.8</t>
        </is>
      </c>
      <c r="AH2484" t="inlineStr">
        <is>
          <t>13%</t>
        </is>
      </c>
      <c r="AI2484" t="inlineStr"/>
      <c r="AJ2484" t="n">
        <v>30.44</v>
      </c>
    </row>
    <row r="2485">
      <c r="A2485" t="inlineStr">
        <is>
          <t>Yale University</t>
        </is>
      </c>
      <c r="B2485" t="inlineStr">
        <is>
          <t>United States</t>
        </is>
      </c>
      <c r="C2485" t="inlineStr">
        <is>
          <t>23</t>
        </is>
      </c>
      <c r="D2485" t="n">
        <v>85.2</v>
      </c>
      <c r="E2485" t="n">
        <v>99.90000000000001</v>
      </c>
      <c r="F2485" t="n">
        <v>99.90000000000001</v>
      </c>
      <c r="G2485" t="n">
        <v>100</v>
      </c>
      <c r="H2485" t="n">
        <v>38.6</v>
      </c>
      <c r="I2485" t="n">
        <v>91.5</v>
      </c>
      <c r="J2485" t="n">
        <v>63.3</v>
      </c>
      <c r="K2485" t="n">
        <v>93.90000000000001</v>
      </c>
      <c r="L2485" t="n">
        <v>98.5</v>
      </c>
      <c r="M2485" t="n">
        <v>92.2</v>
      </c>
      <c r="N2485" t="inlineStr">
        <is>
          <t>10</t>
        </is>
      </c>
      <c r="O2485" t="inlineStr">
        <is>
          <t>94.2</t>
        </is>
      </c>
      <c r="P2485" t="n">
        <v>94</v>
      </c>
      <c r="Q2485" t="n">
        <v>94.90000000000001</v>
      </c>
      <c r="R2485" t="n">
        <v>97.7</v>
      </c>
      <c r="S2485" t="n">
        <v>86.5</v>
      </c>
      <c r="T2485" t="n">
        <v>82.40000000000001</v>
      </c>
      <c r="U2485" t="inlineStr">
        <is>
          <t>11,924</t>
        </is>
      </c>
      <c r="V2485" t="n">
        <v>5.2</v>
      </c>
      <c r="W2485" t="inlineStr">
        <is>
          <t>21%</t>
        </is>
      </c>
      <c r="X2485" t="inlineStr">
        <is>
          <t>51 : 49</t>
        </is>
      </c>
      <c r="Y2485" t="n">
        <v>23</v>
      </c>
      <c r="Z2485" t="n">
        <v>10</v>
      </c>
      <c r="AA2485" t="n">
        <v>94.2</v>
      </c>
      <c r="AB2485" t="inlineStr">
        <is>
          <t>U2484</t>
        </is>
      </c>
      <c r="AC2485" t="inlineStr">
        <is>
          <t>UN</t>
        </is>
      </c>
      <c r="AD2485" t="n">
        <v>85.2</v>
      </c>
      <c r="AE2485" t="n">
        <v>38.6</v>
      </c>
      <c r="AF2485" t="n">
        <v>5.2</v>
      </c>
      <c r="AG2485" t="inlineStr">
        <is>
          <t>1:5.2</t>
        </is>
      </c>
      <c r="AH2485" t="inlineStr">
        <is>
          <t>21%</t>
        </is>
      </c>
      <c r="AI2485" t="n">
        <v>99.90000000000001</v>
      </c>
      <c r="AJ2485" t="n">
        <v>74.75</v>
      </c>
    </row>
    <row r="2486">
      <c r="A2486" t="inlineStr">
        <is>
          <t>Yamagata University</t>
        </is>
      </c>
      <c r="B2486" t="inlineStr">
        <is>
          <t>Japan</t>
        </is>
      </c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>
        <is>
          <t>1201–1500</t>
        </is>
      </c>
      <c r="O2486" t="inlineStr">
        <is>
          <t>22.8–28.2</t>
        </is>
      </c>
      <c r="P2486" t="n">
        <v>28</v>
      </c>
      <c r="Q2486" t="n">
        <v>15.3</v>
      </c>
      <c r="R2486" t="n">
        <v>24.8</v>
      </c>
      <c r="S2486" t="n">
        <v>72.2</v>
      </c>
      <c r="T2486" t="n">
        <v>32.3</v>
      </c>
      <c r="U2486" t="inlineStr">
        <is>
          <t>8,657</t>
        </is>
      </c>
      <c r="V2486" t="n">
        <v>8.800000000000001</v>
      </c>
      <c r="W2486" t="inlineStr">
        <is>
          <t>2%</t>
        </is>
      </c>
      <c r="X2486" t="inlineStr">
        <is>
          <t>34 : 66</t>
        </is>
      </c>
      <c r="Y2486" t="inlineStr"/>
      <c r="Z2486" t="n">
        <v>1201</v>
      </c>
      <c r="AA2486" t="n">
        <v>25.5</v>
      </c>
      <c r="AB2486" t="inlineStr">
        <is>
          <t>U2485</t>
        </is>
      </c>
      <c r="AC2486" t="inlineStr">
        <is>
          <t>JA</t>
        </is>
      </c>
      <c r="AD2486" t="n">
        <v>25.5</v>
      </c>
      <c r="AE2486" t="n">
        <v>24.8</v>
      </c>
      <c r="AF2486" t="n">
        <v>8.800000000000001</v>
      </c>
      <c r="AG2486" t="inlineStr">
        <is>
          <t>1:8.8</t>
        </is>
      </c>
      <c r="AH2486" t="inlineStr">
        <is>
          <t>2%</t>
        </is>
      </c>
      <c r="AI2486" t="inlineStr"/>
      <c r="AJ2486" t="n">
        <v>16.74</v>
      </c>
    </row>
    <row r="2487">
      <c r="A2487" t="inlineStr">
        <is>
          <t xml:space="preserve">Yamaguchi University </t>
        </is>
      </c>
      <c r="B2487" t="inlineStr">
        <is>
          <t>Japan</t>
        </is>
      </c>
      <c r="C2487" t="inlineStr">
        <is>
          <t>1201-1400</t>
        </is>
      </c>
      <c r="D2487" t="inlineStr"/>
      <c r="E2487" t="n">
        <v>3.9</v>
      </c>
      <c r="F2487" t="n">
        <v>1.8</v>
      </c>
      <c r="G2487" t="n">
        <v>41.8</v>
      </c>
      <c r="H2487" t="n">
        <v>4.2</v>
      </c>
      <c r="I2487" t="n">
        <v>6.7</v>
      </c>
      <c r="J2487" t="n">
        <v>2.5</v>
      </c>
      <c r="K2487" t="n">
        <v>18.7</v>
      </c>
      <c r="L2487" t="n">
        <v>1.8</v>
      </c>
      <c r="M2487" t="n">
        <v>1</v>
      </c>
      <c r="N2487" t="inlineStr">
        <is>
          <t>1201–1500</t>
        </is>
      </c>
      <c r="O2487" t="inlineStr">
        <is>
          <t>22.8–28.2</t>
        </is>
      </c>
      <c r="P2487" t="n">
        <v>28.5</v>
      </c>
      <c r="Q2487" t="n">
        <v>13.4</v>
      </c>
      <c r="R2487" t="n">
        <v>21.4</v>
      </c>
      <c r="S2487" t="n">
        <v>57.3</v>
      </c>
      <c r="T2487" t="n">
        <v>33.4</v>
      </c>
      <c r="U2487" t="inlineStr">
        <is>
          <t>10,437</t>
        </is>
      </c>
      <c r="V2487" t="n">
        <v>10.9</v>
      </c>
      <c r="W2487" t="inlineStr">
        <is>
          <t>5%</t>
        </is>
      </c>
      <c r="X2487" t="inlineStr">
        <is>
          <t>37 : 63</t>
        </is>
      </c>
      <c r="Y2487" t="n">
        <v>1201</v>
      </c>
      <c r="Z2487" t="n">
        <v>1201</v>
      </c>
      <c r="AA2487" t="n">
        <v>25.5</v>
      </c>
      <c r="AB2487" t="inlineStr">
        <is>
          <t>U2486</t>
        </is>
      </c>
      <c r="AC2487" t="inlineStr">
        <is>
          <t>JA</t>
        </is>
      </c>
      <c r="AD2487" t="n">
        <v>25.5</v>
      </c>
      <c r="AE2487" t="n">
        <v>4.2</v>
      </c>
      <c r="AF2487" t="n">
        <v>10.9</v>
      </c>
      <c r="AG2487" t="inlineStr">
        <is>
          <t>1:10.9</t>
        </is>
      </c>
      <c r="AH2487" t="inlineStr">
        <is>
          <t>5%</t>
        </is>
      </c>
      <c r="AI2487" t="n">
        <v>3.9</v>
      </c>
      <c r="AJ2487" t="n">
        <v>9.77</v>
      </c>
    </row>
    <row r="2488">
      <c r="A2488" t="inlineStr">
        <is>
          <t>Yangzhou University</t>
        </is>
      </c>
      <c r="B2488" t="inlineStr">
        <is>
          <t>China</t>
        </is>
      </c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>
        <is>
          <t>501–600</t>
        </is>
      </c>
      <c r="O2488" t="inlineStr">
        <is>
          <t>41.9–45.3</t>
        </is>
      </c>
      <c r="P2488" t="n">
        <v>32.8</v>
      </c>
      <c r="Q2488" t="n">
        <v>24.6</v>
      </c>
      <c r="R2488" t="n">
        <v>64.90000000000001</v>
      </c>
      <c r="S2488" t="n">
        <v>66.7</v>
      </c>
      <c r="T2488" t="n">
        <v>54</v>
      </c>
      <c r="U2488" t="inlineStr">
        <is>
          <t>29,221</t>
        </is>
      </c>
      <c r="V2488" t="n">
        <v>12.5</v>
      </c>
      <c r="W2488" t="inlineStr">
        <is>
          <t>13%</t>
        </is>
      </c>
      <c r="X2488" t="inlineStr">
        <is>
          <t>63 : 37</t>
        </is>
      </c>
      <c r="Y2488" t="inlineStr"/>
      <c r="Z2488" t="n">
        <v>501</v>
      </c>
      <c r="AA2488" t="n">
        <v>43.59999999999999</v>
      </c>
      <c r="AB2488" t="inlineStr">
        <is>
          <t>U2487</t>
        </is>
      </c>
      <c r="AC2488" t="inlineStr">
        <is>
          <t>CH</t>
        </is>
      </c>
      <c r="AD2488" t="n">
        <v>43.59999999999999</v>
      </c>
      <c r="AE2488" t="n">
        <v>64.90000000000001</v>
      </c>
      <c r="AF2488" t="n">
        <v>12.5</v>
      </c>
      <c r="AG2488" t="inlineStr">
        <is>
          <t>1:12.5</t>
        </is>
      </c>
      <c r="AH2488" t="inlineStr">
        <is>
          <t>13%</t>
        </is>
      </c>
      <c r="AI2488" t="inlineStr"/>
      <c r="AJ2488" t="n">
        <v>39.01</v>
      </c>
    </row>
    <row r="2489">
      <c r="A2489" t="inlineStr">
        <is>
          <t>Yanshan University</t>
        </is>
      </c>
      <c r="B2489" t="inlineStr">
        <is>
          <t>China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>
        <is>
          <t>1501+</t>
        </is>
      </c>
      <c r="O2489" t="inlineStr">
        <is>
          <t>9.7–22.7</t>
        </is>
      </c>
      <c r="P2489" t="n">
        <v>19.5</v>
      </c>
      <c r="Q2489" t="n">
        <v>11.7</v>
      </c>
      <c r="R2489" t="n">
        <v>34.5</v>
      </c>
      <c r="S2489" t="n">
        <v>36</v>
      </c>
      <c r="T2489" t="n">
        <v>20.4</v>
      </c>
      <c r="U2489" t="inlineStr">
        <is>
          <t>39,191</t>
        </is>
      </c>
      <c r="V2489" t="n">
        <v>13.4</v>
      </c>
      <c r="W2489" t="inlineStr">
        <is>
          <t>1%</t>
        </is>
      </c>
      <c r="X2489" t="inlineStr">
        <is>
          <t>39 : 61</t>
        </is>
      </c>
      <c r="Y2489" t="inlineStr"/>
      <c r="Z2489" t="n">
        <v>1501</v>
      </c>
      <c r="AA2489" t="n">
        <v>16.2</v>
      </c>
      <c r="AB2489" t="inlineStr">
        <is>
          <t>U2488</t>
        </is>
      </c>
      <c r="AC2489" t="inlineStr">
        <is>
          <t>CH</t>
        </is>
      </c>
      <c r="AD2489" t="n">
        <v>16.2</v>
      </c>
      <c r="AE2489" t="n">
        <v>34.5</v>
      </c>
      <c r="AF2489" t="n">
        <v>13.4</v>
      </c>
      <c r="AG2489" t="inlineStr">
        <is>
          <t>1:13.4</t>
        </is>
      </c>
      <c r="AH2489" t="inlineStr">
        <is>
          <t>1%</t>
        </is>
      </c>
      <c r="AI2489" t="inlineStr"/>
      <c r="AJ2489" t="n">
        <v>14.91</v>
      </c>
    </row>
    <row r="2490">
      <c r="A2490" t="inlineStr">
        <is>
          <t>Yarmouk University</t>
        </is>
      </c>
      <c r="B2490" t="inlineStr">
        <is>
          <t>Jordan</t>
        </is>
      </c>
      <c r="C2490" t="inlineStr">
        <is>
          <t>951-1000</t>
        </is>
      </c>
      <c r="D2490" t="inlineStr"/>
      <c r="E2490" t="n">
        <v>14.1</v>
      </c>
      <c r="F2490" t="n">
        <v>20.1</v>
      </c>
      <c r="G2490" t="n">
        <v>3.1</v>
      </c>
      <c r="H2490" t="n">
        <v>2.6</v>
      </c>
      <c r="I2490" t="n">
        <v>7.3</v>
      </c>
      <c r="J2490" t="n">
        <v>8.800000000000001</v>
      </c>
      <c r="K2490" t="n">
        <v>45.3</v>
      </c>
      <c r="L2490" t="n">
        <v>33.8</v>
      </c>
      <c r="M2490" t="n">
        <v>7.5</v>
      </c>
      <c r="N2490" t="inlineStr">
        <is>
          <t>1201–1500</t>
        </is>
      </c>
      <c r="O2490" t="inlineStr">
        <is>
          <t>22.8–28.2</t>
        </is>
      </c>
      <c r="P2490" t="n">
        <v>19.9</v>
      </c>
      <c r="Q2490" t="n">
        <v>12.9</v>
      </c>
      <c r="R2490" t="n">
        <v>41.5</v>
      </c>
      <c r="S2490" t="n">
        <v>20.8</v>
      </c>
      <c r="T2490" t="n">
        <v>53.1</v>
      </c>
      <c r="U2490" t="inlineStr">
        <is>
          <t>31,177</t>
        </is>
      </c>
      <c r="V2490" t="n">
        <v>28.3</v>
      </c>
      <c r="W2490" t="inlineStr">
        <is>
          <t>11%</t>
        </is>
      </c>
      <c r="X2490" t="inlineStr">
        <is>
          <t>57 : 43</t>
        </is>
      </c>
      <c r="Y2490" t="n">
        <v>951</v>
      </c>
      <c r="Z2490" t="n">
        <v>1201</v>
      </c>
      <c r="AA2490" t="n">
        <v>25.5</v>
      </c>
      <c r="AB2490" t="inlineStr">
        <is>
          <t>U2489</t>
        </is>
      </c>
      <c r="AC2490" t="inlineStr">
        <is>
          <t>JO</t>
        </is>
      </c>
      <c r="AD2490" t="n">
        <v>25.5</v>
      </c>
      <c r="AE2490" t="n">
        <v>2.6</v>
      </c>
      <c r="AF2490" t="n">
        <v>28.3</v>
      </c>
      <c r="AG2490" t="inlineStr">
        <is>
          <t>1:28.3</t>
        </is>
      </c>
      <c r="AH2490" t="inlineStr">
        <is>
          <t>11%</t>
        </is>
      </c>
      <c r="AI2490" t="n">
        <v>14.1</v>
      </c>
      <c r="AJ2490" t="n">
        <v>13.78</v>
      </c>
    </row>
    <row r="2491">
      <c r="A2491" t="inlineStr">
        <is>
          <t>Yasouj University</t>
        </is>
      </c>
      <c r="B2491" t="inlineStr">
        <is>
          <t>Iran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>
        <is>
          <t>1201–1500</t>
        </is>
      </c>
      <c r="O2491" t="inlineStr">
        <is>
          <t>22.8–28.2</t>
        </is>
      </c>
      <c r="P2491" t="n">
        <v>14.7</v>
      </c>
      <c r="Q2491" t="n">
        <v>14.5</v>
      </c>
      <c r="R2491" t="n">
        <v>52.3</v>
      </c>
      <c r="S2491" t="n">
        <v>20.1</v>
      </c>
      <c r="T2491" t="n">
        <v>22.4</v>
      </c>
      <c r="U2491" t="inlineStr">
        <is>
          <t>6,236</t>
        </is>
      </c>
      <c r="V2491" t="n">
        <v>25.8</v>
      </c>
      <c r="W2491" t="inlineStr">
        <is>
          <t>0%</t>
        </is>
      </c>
      <c r="X2491" t="inlineStr">
        <is>
          <t>54 : 46</t>
        </is>
      </c>
      <c r="Y2491" t="inlineStr"/>
      <c r="Z2491" t="n">
        <v>1201</v>
      </c>
      <c r="AA2491" t="n">
        <v>25.5</v>
      </c>
      <c r="AB2491" t="inlineStr">
        <is>
          <t>U2490</t>
        </is>
      </c>
      <c r="AC2491" t="inlineStr">
        <is>
          <t>IR</t>
        </is>
      </c>
      <c r="AD2491" t="n">
        <v>25.5</v>
      </c>
      <c r="AE2491" t="n">
        <v>52.3</v>
      </c>
      <c r="AF2491" t="n">
        <v>25.8</v>
      </c>
      <c r="AG2491" t="inlineStr">
        <is>
          <t>1:25.8</t>
        </is>
      </c>
      <c r="AH2491" t="inlineStr">
        <is>
          <t>0%</t>
        </is>
      </c>
      <c r="AI2491" t="inlineStr"/>
      <c r="AJ2491" t="n">
        <v>22.26</v>
      </c>
    </row>
    <row r="2492">
      <c r="A2492" t="inlineStr">
        <is>
          <t>Yazd University</t>
        </is>
      </c>
      <c r="B2492" t="inlineStr">
        <is>
          <t>Iran</t>
        </is>
      </c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>
        <is>
          <t>1001–1200</t>
        </is>
      </c>
      <c r="O2492" t="inlineStr">
        <is>
          <t>28.3–32.6</t>
        </is>
      </c>
      <c r="P2492" t="n">
        <v>25.3</v>
      </c>
      <c r="Q2492" t="n">
        <v>17.3</v>
      </c>
      <c r="R2492" t="n">
        <v>44.7</v>
      </c>
      <c r="S2492" t="n">
        <v>39.4</v>
      </c>
      <c r="T2492" t="n">
        <v>36.1</v>
      </c>
      <c r="U2492" t="inlineStr">
        <is>
          <t>14,204</t>
        </is>
      </c>
      <c r="V2492" t="n">
        <v>29.7</v>
      </c>
      <c r="W2492" t="inlineStr">
        <is>
          <t>3%</t>
        </is>
      </c>
      <c r="X2492" t="inlineStr">
        <is>
          <t>57 : 43</t>
        </is>
      </c>
      <c r="Y2492" t="inlineStr"/>
      <c r="Z2492" t="n">
        <v>1001</v>
      </c>
      <c r="AA2492" t="n">
        <v>30.45</v>
      </c>
      <c r="AB2492" t="inlineStr">
        <is>
          <t>U2491</t>
        </is>
      </c>
      <c r="AC2492" t="inlineStr">
        <is>
          <t>IR</t>
        </is>
      </c>
      <c r="AD2492" t="n">
        <v>30.45</v>
      </c>
      <c r="AE2492" t="n">
        <v>44.7</v>
      </c>
      <c r="AF2492" t="n">
        <v>29.7</v>
      </c>
      <c r="AG2492" t="inlineStr">
        <is>
          <t>1:29.7</t>
        </is>
      </c>
      <c r="AH2492" t="inlineStr">
        <is>
          <t>3%</t>
        </is>
      </c>
      <c r="AI2492" t="inlineStr"/>
      <c r="AJ2492" t="n">
        <v>24.74</v>
      </c>
    </row>
    <row r="2493">
      <c r="A2493" t="inlineStr">
        <is>
          <t>Yeditepe University</t>
        </is>
      </c>
      <c r="B2493" t="inlineStr">
        <is>
          <t>Turkey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>
        <is>
          <t>1501+</t>
        </is>
      </c>
      <c r="O2493" t="inlineStr">
        <is>
          <t>9.7–22.7</t>
        </is>
      </c>
      <c r="P2493" t="n">
        <v>22</v>
      </c>
      <c r="Q2493" t="n">
        <v>12.4</v>
      </c>
      <c r="R2493" t="n">
        <v>17.6</v>
      </c>
      <c r="S2493" t="n">
        <v>59.3</v>
      </c>
      <c r="T2493" t="n">
        <v>38.8</v>
      </c>
      <c r="U2493" t="inlineStr">
        <is>
          <t>17,378</t>
        </is>
      </c>
      <c r="V2493" t="n">
        <v>27.5</v>
      </c>
      <c r="W2493" t="inlineStr">
        <is>
          <t>6%</t>
        </is>
      </c>
      <c r="X2493" t="inlineStr">
        <is>
          <t>55 : 45</t>
        </is>
      </c>
      <c r="Y2493" t="inlineStr"/>
      <c r="Z2493" t="n">
        <v>1501</v>
      </c>
      <c r="AA2493" t="n">
        <v>16.2</v>
      </c>
      <c r="AB2493" t="inlineStr">
        <is>
          <t>U2492</t>
        </is>
      </c>
      <c r="AC2493" t="inlineStr">
        <is>
          <t>TU</t>
        </is>
      </c>
      <c r="AD2493" t="n">
        <v>16.2</v>
      </c>
      <c r="AE2493" t="n">
        <v>17.6</v>
      </c>
      <c r="AF2493" t="n">
        <v>27.5</v>
      </c>
      <c r="AG2493" t="inlineStr">
        <is>
          <t>1:27.5</t>
        </is>
      </c>
      <c r="AH2493" t="inlineStr">
        <is>
          <t>6%</t>
        </is>
      </c>
      <c r="AI2493" t="inlineStr"/>
      <c r="AJ2493" t="n">
        <v>14.61</v>
      </c>
    </row>
    <row r="2494">
      <c r="A2494" t="inlineStr">
        <is>
          <t>Yerevan State University</t>
        </is>
      </c>
      <c r="B2494" t="inlineStr">
        <is>
          <t>Armenia</t>
        </is>
      </c>
      <c r="C2494" t="inlineStr">
        <is>
          <t>901-950</t>
        </is>
      </c>
      <c r="D2494" t="inlineStr"/>
      <c r="E2494" t="n">
        <v>7</v>
      </c>
      <c r="F2494" t="n">
        <v>2.9</v>
      </c>
      <c r="G2494" t="n">
        <v>51.4</v>
      </c>
      <c r="H2494" t="n">
        <v>1.3</v>
      </c>
      <c r="I2494" t="n">
        <v>5.1</v>
      </c>
      <c r="J2494" t="n">
        <v>1.7</v>
      </c>
      <c r="K2494" t="n">
        <v>20</v>
      </c>
      <c r="L2494" t="n">
        <v>87.40000000000001</v>
      </c>
      <c r="M2494" t="n">
        <v>1</v>
      </c>
      <c r="N2494" t="inlineStr">
        <is>
          <t>1501+</t>
        </is>
      </c>
      <c r="O2494" t="inlineStr">
        <is>
          <t>9.7–22.7</t>
        </is>
      </c>
      <c r="P2494" t="n">
        <v>23.9</v>
      </c>
      <c r="Q2494" t="n">
        <v>8.6</v>
      </c>
      <c r="R2494" t="n">
        <v>26.8</v>
      </c>
      <c r="S2494" t="n">
        <v>16.4</v>
      </c>
      <c r="T2494" t="n">
        <v>38.1</v>
      </c>
      <c r="U2494" t="inlineStr">
        <is>
          <t>13,838</t>
        </is>
      </c>
      <c r="V2494" t="n">
        <v>8</v>
      </c>
      <c r="W2494" t="inlineStr">
        <is>
          <t>2%</t>
        </is>
      </c>
      <c r="X2494" t="inlineStr">
        <is>
          <t>53 : 47</t>
        </is>
      </c>
      <c r="Y2494" t="n">
        <v>901</v>
      </c>
      <c r="Z2494" t="n">
        <v>1501</v>
      </c>
      <c r="AA2494" t="n">
        <v>16.2</v>
      </c>
      <c r="AB2494" t="inlineStr">
        <is>
          <t>U2493</t>
        </is>
      </c>
      <c r="AC2494" t="inlineStr">
        <is>
          <t>AR</t>
        </is>
      </c>
      <c r="AD2494" t="n">
        <v>16.2</v>
      </c>
      <c r="AE2494" t="n">
        <v>1.3</v>
      </c>
      <c r="AF2494" t="n">
        <v>8</v>
      </c>
      <c r="AG2494" t="inlineStr">
        <is>
          <t>1:8.0</t>
        </is>
      </c>
      <c r="AH2494" t="inlineStr">
        <is>
          <t>2%</t>
        </is>
      </c>
      <c r="AI2494" t="n">
        <v>7</v>
      </c>
      <c r="AJ2494" t="n">
        <v>7.51</v>
      </c>
    </row>
    <row r="2495">
      <c r="A2495" t="inlineStr">
        <is>
          <t>Yeshiva University</t>
        </is>
      </c>
      <c r="B2495" t="inlineStr">
        <is>
          <t>United States</t>
        </is>
      </c>
      <c r="C2495" t="inlineStr">
        <is>
          <t>413</t>
        </is>
      </c>
      <c r="D2495" t="n">
        <v>28.8</v>
      </c>
      <c r="E2495" t="n">
        <v>3.1</v>
      </c>
      <c r="F2495" t="n">
        <v>2.8</v>
      </c>
      <c r="G2495" t="n">
        <v>65.3</v>
      </c>
      <c r="H2495" t="n">
        <v>91.59999999999999</v>
      </c>
      <c r="I2495" t="n">
        <v>31.4</v>
      </c>
      <c r="J2495" t="n">
        <v>13.5</v>
      </c>
      <c r="K2495" t="n">
        <v>6.6</v>
      </c>
      <c r="L2495" t="n">
        <v>3</v>
      </c>
      <c r="M2495" t="n">
        <v>15.8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n">
        <v>413</v>
      </c>
      <c r="Z2495" t="inlineStr"/>
      <c r="AA2495" t="inlineStr"/>
      <c r="AB2495" t="inlineStr">
        <is>
          <t>U2494</t>
        </is>
      </c>
      <c r="AC2495" t="inlineStr">
        <is>
          <t>UN</t>
        </is>
      </c>
      <c r="AD2495" t="n">
        <v>28.8</v>
      </c>
      <c r="AE2495" t="n">
        <v>91.59999999999999</v>
      </c>
      <c r="AF2495" t="inlineStr"/>
      <c r="AG2495" t="inlineStr"/>
      <c r="AH2495" t="inlineStr"/>
      <c r="AI2495" t="n">
        <v>3.1</v>
      </c>
      <c r="AJ2495" t="n">
        <v>41.15</v>
      </c>
    </row>
    <row r="2496">
      <c r="A2496" t="inlineStr">
        <is>
          <t xml:space="preserve">Yeungnam University </t>
        </is>
      </c>
      <c r="B2496" t="inlineStr">
        <is>
          <t>South Korea</t>
        </is>
      </c>
      <c r="C2496" t="inlineStr">
        <is>
          <t>951-1000</t>
        </is>
      </c>
      <c r="D2496" t="inlineStr"/>
      <c r="E2496" t="n">
        <v>3.8</v>
      </c>
      <c r="F2496" t="n">
        <v>2.9</v>
      </c>
      <c r="G2496" t="n">
        <v>13.4</v>
      </c>
      <c r="H2496" t="n">
        <v>26.9</v>
      </c>
      <c r="I2496" t="n">
        <v>34.2</v>
      </c>
      <c r="J2496" t="n">
        <v>7.5</v>
      </c>
      <c r="K2496" t="n">
        <v>43.9</v>
      </c>
      <c r="L2496" t="n">
        <v>2.7</v>
      </c>
      <c r="M2496" t="n">
        <v>1.6</v>
      </c>
      <c r="N2496" t="inlineStr">
        <is>
          <t>601–800</t>
        </is>
      </c>
      <c r="O2496" t="inlineStr">
        <is>
          <t>37.0–41.8</t>
        </is>
      </c>
      <c r="P2496" t="n">
        <v>24.1</v>
      </c>
      <c r="Q2496" t="n">
        <v>18</v>
      </c>
      <c r="R2496" t="n">
        <v>66.8</v>
      </c>
      <c r="S2496" t="n">
        <v>47</v>
      </c>
      <c r="T2496" t="n">
        <v>54.9</v>
      </c>
      <c r="U2496" t="inlineStr">
        <is>
          <t>19,063</t>
        </is>
      </c>
      <c r="V2496" t="n">
        <v>14.7</v>
      </c>
      <c r="W2496" t="inlineStr">
        <is>
          <t>5%</t>
        </is>
      </c>
      <c r="X2496" t="inlineStr">
        <is>
          <t>50 : 50</t>
        </is>
      </c>
      <c r="Y2496" t="n">
        <v>951</v>
      </c>
      <c r="Z2496" t="n">
        <v>601</v>
      </c>
      <c r="AA2496" t="n">
        <v>39.4</v>
      </c>
      <c r="AB2496" t="inlineStr">
        <is>
          <t>U2495</t>
        </is>
      </c>
      <c r="AC2496" t="inlineStr">
        <is>
          <t>SO</t>
        </is>
      </c>
      <c r="AD2496" t="n">
        <v>39.4</v>
      </c>
      <c r="AE2496" t="n">
        <v>26.9</v>
      </c>
      <c r="AF2496" t="n">
        <v>14.7</v>
      </c>
      <c r="AG2496" t="inlineStr">
        <is>
          <t>1:14.7</t>
        </is>
      </c>
      <c r="AH2496" t="inlineStr">
        <is>
          <t>5%</t>
        </is>
      </c>
      <c r="AI2496" t="n">
        <v>3.8</v>
      </c>
      <c r="AJ2496" t="n">
        <v>24.25</v>
      </c>
    </row>
    <row r="2497">
      <c r="A2497" t="inlineStr">
        <is>
          <t>Yildiz Technical University</t>
        </is>
      </c>
      <c r="B2497" t="inlineStr">
        <is>
          <t>Turkey</t>
        </is>
      </c>
      <c r="C2497" t="inlineStr">
        <is>
          <t>851-900</t>
        </is>
      </c>
      <c r="D2497" t="inlineStr"/>
      <c r="E2497" t="n">
        <v>9.699999999999999</v>
      </c>
      <c r="F2497" t="n">
        <v>24.7</v>
      </c>
      <c r="G2497" t="n">
        <v>4.2</v>
      </c>
      <c r="H2497" t="n">
        <v>12.2</v>
      </c>
      <c r="I2497" t="n">
        <v>9.1</v>
      </c>
      <c r="J2497" t="n">
        <v>18.5</v>
      </c>
      <c r="K2497" t="n">
        <v>38.9</v>
      </c>
      <c r="L2497" t="n">
        <v>19.9</v>
      </c>
      <c r="M2497" t="n">
        <v>35.1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n">
        <v>851</v>
      </c>
      <c r="Z2497" t="inlineStr"/>
      <c r="AA2497" t="inlineStr"/>
      <c r="AB2497" t="inlineStr">
        <is>
          <t>U2496</t>
        </is>
      </c>
      <c r="AC2497" t="inlineStr">
        <is>
          <t>TU</t>
        </is>
      </c>
      <c r="AD2497" t="inlineStr"/>
      <c r="AE2497" t="n">
        <v>12.2</v>
      </c>
      <c r="AF2497" t="inlineStr"/>
      <c r="AG2497" t="inlineStr"/>
      <c r="AH2497" t="inlineStr"/>
      <c r="AI2497" t="n">
        <v>9.699999999999999</v>
      </c>
      <c r="AJ2497" t="n">
        <v>17.09</v>
      </c>
    </row>
    <row r="2498">
      <c r="A2498" t="inlineStr">
        <is>
          <t>Yogyakarta State University</t>
        </is>
      </c>
      <c r="B2498" t="inlineStr">
        <is>
          <t>Indonesia</t>
        </is>
      </c>
      <c r="C2498" t="inlineStr">
        <is>
          <t>1201-1400</t>
        </is>
      </c>
      <c r="D2498" t="inlineStr"/>
      <c r="E2498" t="n">
        <v>11.7</v>
      </c>
      <c r="F2498" t="n">
        <v>3.3</v>
      </c>
      <c r="G2498" t="n">
        <v>8.699999999999999</v>
      </c>
      <c r="H2498" t="n">
        <v>1.4</v>
      </c>
      <c r="I2498" t="n">
        <v>13.5</v>
      </c>
      <c r="J2498" t="n">
        <v>1.7</v>
      </c>
      <c r="K2498" t="n">
        <v>8.6</v>
      </c>
      <c r="L2498" t="n">
        <v>2.3</v>
      </c>
      <c r="M2498" t="n">
        <v>1</v>
      </c>
      <c r="N2498" t="inlineStr">
        <is>
          <t>1501+</t>
        </is>
      </c>
      <c r="O2498" t="inlineStr">
        <is>
          <t>9.7–22.7</t>
        </is>
      </c>
      <c r="P2498" t="n">
        <v>16.9</v>
      </c>
      <c r="Q2498" t="n">
        <v>10.5</v>
      </c>
      <c r="R2498" t="n">
        <v>28.8</v>
      </c>
      <c r="S2498" t="n">
        <v>23.1</v>
      </c>
      <c r="T2498" t="n">
        <v>30.6</v>
      </c>
      <c r="U2498" t="inlineStr">
        <is>
          <t>24,073</t>
        </is>
      </c>
      <c r="V2498" t="n">
        <v>16.3</v>
      </c>
      <c r="W2498" t="inlineStr">
        <is>
          <t>1%</t>
        </is>
      </c>
      <c r="X2498" t="inlineStr">
        <is>
          <t>61 : 39</t>
        </is>
      </c>
      <c r="Y2498" t="n">
        <v>1201</v>
      </c>
      <c r="Z2498" t="n">
        <v>1501</v>
      </c>
      <c r="AA2498" t="n">
        <v>16.2</v>
      </c>
      <c r="AB2498" t="inlineStr">
        <is>
          <t>U2497</t>
        </is>
      </c>
      <c r="AC2498" t="inlineStr">
        <is>
          <t>IN</t>
        </is>
      </c>
      <c r="AD2498" t="n">
        <v>16.2</v>
      </c>
      <c r="AE2498" t="n">
        <v>1.4</v>
      </c>
      <c r="AF2498" t="n">
        <v>16.3</v>
      </c>
      <c r="AG2498" t="inlineStr">
        <is>
          <t>1:16.3</t>
        </is>
      </c>
      <c r="AH2498" t="inlineStr">
        <is>
          <t>1%</t>
        </is>
      </c>
      <c r="AI2498" t="n">
        <v>11.7</v>
      </c>
      <c r="AJ2498" t="n">
        <v>6.72</v>
      </c>
    </row>
    <row r="2499">
      <c r="A2499" t="inlineStr">
        <is>
          <t>Yokohama City University</t>
        </is>
      </c>
      <c r="B2499" t="inlineStr">
        <is>
          <t>Japan</t>
        </is>
      </c>
      <c r="C2499" t="inlineStr">
        <is>
          <t>901-950</t>
        </is>
      </c>
      <c r="D2499" t="inlineStr"/>
      <c r="E2499" t="n">
        <v>3.4</v>
      </c>
      <c r="F2499" t="n">
        <v>2.4</v>
      </c>
      <c r="G2499" t="n">
        <v>96.2</v>
      </c>
      <c r="H2499" t="n">
        <v>10.3</v>
      </c>
      <c r="I2499" t="n">
        <v>5.4</v>
      </c>
      <c r="J2499" t="n">
        <v>2.4</v>
      </c>
      <c r="K2499" t="n">
        <v>10.5</v>
      </c>
      <c r="L2499" t="n">
        <v>3.1</v>
      </c>
      <c r="M2499" t="n">
        <v>1</v>
      </c>
      <c r="N2499" t="inlineStr">
        <is>
          <t>801–1000</t>
        </is>
      </c>
      <c r="O2499" t="inlineStr">
        <is>
          <t>32.7–36.9</t>
        </is>
      </c>
      <c r="P2499" t="n">
        <v>28.4</v>
      </c>
      <c r="Q2499" t="n">
        <v>11.3</v>
      </c>
      <c r="R2499" t="n">
        <v>59.4</v>
      </c>
      <c r="S2499" t="n">
        <v>62.4</v>
      </c>
      <c r="T2499" t="n">
        <v>29</v>
      </c>
      <c r="U2499" t="inlineStr">
        <is>
          <t>5,144</t>
        </is>
      </c>
      <c r="V2499" t="n">
        <v>6</v>
      </c>
      <c r="W2499" t="inlineStr">
        <is>
          <t>3%</t>
        </is>
      </c>
      <c r="X2499" t="inlineStr">
        <is>
          <t>55 : 45</t>
        </is>
      </c>
      <c r="Y2499" t="n">
        <v>901</v>
      </c>
      <c r="Z2499" t="n">
        <v>801</v>
      </c>
      <c r="AA2499" t="n">
        <v>34.8</v>
      </c>
      <c r="AB2499" t="inlineStr">
        <is>
          <t>U2498</t>
        </is>
      </c>
      <c r="AC2499" t="inlineStr">
        <is>
          <t>JA</t>
        </is>
      </c>
      <c r="AD2499" t="n">
        <v>34.8</v>
      </c>
      <c r="AE2499" t="n">
        <v>10.3</v>
      </c>
      <c r="AF2499" t="n">
        <v>6</v>
      </c>
      <c r="AG2499" t="inlineStr">
        <is>
          <t>1:6.0</t>
        </is>
      </c>
      <c r="AH2499" t="inlineStr">
        <is>
          <t>3%</t>
        </is>
      </c>
      <c r="AI2499" t="n">
        <v>3.4</v>
      </c>
      <c r="AJ2499" t="n">
        <v>9.449999999999999</v>
      </c>
    </row>
    <row r="2500">
      <c r="A2500" t="inlineStr">
        <is>
          <t>Yokohama National University</t>
        </is>
      </c>
      <c r="B2500" t="inlineStr">
        <is>
          <t>Japan</t>
        </is>
      </c>
      <c r="C2500" t="inlineStr">
        <is>
          <t>1001-1200</t>
        </is>
      </c>
      <c r="D2500" t="inlineStr"/>
      <c r="E2500" t="n">
        <v>9.300000000000001</v>
      </c>
      <c r="F2500" t="n">
        <v>16.4</v>
      </c>
      <c r="G2500" t="n">
        <v>18.3</v>
      </c>
      <c r="H2500" t="n">
        <v>6.6</v>
      </c>
      <c r="I2500" t="n">
        <v>10.1</v>
      </c>
      <c r="J2500" t="n">
        <v>7.8</v>
      </c>
      <c r="K2500" t="n">
        <v>26.5</v>
      </c>
      <c r="L2500" t="n">
        <v>17.8</v>
      </c>
      <c r="M2500" t="n">
        <v>2.8</v>
      </c>
      <c r="N2500" t="inlineStr">
        <is>
          <t>1201–1500</t>
        </is>
      </c>
      <c r="O2500" t="inlineStr">
        <is>
          <t>22.8–28.2</t>
        </is>
      </c>
      <c r="P2500" t="n">
        <v>26</v>
      </c>
      <c r="Q2500" t="n">
        <v>22.5</v>
      </c>
      <c r="R2500" t="n">
        <v>19.1</v>
      </c>
      <c r="S2500" t="n">
        <v>71.2</v>
      </c>
      <c r="T2500" t="n">
        <v>36.1</v>
      </c>
      <c r="U2500" t="inlineStr">
        <is>
          <t>9,649</t>
        </is>
      </c>
      <c r="V2500" t="n">
        <v>13.4</v>
      </c>
      <c r="W2500" t="inlineStr">
        <is>
          <t>8%</t>
        </is>
      </c>
      <c r="X2500" t="inlineStr">
        <is>
          <t>28 : 72</t>
        </is>
      </c>
      <c r="Y2500" t="n">
        <v>1001</v>
      </c>
      <c r="Z2500" t="n">
        <v>1201</v>
      </c>
      <c r="AA2500" t="n">
        <v>25.5</v>
      </c>
      <c r="AB2500" t="inlineStr">
        <is>
          <t>U2499</t>
        </is>
      </c>
      <c r="AC2500" t="inlineStr">
        <is>
          <t>JA</t>
        </is>
      </c>
      <c r="AD2500" t="n">
        <v>25.5</v>
      </c>
      <c r="AE2500" t="n">
        <v>6.6</v>
      </c>
      <c r="AF2500" t="n">
        <v>13.4</v>
      </c>
      <c r="AG2500" t="inlineStr">
        <is>
          <t>1:13.4</t>
        </is>
      </c>
      <c r="AH2500" t="inlineStr">
        <is>
          <t>8%</t>
        </is>
      </c>
      <c r="AI2500" t="n">
        <v>9.300000000000001</v>
      </c>
      <c r="AJ2500" t="n">
        <v>15.92</v>
      </c>
    </row>
    <row r="2501">
      <c r="A2501" t="inlineStr">
        <is>
          <t>Yonsei University</t>
        </is>
      </c>
      <c r="B2501" t="inlineStr">
        <is>
          <t>South Korea</t>
        </is>
      </c>
      <c r="C2501" t="inlineStr">
        <is>
          <t>56</t>
        </is>
      </c>
      <c r="D2501" t="n">
        <v>72.90000000000001</v>
      </c>
      <c r="E2501" t="n">
        <v>81.5</v>
      </c>
      <c r="F2501" t="n">
        <v>97</v>
      </c>
      <c r="G2501" t="n">
        <v>84.2</v>
      </c>
      <c r="H2501" t="n">
        <v>44.1</v>
      </c>
      <c r="I2501" t="n">
        <v>20.7</v>
      </c>
      <c r="J2501" t="n">
        <v>51.2</v>
      </c>
      <c r="K2501" t="n">
        <v>78.7</v>
      </c>
      <c r="L2501" t="n">
        <v>87.8</v>
      </c>
      <c r="M2501" t="n">
        <v>88.90000000000001</v>
      </c>
      <c r="N2501" t="inlineStr">
        <is>
          <t>76</t>
        </is>
      </c>
      <c r="O2501" t="inlineStr">
        <is>
          <t>70.4</t>
        </is>
      </c>
      <c r="P2501" t="n">
        <v>68.09999999999999</v>
      </c>
      <c r="Q2501" t="n">
        <v>64.3</v>
      </c>
      <c r="R2501" t="n">
        <v>79.3</v>
      </c>
      <c r="S2501" t="n">
        <v>99.90000000000001</v>
      </c>
      <c r="T2501" t="n">
        <v>51.8</v>
      </c>
      <c r="U2501" t="inlineStr">
        <is>
          <t>18,961</t>
        </is>
      </c>
      <c r="V2501" t="n">
        <v>13.9</v>
      </c>
      <c r="W2501" t="inlineStr">
        <is>
          <t>17%</t>
        </is>
      </c>
      <c r="X2501" t="inlineStr">
        <is>
          <t>49 : 51</t>
        </is>
      </c>
      <c r="Y2501" t="n">
        <v>56</v>
      </c>
      <c r="Z2501" t="n">
        <v>76</v>
      </c>
      <c r="AA2501" t="n">
        <v>70.40000000000001</v>
      </c>
      <c r="AB2501" t="inlineStr">
        <is>
          <t>U2500</t>
        </is>
      </c>
      <c r="AC2501" t="inlineStr">
        <is>
          <t>SO</t>
        </is>
      </c>
      <c r="AD2501" t="n">
        <v>72.90000000000001</v>
      </c>
      <c r="AE2501" t="n">
        <v>44.1</v>
      </c>
      <c r="AF2501" t="n">
        <v>13.9</v>
      </c>
      <c r="AG2501" t="inlineStr">
        <is>
          <t>1:13.9</t>
        </is>
      </c>
      <c r="AH2501" t="inlineStr">
        <is>
          <t>17%</t>
        </is>
      </c>
      <c r="AI2501" t="n">
        <v>81.5</v>
      </c>
      <c r="AJ2501" t="n">
        <v>52.98</v>
      </c>
    </row>
    <row r="2502">
      <c r="A2502" t="inlineStr">
        <is>
          <t>York University</t>
        </is>
      </c>
      <c r="B2502" t="inlineStr">
        <is>
          <t>Canada</t>
        </is>
      </c>
      <c r="C2502" t="inlineStr">
        <is>
          <t>362</t>
        </is>
      </c>
      <c r="D2502" t="n">
        <v>31.7</v>
      </c>
      <c r="E2502" t="n">
        <v>22.7</v>
      </c>
      <c r="F2502" t="n">
        <v>18.6</v>
      </c>
      <c r="G2502" t="n">
        <v>3.9</v>
      </c>
      <c r="H2502" t="n">
        <v>22.6</v>
      </c>
      <c r="I2502" t="n">
        <v>53.1</v>
      </c>
      <c r="J2502" t="n">
        <v>78.7</v>
      </c>
      <c r="K2502" t="n">
        <v>65.5</v>
      </c>
      <c r="L2502" t="n">
        <v>76.3</v>
      </c>
      <c r="M2502" t="n">
        <v>86.5</v>
      </c>
      <c r="N2502" t="inlineStr">
        <is>
          <t>351–400</t>
        </is>
      </c>
      <c r="O2502" t="inlineStr">
        <is>
          <t>49.1–51.0</t>
        </is>
      </c>
      <c r="P2502" t="n">
        <v>28.2</v>
      </c>
      <c r="Q2502" t="n">
        <v>32.4</v>
      </c>
      <c r="R2502" t="n">
        <v>78.3</v>
      </c>
      <c r="S2502" t="n">
        <v>69.59999999999999</v>
      </c>
      <c r="T2502" t="n">
        <v>79.5</v>
      </c>
      <c r="U2502" t="inlineStr">
        <is>
          <t>44,038</t>
        </is>
      </c>
      <c r="V2502" t="n">
        <v>29.1</v>
      </c>
      <c r="W2502" t="inlineStr">
        <is>
          <t>28%</t>
        </is>
      </c>
      <c r="X2502" t="inlineStr">
        <is>
          <t>55 : 45</t>
        </is>
      </c>
      <c r="Y2502" t="n">
        <v>362</v>
      </c>
      <c r="Z2502" t="n">
        <v>351</v>
      </c>
      <c r="AA2502" t="n">
        <v>50.05</v>
      </c>
      <c r="AB2502" t="inlineStr">
        <is>
          <t>U2501</t>
        </is>
      </c>
      <c r="AC2502" t="inlineStr">
        <is>
          <t>CA</t>
        </is>
      </c>
      <c r="AD2502" t="n">
        <v>31.7</v>
      </c>
      <c r="AE2502" t="n">
        <v>22.6</v>
      </c>
      <c r="AF2502" t="n">
        <v>29.1</v>
      </c>
      <c r="AG2502" t="inlineStr">
        <is>
          <t>1:29.1</t>
        </is>
      </c>
      <c r="AH2502" t="inlineStr">
        <is>
          <t>28%</t>
        </is>
      </c>
      <c r="AI2502" t="n">
        <v>22.7</v>
      </c>
      <c r="AJ2502" t="n">
        <v>36.45</v>
      </c>
    </row>
    <row r="2503">
      <c r="A2503" t="inlineStr">
        <is>
          <t>Youngsan University</t>
        </is>
      </c>
      <c r="B2503" t="inlineStr">
        <is>
          <t>South Korea</t>
        </is>
      </c>
      <c r="C2503" t="inlineStr">
        <is>
          <t>1201-1400</t>
        </is>
      </c>
      <c r="D2503" t="inlineStr"/>
      <c r="E2503" t="n">
        <v>4</v>
      </c>
      <c r="F2503" t="n">
        <v>10</v>
      </c>
      <c r="G2503" t="n">
        <v>19.3</v>
      </c>
      <c r="H2503" t="n">
        <v>1.3</v>
      </c>
      <c r="I2503" t="n">
        <v>2.5</v>
      </c>
      <c r="J2503" t="n">
        <v>9.9</v>
      </c>
      <c r="K2503" t="n">
        <v>2</v>
      </c>
      <c r="L2503" t="n">
        <v>1.9</v>
      </c>
      <c r="M2503" t="n">
        <v>1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n">
        <v>1201</v>
      </c>
      <c r="Z2503" t="inlineStr"/>
      <c r="AA2503" t="inlineStr"/>
      <c r="AB2503" t="inlineStr">
        <is>
          <t>U2502</t>
        </is>
      </c>
      <c r="AC2503" t="inlineStr">
        <is>
          <t>SO</t>
        </is>
      </c>
      <c r="AD2503" t="inlineStr"/>
      <c r="AE2503" t="n">
        <v>1.3</v>
      </c>
      <c r="AF2503" t="inlineStr"/>
      <c r="AG2503" t="inlineStr"/>
      <c r="AH2503" t="inlineStr"/>
      <c r="AI2503" t="n">
        <v>4</v>
      </c>
      <c r="AJ2503" t="n">
        <v>13.78</v>
      </c>
    </row>
    <row r="2504">
      <c r="A2504" t="inlineStr">
        <is>
          <t>Yuan Ze University</t>
        </is>
      </c>
      <c r="B2504" t="inlineStr">
        <is>
          <t>Taiwan</t>
        </is>
      </c>
      <c r="C2504" t="inlineStr">
        <is>
          <t>1201-1400</t>
        </is>
      </c>
      <c r="D2504" t="inlineStr"/>
      <c r="E2504" t="n">
        <v>5.5</v>
      </c>
      <c r="F2504" t="n">
        <v>5.6</v>
      </c>
      <c r="G2504" t="n">
        <v>8.699999999999999</v>
      </c>
      <c r="H2504" t="n">
        <v>9</v>
      </c>
      <c r="I2504" t="n">
        <v>12.2</v>
      </c>
      <c r="J2504" t="n">
        <v>11.7</v>
      </c>
      <c r="K2504" t="n">
        <v>12.4</v>
      </c>
      <c r="L2504" t="n">
        <v>2</v>
      </c>
      <c r="M2504" t="n">
        <v>2.4</v>
      </c>
      <c r="N2504" t="inlineStr">
        <is>
          <t>1201–1500</t>
        </is>
      </c>
      <c r="O2504" t="inlineStr">
        <is>
          <t>22.8–28.2</t>
        </is>
      </c>
      <c r="P2504" t="n">
        <v>18.5</v>
      </c>
      <c r="Q2504" t="n">
        <v>24.1</v>
      </c>
      <c r="R2504" t="n">
        <v>32.1</v>
      </c>
      <c r="S2504" t="n">
        <v>69</v>
      </c>
      <c r="T2504" t="n">
        <v>42.8</v>
      </c>
      <c r="U2504" t="inlineStr">
        <is>
          <t>6,852</t>
        </is>
      </c>
      <c r="V2504" t="n">
        <v>23</v>
      </c>
      <c r="W2504" t="inlineStr">
        <is>
          <t>8%</t>
        </is>
      </c>
      <c r="X2504" t="inlineStr">
        <is>
          <t>44 : 56</t>
        </is>
      </c>
      <c r="Y2504" t="n">
        <v>1201</v>
      </c>
      <c r="Z2504" t="n">
        <v>1201</v>
      </c>
      <c r="AA2504" t="n">
        <v>25.5</v>
      </c>
      <c r="AB2504" t="inlineStr">
        <is>
          <t>U2503</t>
        </is>
      </c>
      <c r="AC2504" t="inlineStr">
        <is>
          <t>TA</t>
        </is>
      </c>
      <c r="AD2504" t="n">
        <v>25.5</v>
      </c>
      <c r="AE2504" t="n">
        <v>9</v>
      </c>
      <c r="AF2504" t="n">
        <v>23</v>
      </c>
      <c r="AG2504" t="inlineStr">
        <is>
          <t>1:23.0</t>
        </is>
      </c>
      <c r="AH2504" t="inlineStr">
        <is>
          <t>8%</t>
        </is>
      </c>
      <c r="AI2504" t="n">
        <v>5.5</v>
      </c>
      <c r="AJ2504" t="n">
        <v>19.1</v>
      </c>
    </row>
    <row r="2505">
      <c r="A2505" t="inlineStr">
        <is>
          <t>Yuriy Fedkovych Chernivtsi National University</t>
        </is>
      </c>
      <c r="B2505" t="inlineStr">
        <is>
          <t>Ukraine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>
        <is>
          <t>1201–1500</t>
        </is>
      </c>
      <c r="O2505" t="inlineStr">
        <is>
          <t>22.8–28.2</t>
        </is>
      </c>
      <c r="P2505" t="n">
        <v>22.8</v>
      </c>
      <c r="Q2505" t="n">
        <v>9.9</v>
      </c>
      <c r="R2505" t="n">
        <v>8.199999999999999</v>
      </c>
      <c r="S2505" t="n">
        <v>17.6</v>
      </c>
      <c r="T2505" t="n">
        <v>26.3</v>
      </c>
      <c r="U2505" t="inlineStr">
        <is>
          <t>10,592</t>
        </is>
      </c>
      <c r="V2505" t="n">
        <v>10.4</v>
      </c>
      <c r="W2505" t="inlineStr">
        <is>
          <t>1%</t>
        </is>
      </c>
      <c r="X2505" t="inlineStr">
        <is>
          <t>56 : 44</t>
        </is>
      </c>
      <c r="Y2505" t="inlineStr"/>
      <c r="Z2505" t="n">
        <v>1201</v>
      </c>
      <c r="AA2505" t="n">
        <v>25.5</v>
      </c>
      <c r="AB2505" t="inlineStr">
        <is>
          <t>U2504</t>
        </is>
      </c>
      <c r="AC2505" t="inlineStr">
        <is>
          <t>UK</t>
        </is>
      </c>
      <c r="AD2505" t="n">
        <v>25.5</v>
      </c>
      <c r="AE2505" t="n">
        <v>8.199999999999999</v>
      </c>
      <c r="AF2505" t="n">
        <v>10.4</v>
      </c>
      <c r="AG2505" t="inlineStr">
        <is>
          <t>1:10.4</t>
        </is>
      </c>
      <c r="AH2505" t="inlineStr">
        <is>
          <t>1%</t>
        </is>
      </c>
      <c r="AI2505" t="inlineStr"/>
      <c r="AJ2505" t="n">
        <v>7.43</v>
      </c>
    </row>
    <row r="2506">
      <c r="A2506" t="inlineStr">
        <is>
          <t>Zagazig University</t>
        </is>
      </c>
      <c r="B2506" t="inlineStr">
        <is>
          <t>Egypt</t>
        </is>
      </c>
      <c r="C2506" t="inlineStr">
        <is>
          <t>1201-1400</t>
        </is>
      </c>
      <c r="D2506" t="inlineStr"/>
      <c r="E2506" t="n">
        <v>7.7</v>
      </c>
      <c r="F2506" t="n">
        <v>4.9</v>
      </c>
      <c r="G2506" t="n">
        <v>3</v>
      </c>
      <c r="H2506" t="n">
        <v>2.6</v>
      </c>
      <c r="I2506" t="n">
        <v>1.1</v>
      </c>
      <c r="J2506" t="n">
        <v>2.5</v>
      </c>
      <c r="K2506" t="n">
        <v>67.7</v>
      </c>
      <c r="L2506" t="n">
        <v>3.7</v>
      </c>
      <c r="M2506" t="n">
        <v>5.3</v>
      </c>
      <c r="N2506" t="inlineStr">
        <is>
          <t>801–1000</t>
        </is>
      </c>
      <c r="O2506" t="inlineStr">
        <is>
          <t>32.7–36.9</t>
        </is>
      </c>
      <c r="P2506" t="n">
        <v>14.2</v>
      </c>
      <c r="Q2506" t="n">
        <v>9.199999999999999</v>
      </c>
      <c r="R2506" t="n">
        <v>71.40000000000001</v>
      </c>
      <c r="S2506" t="n">
        <v>49.8</v>
      </c>
      <c r="T2506" t="n">
        <v>49</v>
      </c>
      <c r="U2506" t="inlineStr">
        <is>
          <t>166,653</t>
        </is>
      </c>
      <c r="V2506" t="n">
        <v>25.2</v>
      </c>
      <c r="W2506" t="inlineStr">
        <is>
          <t>2%</t>
        </is>
      </c>
      <c r="X2506" t="inlineStr">
        <is>
          <t>52 : 48</t>
        </is>
      </c>
      <c r="Y2506" t="n">
        <v>1201</v>
      </c>
      <c r="Z2506" t="n">
        <v>801</v>
      </c>
      <c r="AA2506" t="n">
        <v>34.8</v>
      </c>
      <c r="AB2506" t="inlineStr">
        <is>
          <t>U2505</t>
        </is>
      </c>
      <c r="AC2506" t="inlineStr">
        <is>
          <t>EG</t>
        </is>
      </c>
      <c r="AD2506" t="n">
        <v>34.8</v>
      </c>
      <c r="AE2506" t="n">
        <v>2.6</v>
      </c>
      <c r="AF2506" t="n">
        <v>25.2</v>
      </c>
      <c r="AG2506" t="inlineStr">
        <is>
          <t>1:25.2</t>
        </is>
      </c>
      <c r="AH2506" t="inlineStr">
        <is>
          <t>2%</t>
        </is>
      </c>
      <c r="AI2506" t="n">
        <v>7.7</v>
      </c>
      <c r="AJ2506" t="n">
        <v>10.85</v>
      </c>
    </row>
    <row r="2507">
      <c r="A2507" t="inlineStr">
        <is>
          <t>Zanjan University of Medical Sciences</t>
        </is>
      </c>
      <c r="B2507" t="inlineStr">
        <is>
          <t>Iran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>
        <is>
          <t>1201–1500</t>
        </is>
      </c>
      <c r="O2507" t="inlineStr">
        <is>
          <t>22.8–28.2</t>
        </is>
      </c>
      <c r="P2507" t="n">
        <v>36.4</v>
      </c>
      <c r="Q2507" t="n">
        <v>12.6</v>
      </c>
      <c r="R2507" t="n">
        <v>35.5</v>
      </c>
      <c r="S2507" t="n">
        <v>24.2</v>
      </c>
      <c r="T2507" t="n">
        <v>21.5</v>
      </c>
      <c r="U2507" t="inlineStr">
        <is>
          <t>5,278</t>
        </is>
      </c>
      <c r="V2507" t="n">
        <v>10.9</v>
      </c>
      <c r="W2507" t="inlineStr">
        <is>
          <t>1%</t>
        </is>
      </c>
      <c r="X2507" t="inlineStr">
        <is>
          <t>56 : 44</t>
        </is>
      </c>
      <c r="Y2507" t="inlineStr"/>
      <c r="Z2507" t="n">
        <v>1201</v>
      </c>
      <c r="AA2507" t="n">
        <v>25.5</v>
      </c>
      <c r="AB2507" t="inlineStr">
        <is>
          <t>U2506</t>
        </is>
      </c>
      <c r="AC2507" t="inlineStr">
        <is>
          <t>IR</t>
        </is>
      </c>
      <c r="AD2507" t="n">
        <v>25.5</v>
      </c>
      <c r="AE2507" t="n">
        <v>35.5</v>
      </c>
      <c r="AF2507" t="n">
        <v>10.9</v>
      </c>
      <c r="AG2507" t="inlineStr">
        <is>
          <t>1:10.9</t>
        </is>
      </c>
      <c r="AH2507" t="inlineStr">
        <is>
          <t>1%</t>
        </is>
      </c>
      <c r="AI2507" t="inlineStr"/>
      <c r="AJ2507" t="n">
        <v>15.95</v>
      </c>
    </row>
    <row r="2508">
      <c r="A2508" t="inlineStr">
        <is>
          <t>Zayed University</t>
        </is>
      </c>
      <c r="B2508" t="inlineStr">
        <is>
          <t>United Arab Emirates</t>
        </is>
      </c>
      <c r="C2508" t="inlineStr">
        <is>
          <t>621-630</t>
        </is>
      </c>
      <c r="D2508" t="inlineStr"/>
      <c r="E2508" t="n">
        <v>17.6</v>
      </c>
      <c r="F2508" t="n">
        <v>18.4</v>
      </c>
      <c r="G2508" t="n">
        <v>24.3</v>
      </c>
      <c r="H2508" t="n">
        <v>8.6</v>
      </c>
      <c r="I2508" t="n">
        <v>100</v>
      </c>
      <c r="J2508" t="n">
        <v>1.9</v>
      </c>
      <c r="K2508" t="n">
        <v>50.8</v>
      </c>
      <c r="L2508" t="n">
        <v>20.9</v>
      </c>
      <c r="M2508" t="n">
        <v>2.9</v>
      </c>
      <c r="N2508" t="inlineStr">
        <is>
          <t>401–500</t>
        </is>
      </c>
      <c r="O2508" t="inlineStr">
        <is>
          <t>45.4–49.0</t>
        </is>
      </c>
      <c r="P2508" t="n">
        <v>28.3</v>
      </c>
      <c r="Q2508" t="n">
        <v>25.4</v>
      </c>
      <c r="R2508" t="n">
        <v>85.7</v>
      </c>
      <c r="S2508" t="n">
        <v>35</v>
      </c>
      <c r="T2508" t="n">
        <v>74.5</v>
      </c>
      <c r="U2508" t="inlineStr">
        <is>
          <t>9,036</t>
        </is>
      </c>
      <c r="V2508" t="n">
        <v>14.4</v>
      </c>
      <c r="W2508" t="inlineStr">
        <is>
          <t>2%</t>
        </is>
      </c>
      <c r="X2508" t="inlineStr">
        <is>
          <t>87 : 13</t>
        </is>
      </c>
      <c r="Y2508" t="n">
        <v>621</v>
      </c>
      <c r="Z2508" t="n">
        <v>401</v>
      </c>
      <c r="AA2508" t="n">
        <v>47.2</v>
      </c>
      <c r="AB2508" t="inlineStr">
        <is>
          <t>U2507</t>
        </is>
      </c>
      <c r="AC2508" t="inlineStr">
        <is>
          <t>UN</t>
        </is>
      </c>
      <c r="AD2508" t="n">
        <v>47.2</v>
      </c>
      <c r="AE2508" t="n">
        <v>8.6</v>
      </c>
      <c r="AF2508" t="n">
        <v>14.4</v>
      </c>
      <c r="AG2508" t="inlineStr">
        <is>
          <t>1:14.4</t>
        </is>
      </c>
      <c r="AH2508" t="inlineStr">
        <is>
          <t>2%</t>
        </is>
      </c>
      <c r="AI2508" t="n">
        <v>17.6</v>
      </c>
      <c r="AJ2508" t="n">
        <v>27.33</v>
      </c>
    </row>
    <row r="2509">
      <c r="A2509" t="inlineStr">
        <is>
          <t>Zewail City of Science and Technology</t>
        </is>
      </c>
      <c r="B2509" t="inlineStr">
        <is>
          <t>Egypt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>
        <is>
          <t>1001–1200</t>
        </is>
      </c>
      <c r="O2509" t="inlineStr">
        <is>
          <t>28.3–32.6</t>
        </is>
      </c>
      <c r="P2509" t="n">
        <v>25.8</v>
      </c>
      <c r="Q2509" t="n">
        <v>17.3</v>
      </c>
      <c r="R2509" t="n">
        <v>53.9</v>
      </c>
      <c r="S2509" t="n">
        <v>20.5</v>
      </c>
      <c r="T2509" t="n">
        <v>37.7</v>
      </c>
      <c r="U2509" t="inlineStr">
        <is>
          <t>1,052</t>
        </is>
      </c>
      <c r="V2509" t="n">
        <v>9.800000000000001</v>
      </c>
      <c r="W2509" t="inlineStr">
        <is>
          <t>0%</t>
        </is>
      </c>
      <c r="X2509" t="inlineStr">
        <is>
          <t>48 : 52</t>
        </is>
      </c>
      <c r="Y2509" t="inlineStr"/>
      <c r="Z2509" t="n">
        <v>1001</v>
      </c>
      <c r="AA2509" t="n">
        <v>30.45</v>
      </c>
      <c r="AB2509" t="inlineStr">
        <is>
          <t>U2508</t>
        </is>
      </c>
      <c r="AC2509" t="inlineStr">
        <is>
          <t>EG</t>
        </is>
      </c>
      <c r="AD2509" t="n">
        <v>30.45</v>
      </c>
      <c r="AE2509" t="n">
        <v>53.9</v>
      </c>
      <c r="AF2509" t="n">
        <v>9.800000000000001</v>
      </c>
      <c r="AG2509" t="inlineStr">
        <is>
          <t>1:9.8</t>
        </is>
      </c>
      <c r="AH2509" t="inlineStr">
        <is>
          <t>0%</t>
        </is>
      </c>
      <c r="AI2509" t="inlineStr"/>
      <c r="AJ2509" t="n">
        <v>27.91</v>
      </c>
    </row>
    <row r="2510">
      <c r="A2510" t="inlineStr">
        <is>
          <t>ZHAW Zurich University of Applied Sciences</t>
        </is>
      </c>
      <c r="B2510" t="inlineStr">
        <is>
          <t>Switzerland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>
        <is>
          <t>801–1000</t>
        </is>
      </c>
      <c r="O2510" t="inlineStr">
        <is>
          <t>32.7–36.9</t>
        </is>
      </c>
      <c r="P2510" t="n">
        <v>22.2</v>
      </c>
      <c r="Q2510" t="n">
        <v>15.8</v>
      </c>
      <c r="R2510" t="n">
        <v>46</v>
      </c>
      <c r="S2510" t="n">
        <v>59.2</v>
      </c>
      <c r="T2510" t="n">
        <v>72.40000000000001</v>
      </c>
      <c r="U2510" t="inlineStr">
        <is>
          <t>11,120</t>
        </is>
      </c>
      <c r="V2510" t="n">
        <v>12.3</v>
      </c>
      <c r="W2510" t="inlineStr">
        <is>
          <t>11%</t>
        </is>
      </c>
      <c r="X2510" t="inlineStr">
        <is>
          <t>52 : 48</t>
        </is>
      </c>
      <c r="Y2510" t="inlineStr"/>
      <c r="Z2510" t="n">
        <v>801</v>
      </c>
      <c r="AA2510" t="n">
        <v>34.8</v>
      </c>
      <c r="AB2510" t="inlineStr">
        <is>
          <t>U2509</t>
        </is>
      </c>
      <c r="AC2510" t="inlineStr">
        <is>
          <t>SW</t>
        </is>
      </c>
      <c r="AD2510" t="n">
        <v>34.8</v>
      </c>
      <c r="AE2510" t="n">
        <v>46</v>
      </c>
      <c r="AF2510" t="n">
        <v>12.3</v>
      </c>
      <c r="AG2510" t="inlineStr">
        <is>
          <t>1:12.3</t>
        </is>
      </c>
      <c r="AH2510" t="inlineStr">
        <is>
          <t>11%</t>
        </is>
      </c>
      <c r="AI2510" t="inlineStr"/>
      <c r="AJ2510" t="n">
        <v>33.12</v>
      </c>
    </row>
    <row r="2511">
      <c r="A2511" t="inlineStr">
        <is>
          <t>Zhejiang Chinese Medical University</t>
        </is>
      </c>
      <c r="B2511" t="inlineStr">
        <is>
          <t>China</t>
        </is>
      </c>
      <c r="C2511" t="inlineStr"/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>
        <is>
          <t>1201–1500</t>
        </is>
      </c>
      <c r="O2511" t="inlineStr">
        <is>
          <t>22.8–28.2</t>
        </is>
      </c>
      <c r="P2511" t="n">
        <v>16.5</v>
      </c>
      <c r="Q2511" t="n">
        <v>16.4</v>
      </c>
      <c r="R2511" t="n">
        <v>34.5</v>
      </c>
      <c r="S2511" t="n">
        <v>37.2</v>
      </c>
      <c r="T2511" t="n">
        <v>23</v>
      </c>
      <c r="U2511" t="inlineStr">
        <is>
          <t>18,260</t>
        </is>
      </c>
      <c r="V2511" t="n">
        <v>31</v>
      </c>
      <c r="W2511" t="inlineStr">
        <is>
          <t>5%</t>
        </is>
      </c>
      <c r="X2511" t="inlineStr">
        <is>
          <t>66 : 34</t>
        </is>
      </c>
      <c r="Y2511" t="inlineStr"/>
      <c r="Z2511" t="n">
        <v>1201</v>
      </c>
      <c r="AA2511" t="n">
        <v>25.5</v>
      </c>
      <c r="AB2511" t="inlineStr">
        <is>
          <t>U2510</t>
        </is>
      </c>
      <c r="AC2511" t="inlineStr">
        <is>
          <t>CH</t>
        </is>
      </c>
      <c r="AD2511" t="n">
        <v>25.5</v>
      </c>
      <c r="AE2511" t="n">
        <v>34.5</v>
      </c>
      <c r="AF2511" t="n">
        <v>31</v>
      </c>
      <c r="AG2511" t="inlineStr">
        <is>
          <t>1:31.0</t>
        </is>
      </c>
      <c r="AH2511" t="inlineStr">
        <is>
          <t>5%</t>
        </is>
      </c>
      <c r="AI2511" t="inlineStr"/>
      <c r="AJ2511" t="n">
        <v>18</v>
      </c>
    </row>
    <row r="2512">
      <c r="A2512" t="inlineStr">
        <is>
          <t>Zhejiang Gongshang University</t>
        </is>
      </c>
      <c r="B2512" t="inlineStr">
        <is>
          <t>China</t>
        </is>
      </c>
      <c r="C2512" t="inlineStr"/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>
        <is>
          <t>801–1000</t>
        </is>
      </c>
      <c r="O2512" t="inlineStr">
        <is>
          <t>32.7–36.9</t>
        </is>
      </c>
      <c r="P2512" t="n">
        <v>21.8</v>
      </c>
      <c r="Q2512" t="n">
        <v>12.6</v>
      </c>
      <c r="R2512" t="n">
        <v>61.1</v>
      </c>
      <c r="S2512" t="n">
        <v>30.8</v>
      </c>
      <c r="T2512" t="n">
        <v>44.1</v>
      </c>
      <c r="U2512" t="inlineStr">
        <is>
          <t>17,459</t>
        </is>
      </c>
      <c r="V2512" t="n">
        <v>11.5</v>
      </c>
      <c r="W2512" t="inlineStr">
        <is>
          <t>7%</t>
        </is>
      </c>
      <c r="X2512" t="inlineStr">
        <is>
          <t>58 : 42</t>
        </is>
      </c>
      <c r="Y2512" t="inlineStr"/>
      <c r="Z2512" t="n">
        <v>801</v>
      </c>
      <c r="AA2512" t="n">
        <v>34.8</v>
      </c>
      <c r="AB2512" t="inlineStr">
        <is>
          <t>U2511</t>
        </is>
      </c>
      <c r="AC2512" t="inlineStr">
        <is>
          <t>CH</t>
        </is>
      </c>
      <c r="AD2512" t="n">
        <v>34.8</v>
      </c>
      <c r="AE2512" t="n">
        <v>61.1</v>
      </c>
      <c r="AF2512" t="n">
        <v>11.5</v>
      </c>
      <c r="AG2512" t="inlineStr">
        <is>
          <t>1:11.5</t>
        </is>
      </c>
      <c r="AH2512" t="inlineStr">
        <is>
          <t>7%</t>
        </is>
      </c>
      <c r="AI2512" t="inlineStr"/>
      <c r="AJ2512" t="n">
        <v>29.18</v>
      </c>
    </row>
    <row r="2513">
      <c r="A2513" t="inlineStr">
        <is>
          <t>Zhejiang Normal University</t>
        </is>
      </c>
      <c r="B2513" t="inlineStr">
        <is>
          <t>China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>
        <is>
          <t>601–800</t>
        </is>
      </c>
      <c r="O2513" t="inlineStr">
        <is>
          <t>37.0–41.8</t>
        </is>
      </c>
      <c r="P2513" t="n">
        <v>20.3</v>
      </c>
      <c r="Q2513" t="n">
        <v>19</v>
      </c>
      <c r="R2513" t="n">
        <v>75.40000000000001</v>
      </c>
      <c r="S2513" t="n">
        <v>54.1</v>
      </c>
      <c r="T2513" t="n">
        <v>35.6</v>
      </c>
      <c r="U2513" t="inlineStr">
        <is>
          <t>28,884</t>
        </is>
      </c>
      <c r="V2513" t="n">
        <v>12.2</v>
      </c>
      <c r="W2513" t="inlineStr">
        <is>
          <t>5%</t>
        </is>
      </c>
      <c r="X2513" t="inlineStr"/>
      <c r="Y2513" t="inlineStr"/>
      <c r="Z2513" t="n">
        <v>601</v>
      </c>
      <c r="AA2513" t="n">
        <v>39.4</v>
      </c>
      <c r="AB2513" t="inlineStr">
        <is>
          <t>U2512</t>
        </is>
      </c>
      <c r="AC2513" t="inlineStr">
        <is>
          <t>CH</t>
        </is>
      </c>
      <c r="AD2513" t="n">
        <v>39.4</v>
      </c>
      <c r="AE2513" t="n">
        <v>75.40000000000001</v>
      </c>
      <c r="AF2513" t="n">
        <v>12.2</v>
      </c>
      <c r="AG2513" t="inlineStr">
        <is>
          <t>1:12.2</t>
        </is>
      </c>
      <c r="AH2513" t="inlineStr">
        <is>
          <t>5%</t>
        </is>
      </c>
      <c r="AI2513" t="inlineStr"/>
      <c r="AJ2513" t="n">
        <v>34.81</v>
      </c>
    </row>
    <row r="2514">
      <c r="A2514" t="inlineStr">
        <is>
          <t>Zhejiang University</t>
        </is>
      </c>
      <c r="B2514" t="inlineStr">
        <is>
          <t>China</t>
        </is>
      </c>
      <c r="C2514" t="inlineStr">
        <is>
          <t>47</t>
        </is>
      </c>
      <c r="D2514" t="n">
        <v>77.09999999999999</v>
      </c>
      <c r="E2514" t="n">
        <v>75.3</v>
      </c>
      <c r="F2514" t="n">
        <v>95.40000000000001</v>
      </c>
      <c r="G2514" t="n">
        <v>54.7</v>
      </c>
      <c r="H2514" t="n">
        <v>99.5</v>
      </c>
      <c r="I2514" t="n">
        <v>95</v>
      </c>
      <c r="J2514" t="n">
        <v>15.9</v>
      </c>
      <c r="K2514" t="n">
        <v>91.8</v>
      </c>
      <c r="L2514" t="n">
        <v>55.5</v>
      </c>
      <c r="M2514" t="n">
        <v>30.7</v>
      </c>
      <c r="N2514">
        <f>55</f>
        <v/>
      </c>
      <c r="O2514" t="inlineStr">
        <is>
          <t>75.0</t>
        </is>
      </c>
      <c r="P2514" t="n">
        <v>70.2</v>
      </c>
      <c r="Q2514" t="n">
        <v>75.3</v>
      </c>
      <c r="R2514" t="n">
        <v>78.7</v>
      </c>
      <c r="S2514" t="n">
        <v>99</v>
      </c>
      <c r="T2514" t="n">
        <v>65.5</v>
      </c>
      <c r="U2514" t="inlineStr">
        <is>
          <t>48,169</t>
        </is>
      </c>
      <c r="V2514" t="n">
        <v>12</v>
      </c>
      <c r="W2514" t="inlineStr">
        <is>
          <t>16%</t>
        </is>
      </c>
      <c r="X2514" t="inlineStr"/>
      <c r="Y2514" t="n">
        <v>47</v>
      </c>
      <c r="Z2514" t="n">
        <v>55</v>
      </c>
      <c r="AA2514" t="n">
        <v>75</v>
      </c>
      <c r="AB2514" t="inlineStr">
        <is>
          <t>U2513</t>
        </is>
      </c>
      <c r="AC2514" t="inlineStr">
        <is>
          <t>CH</t>
        </is>
      </c>
      <c r="AD2514" t="n">
        <v>77.09999999999999</v>
      </c>
      <c r="AE2514" t="n">
        <v>99.5</v>
      </c>
      <c r="AF2514" t="n">
        <v>12</v>
      </c>
      <c r="AG2514" t="inlineStr">
        <is>
          <t>1:12.0</t>
        </is>
      </c>
      <c r="AH2514" t="inlineStr">
        <is>
          <t>16%</t>
        </is>
      </c>
      <c r="AI2514" t="n">
        <v>75.3</v>
      </c>
      <c r="AJ2514" t="n">
        <v>78.84999999999999</v>
      </c>
    </row>
    <row r="2515">
      <c r="A2515" t="inlineStr">
        <is>
          <t>Zhejiang University of Finance and Economics</t>
        </is>
      </c>
      <c r="B2515" t="inlineStr">
        <is>
          <t>China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>
        <is>
          <t>1001–1200</t>
        </is>
      </c>
      <c r="O2515" t="inlineStr">
        <is>
          <t>28.3–32.6</t>
        </is>
      </c>
      <c r="P2515" t="n">
        <v>14</v>
      </c>
      <c r="Q2515" t="n">
        <v>13.3</v>
      </c>
      <c r="R2515" t="n">
        <v>67</v>
      </c>
      <c r="S2515" t="n">
        <v>37.5</v>
      </c>
      <c r="T2515" t="n">
        <v>30.5</v>
      </c>
      <c r="U2515" t="inlineStr">
        <is>
          <t>18,214</t>
        </is>
      </c>
      <c r="V2515" t="n">
        <v>22.5</v>
      </c>
      <c r="W2515" t="inlineStr">
        <is>
          <t>3%</t>
        </is>
      </c>
      <c r="X2515" t="inlineStr">
        <is>
          <t>63 : 37</t>
        </is>
      </c>
      <c r="Y2515" t="inlineStr"/>
      <c r="Z2515" t="n">
        <v>1001</v>
      </c>
      <c r="AA2515" t="n">
        <v>30.45</v>
      </c>
      <c r="AB2515" t="inlineStr">
        <is>
          <t>U2514</t>
        </is>
      </c>
      <c r="AC2515" t="inlineStr">
        <is>
          <t>CH</t>
        </is>
      </c>
      <c r="AD2515" t="n">
        <v>30.45</v>
      </c>
      <c r="AE2515" t="n">
        <v>67</v>
      </c>
      <c r="AF2515" t="n">
        <v>22.5</v>
      </c>
      <c r="AG2515" t="inlineStr">
        <is>
          <t>1:22.5</t>
        </is>
      </c>
      <c r="AH2515" t="inlineStr">
        <is>
          <t>3%</t>
        </is>
      </c>
      <c r="AI2515" t="inlineStr"/>
      <c r="AJ2515" t="n">
        <v>28.04</v>
      </c>
    </row>
    <row r="2516">
      <c r="A2516" t="inlineStr">
        <is>
          <t>Zhengzhou University</t>
        </is>
      </c>
      <c r="B2516" t="inlineStr">
        <is>
          <t>China</t>
        </is>
      </c>
      <c r="C2516" t="inlineStr">
        <is>
          <t>511</t>
        </is>
      </c>
      <c r="D2516" t="n">
        <v>23.8</v>
      </c>
      <c r="E2516" t="n">
        <v>5.4</v>
      </c>
      <c r="F2516" t="n">
        <v>22</v>
      </c>
      <c r="G2516" t="n">
        <v>4.9</v>
      </c>
      <c r="H2516" t="n">
        <v>80.3</v>
      </c>
      <c r="I2516" t="inlineStr"/>
      <c r="J2516" t="n">
        <v>2.4</v>
      </c>
      <c r="K2516" t="n">
        <v>56.3</v>
      </c>
      <c r="L2516" t="n">
        <v>5.7</v>
      </c>
      <c r="M2516" t="n">
        <v>2.4</v>
      </c>
      <c r="N2516" t="inlineStr">
        <is>
          <t>601–800</t>
        </is>
      </c>
      <c r="O2516" t="inlineStr">
        <is>
          <t>37.0–41.8</t>
        </is>
      </c>
      <c r="P2516" t="n">
        <v>18.7</v>
      </c>
      <c r="Q2516" t="n">
        <v>19.8</v>
      </c>
      <c r="R2516" t="n">
        <v>82.5</v>
      </c>
      <c r="S2516" t="n">
        <v>35.8</v>
      </c>
      <c r="T2516" t="n">
        <v>25.2</v>
      </c>
      <c r="U2516" t="inlineStr">
        <is>
          <t>74,052</t>
        </is>
      </c>
      <c r="V2516" t="n">
        <v>15.6</v>
      </c>
      <c r="W2516" t="inlineStr">
        <is>
          <t>4%</t>
        </is>
      </c>
      <c r="X2516" t="inlineStr">
        <is>
          <t>48 : 52</t>
        </is>
      </c>
      <c r="Y2516" t="n">
        <v>511</v>
      </c>
      <c r="Z2516" t="n">
        <v>601</v>
      </c>
      <c r="AA2516" t="n">
        <v>39.4</v>
      </c>
      <c r="AB2516" t="inlineStr">
        <is>
          <t>U2515</t>
        </is>
      </c>
      <c r="AC2516" t="inlineStr">
        <is>
          <t>CH</t>
        </is>
      </c>
      <c r="AD2516" t="n">
        <v>23.8</v>
      </c>
      <c r="AE2516" t="n">
        <v>80.3</v>
      </c>
      <c r="AF2516" t="n">
        <v>15.6</v>
      </c>
      <c r="AG2516" t="inlineStr">
        <is>
          <t>1:15.6</t>
        </is>
      </c>
      <c r="AH2516" t="inlineStr">
        <is>
          <t>4%</t>
        </is>
      </c>
      <c r="AI2516" t="n">
        <v>5.4</v>
      </c>
      <c r="AJ2516" t="n">
        <v>34.2</v>
      </c>
    </row>
    <row r="2517">
      <c r="A2517" t="inlineStr">
        <is>
          <t>Zonguldak Bülent Ecevit University</t>
        </is>
      </c>
      <c r="B2517" t="inlineStr">
        <is>
          <t>Turkey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>
        <is>
          <t>1501+</t>
        </is>
      </c>
      <c r="O2517" t="inlineStr">
        <is>
          <t>9.7–22.7</t>
        </is>
      </c>
      <c r="P2517" t="n">
        <v>12.5</v>
      </c>
      <c r="Q2517" t="n">
        <v>11.2</v>
      </c>
      <c r="R2517" t="n">
        <v>21.6</v>
      </c>
      <c r="S2517" t="n">
        <v>48.1</v>
      </c>
      <c r="T2517" t="n">
        <v>26.4</v>
      </c>
      <c r="U2517" t="inlineStr">
        <is>
          <t>29,329</t>
        </is>
      </c>
      <c r="V2517" t="n">
        <v>22.4</v>
      </c>
      <c r="W2517" t="inlineStr">
        <is>
          <t>8%</t>
        </is>
      </c>
      <c r="X2517" t="inlineStr">
        <is>
          <t>57 : 43</t>
        </is>
      </c>
      <c r="Y2517" t="inlineStr"/>
      <c r="Z2517" t="n">
        <v>1501</v>
      </c>
      <c r="AA2517" t="n">
        <v>16.2</v>
      </c>
      <c r="AB2517" t="inlineStr">
        <is>
          <t>U2516</t>
        </is>
      </c>
      <c r="AC2517" t="inlineStr">
        <is>
          <t>TU</t>
        </is>
      </c>
      <c r="AD2517" t="n">
        <v>16.2</v>
      </c>
      <c r="AE2517" t="n">
        <v>21.6</v>
      </c>
      <c r="AF2517" t="n">
        <v>22.4</v>
      </c>
      <c r="AG2517" t="inlineStr">
        <is>
          <t>1:22.4</t>
        </is>
      </c>
      <c r="AH2517" t="inlineStr">
        <is>
          <t>8%</t>
        </is>
      </c>
      <c r="AI2517" t="inlineStr"/>
      <c r="AJ2517" t="n">
        <v>12.19</v>
      </c>
    </row>
    <row r="2518">
      <c r="A2518" t="inlineStr">
        <is>
          <t>Zurich University of Applied Sciences (ZHAW)</t>
        </is>
      </c>
      <c r="B2518" t="inlineStr">
        <is>
          <t>Switzerland</t>
        </is>
      </c>
      <c r="C2518" t="inlineStr">
        <is>
          <t>781-790</t>
        </is>
      </c>
      <c r="D2518" t="inlineStr"/>
      <c r="E2518" t="n">
        <v>5.4</v>
      </c>
      <c r="F2518" t="n">
        <v>6.6</v>
      </c>
      <c r="G2518" t="n">
        <v>75</v>
      </c>
      <c r="H2518" t="n">
        <v>2.7</v>
      </c>
      <c r="I2518" t="n">
        <v>65.90000000000001</v>
      </c>
      <c r="J2518" t="n">
        <v>12.8</v>
      </c>
      <c r="K2518" t="n">
        <v>41.4</v>
      </c>
      <c r="L2518" t="n">
        <v>5.3</v>
      </c>
      <c r="M2518" t="n">
        <v>1.6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n">
        <v>781</v>
      </c>
      <c r="Z2518" t="inlineStr"/>
      <c r="AA2518" t="inlineStr"/>
      <c r="AB2518" t="inlineStr">
        <is>
          <t>U2517</t>
        </is>
      </c>
      <c r="AC2518" t="inlineStr">
        <is>
          <t>SW</t>
        </is>
      </c>
      <c r="AD2518" t="inlineStr"/>
      <c r="AE2518" t="n">
        <v>2.7</v>
      </c>
      <c r="AF2518" t="inlineStr"/>
      <c r="AG2518" t="inlineStr"/>
      <c r="AH2518" t="inlineStr"/>
      <c r="AI2518" t="n">
        <v>5.4</v>
      </c>
      <c r="AJ2518" t="n">
        <v>14.21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University</t>
        </is>
      </c>
      <c r="C1" t="inlineStr">
        <is>
          <t>country_id</t>
        </is>
      </c>
      <c r="D1" t="inlineStr">
        <is>
          <t>Country</t>
        </is>
      </c>
    </row>
    <row r="2">
      <c r="A2" t="inlineStr">
        <is>
          <t>U0001</t>
        </is>
      </c>
      <c r="B2" t="inlineStr">
        <is>
          <t>Aalborg University</t>
        </is>
      </c>
      <c r="C2" t="inlineStr">
        <is>
          <t>DE</t>
        </is>
      </c>
      <c r="D2" t="inlineStr">
        <is>
          <t>Denmark</t>
        </is>
      </c>
    </row>
    <row r="3">
      <c r="A3" t="inlineStr">
        <is>
          <t>U0002</t>
        </is>
      </c>
      <c r="B3" t="inlineStr">
        <is>
          <t>Aalto University</t>
        </is>
      </c>
      <c r="C3" t="inlineStr">
        <is>
          <t>FI</t>
        </is>
      </c>
      <c r="D3" t="inlineStr">
        <is>
          <t>Finland</t>
        </is>
      </c>
    </row>
    <row r="4">
      <c r="A4" t="inlineStr">
        <is>
          <t>U0003</t>
        </is>
      </c>
      <c r="B4" t="inlineStr">
        <is>
          <t>Aarhus University</t>
        </is>
      </c>
      <c r="C4" t="inlineStr">
        <is>
          <t>DE</t>
        </is>
      </c>
      <c r="D4" t="inlineStr">
        <is>
          <t>Denmark</t>
        </is>
      </c>
    </row>
    <row r="5">
      <c r="A5" t="inlineStr">
        <is>
          <t>U0004</t>
        </is>
      </c>
      <c r="B5" t="inlineStr">
        <is>
          <t>Abai Kazakh National Pedagogical University</t>
        </is>
      </c>
      <c r="C5" t="inlineStr">
        <is>
          <t>KA</t>
        </is>
      </c>
      <c r="D5" t="inlineStr">
        <is>
          <t>Kazakhstan</t>
        </is>
      </c>
    </row>
    <row r="6">
      <c r="A6" t="inlineStr">
        <is>
          <t>U0005</t>
        </is>
      </c>
      <c r="B6" t="inlineStr">
        <is>
          <t>Abdelmalek Essaâdi University</t>
        </is>
      </c>
      <c r="C6" t="inlineStr">
        <is>
          <t>MO</t>
        </is>
      </c>
      <c r="D6" t="inlineStr">
        <is>
          <t>Morocco</t>
        </is>
      </c>
    </row>
    <row r="7">
      <c r="A7" t="inlineStr">
        <is>
          <t>U0006</t>
        </is>
      </c>
      <c r="B7" t="inlineStr">
        <is>
          <t>Abdul Wali Khan University Mardan</t>
        </is>
      </c>
      <c r="C7" t="inlineStr">
        <is>
          <t>PA</t>
        </is>
      </c>
      <c r="D7" t="inlineStr">
        <is>
          <t>Pakistan</t>
        </is>
      </c>
    </row>
    <row r="8">
      <c r="A8" t="inlineStr">
        <is>
          <t>U0007</t>
        </is>
      </c>
      <c r="B8" t="inlineStr">
        <is>
          <t>Aberystwyth University</t>
        </is>
      </c>
      <c r="C8" t="inlineStr">
        <is>
          <t>UN</t>
        </is>
      </c>
      <c r="D8" t="inlineStr">
        <is>
          <t>United Kingdom</t>
        </is>
      </c>
    </row>
    <row r="9">
      <c r="A9" t="inlineStr">
        <is>
          <t>U0008</t>
        </is>
      </c>
      <c r="B9" t="inlineStr">
        <is>
          <t>Abo Akademi University</t>
        </is>
      </c>
      <c r="C9" t="inlineStr">
        <is>
          <t>FI</t>
        </is>
      </c>
      <c r="D9" t="inlineStr">
        <is>
          <t>Finland</t>
        </is>
      </c>
    </row>
    <row r="10">
      <c r="A10" t="inlineStr">
        <is>
          <t>U0009</t>
        </is>
      </c>
      <c r="B10" t="inlineStr">
        <is>
          <t>Abu Dhabi University</t>
        </is>
      </c>
      <c r="C10" t="inlineStr">
        <is>
          <t>UN</t>
        </is>
      </c>
      <c r="D10" t="inlineStr">
        <is>
          <t>United Arab Emirates</t>
        </is>
      </c>
    </row>
    <row r="11">
      <c r="A11" t="inlineStr">
        <is>
          <t>U0010</t>
        </is>
      </c>
      <c r="B11" t="inlineStr">
        <is>
          <t>Acıbadem University</t>
        </is>
      </c>
      <c r="C11" t="inlineStr">
        <is>
          <t>TU</t>
        </is>
      </c>
      <c r="D11" t="inlineStr">
        <is>
          <t>Turkey</t>
        </is>
      </c>
    </row>
    <row r="12">
      <c r="A12" t="inlineStr">
        <is>
          <t>U0011</t>
        </is>
      </c>
      <c r="B12" t="inlineStr">
        <is>
          <t>Acharya Nagarjuna University</t>
        </is>
      </c>
      <c r="C12" t="inlineStr">
        <is>
          <t>IN</t>
        </is>
      </c>
      <c r="D12" t="inlineStr">
        <is>
          <t>India</t>
        </is>
      </c>
    </row>
    <row r="13">
      <c r="A13" t="inlineStr">
        <is>
          <t>U0012</t>
        </is>
      </c>
      <c r="B13" t="inlineStr">
        <is>
          <t>Adam Mickiewicz University, Pozna?</t>
        </is>
      </c>
      <c r="C13" t="inlineStr">
        <is>
          <t>PO</t>
        </is>
      </c>
      <c r="D13" t="inlineStr">
        <is>
          <t>Poland</t>
        </is>
      </c>
    </row>
    <row r="14">
      <c r="A14" t="inlineStr">
        <is>
          <t>U0013</t>
        </is>
      </c>
      <c r="B14" t="inlineStr">
        <is>
          <t>Addis Ababa University</t>
        </is>
      </c>
      <c r="C14" t="inlineStr">
        <is>
          <t>ET</t>
        </is>
      </c>
      <c r="D14" t="inlineStr">
        <is>
          <t>Ethiopia</t>
        </is>
      </c>
    </row>
    <row r="15">
      <c r="A15" t="inlineStr">
        <is>
          <t>U0014</t>
        </is>
      </c>
      <c r="B15" t="inlineStr">
        <is>
          <t>Adelphi University</t>
        </is>
      </c>
      <c r="C15" t="inlineStr">
        <is>
          <t>UN</t>
        </is>
      </c>
      <c r="D15" t="inlineStr">
        <is>
          <t>United States</t>
        </is>
      </c>
    </row>
    <row r="16">
      <c r="A16" t="inlineStr">
        <is>
          <t>U0015</t>
        </is>
      </c>
      <c r="B16" t="inlineStr">
        <is>
          <t>Adolfo Ibáñez University</t>
        </is>
      </c>
      <c r="C16" t="inlineStr">
        <is>
          <t>CH</t>
        </is>
      </c>
      <c r="D16" t="inlineStr">
        <is>
          <t>Chile</t>
        </is>
      </c>
    </row>
    <row r="17">
      <c r="A17" t="inlineStr">
        <is>
          <t>U0016</t>
        </is>
      </c>
      <c r="B17" t="inlineStr">
        <is>
          <t>Afe Babalola University</t>
        </is>
      </c>
      <c r="C17" t="inlineStr">
        <is>
          <t>NI</t>
        </is>
      </c>
      <c r="D17" t="inlineStr">
        <is>
          <t>Nigeria</t>
        </is>
      </c>
    </row>
    <row r="18">
      <c r="A18" t="inlineStr">
        <is>
          <t>U0017</t>
        </is>
      </c>
      <c r="B18" t="inlineStr">
        <is>
          <t>AGH University of Krakow</t>
        </is>
      </c>
      <c r="C18" t="inlineStr">
        <is>
          <t>PO</t>
        </is>
      </c>
      <c r="D18" t="inlineStr">
        <is>
          <t>Poland</t>
        </is>
      </c>
    </row>
    <row r="19">
      <c r="A19" t="inlineStr">
        <is>
          <t>U0018</t>
        </is>
      </c>
      <c r="B19" t="inlineStr">
        <is>
          <t>AGH University of Science and Technology</t>
        </is>
      </c>
      <c r="C19" t="inlineStr">
        <is>
          <t>PO</t>
        </is>
      </c>
      <c r="D19" t="inlineStr">
        <is>
          <t>Poland</t>
        </is>
      </c>
    </row>
    <row r="20">
      <c r="A20" t="inlineStr">
        <is>
          <t>U0019</t>
        </is>
      </c>
      <c r="B20" t="inlineStr">
        <is>
          <t>Ahlia University</t>
        </is>
      </c>
      <c r="C20" t="inlineStr">
        <is>
          <t>BA</t>
        </is>
      </c>
      <c r="D20" t="inlineStr">
        <is>
          <t>Bahrain</t>
        </is>
      </c>
    </row>
    <row r="21">
      <c r="A21" t="inlineStr">
        <is>
          <t>U0020</t>
        </is>
      </c>
      <c r="B21" t="inlineStr">
        <is>
          <t>Ahvaz Jundishapur University of Medical Sciences (AJUMS)</t>
        </is>
      </c>
      <c r="C21" t="inlineStr">
        <is>
          <t>IR</t>
        </is>
      </c>
      <c r="D21" t="inlineStr">
        <is>
          <t>Iran</t>
        </is>
      </c>
    </row>
    <row r="22">
      <c r="A22" t="inlineStr">
        <is>
          <t>U0021</t>
        </is>
      </c>
      <c r="B22" t="inlineStr">
        <is>
          <t>Aichi Medical University</t>
        </is>
      </c>
      <c r="C22" t="inlineStr">
        <is>
          <t>JA</t>
        </is>
      </c>
      <c r="D22" t="inlineStr">
        <is>
          <t>Japan</t>
        </is>
      </c>
    </row>
    <row r="23">
      <c r="A23" t="inlineStr">
        <is>
          <t>U0022</t>
        </is>
      </c>
      <c r="B23" t="inlineStr">
        <is>
          <t xml:space="preserve">Ain Shams University </t>
        </is>
      </c>
      <c r="C23" t="inlineStr">
        <is>
          <t>EG</t>
        </is>
      </c>
      <c r="D23" t="inlineStr">
        <is>
          <t>Egypt</t>
        </is>
      </c>
    </row>
    <row r="24">
      <c r="A24" t="inlineStr">
        <is>
          <t>U0023</t>
        </is>
      </c>
      <c r="B24" t="inlineStr">
        <is>
          <t>Air University</t>
        </is>
      </c>
      <c r="C24" t="inlineStr">
        <is>
          <t>PA</t>
        </is>
      </c>
      <c r="D24" t="inlineStr">
        <is>
          <t>Pakistan</t>
        </is>
      </c>
    </row>
    <row r="25">
      <c r="A25" t="inlineStr">
        <is>
          <t>U0024</t>
        </is>
      </c>
      <c r="B25" t="inlineStr">
        <is>
          <t>Airlangga University</t>
        </is>
      </c>
      <c r="C25" t="inlineStr">
        <is>
          <t>IN</t>
        </is>
      </c>
      <c r="D25" t="inlineStr">
        <is>
          <t>Indonesia</t>
        </is>
      </c>
    </row>
    <row r="26">
      <c r="A26" t="inlineStr">
        <is>
          <t>U0025</t>
        </is>
      </c>
      <c r="B26" t="inlineStr">
        <is>
          <t>Aix-Marseille University</t>
        </is>
      </c>
      <c r="C26" t="inlineStr">
        <is>
          <t>FR</t>
        </is>
      </c>
      <c r="D26" t="inlineStr">
        <is>
          <t>France</t>
        </is>
      </c>
    </row>
    <row r="27">
      <c r="A27" t="inlineStr">
        <is>
          <t>U0026</t>
        </is>
      </c>
      <c r="B27" t="inlineStr">
        <is>
          <t>Ajman University</t>
        </is>
      </c>
      <c r="C27" t="inlineStr">
        <is>
          <t>UN</t>
        </is>
      </c>
      <c r="D27" t="inlineStr">
        <is>
          <t>United Arab Emirates</t>
        </is>
      </c>
    </row>
    <row r="28">
      <c r="A28" t="inlineStr">
        <is>
          <t>U0027</t>
        </is>
      </c>
      <c r="B28" t="inlineStr">
        <is>
          <t xml:space="preserve">Ajou University </t>
        </is>
      </c>
      <c r="C28" t="inlineStr">
        <is>
          <t>SO</t>
        </is>
      </c>
      <c r="D28" t="inlineStr">
        <is>
          <t>South Korea</t>
        </is>
      </c>
    </row>
    <row r="29">
      <c r="A29" t="inlineStr">
        <is>
          <t>U0028</t>
        </is>
      </c>
      <c r="B29" t="inlineStr">
        <is>
          <t>Akdeniz Üniversitesi</t>
        </is>
      </c>
      <c r="C29" t="inlineStr">
        <is>
          <t>TU</t>
        </is>
      </c>
      <c r="D29" t="inlineStr">
        <is>
          <t>Turkey</t>
        </is>
      </c>
    </row>
    <row r="30">
      <c r="A30" t="inlineStr">
        <is>
          <t>U0029</t>
        </is>
      </c>
      <c r="B30" t="inlineStr">
        <is>
          <t>Akdeniz University</t>
        </is>
      </c>
      <c r="C30" t="inlineStr">
        <is>
          <t>TU</t>
        </is>
      </c>
      <c r="D30" t="inlineStr">
        <is>
          <t>Turkey</t>
        </is>
      </c>
    </row>
    <row r="31">
      <c r="A31" t="inlineStr">
        <is>
          <t>U0030</t>
        </is>
      </c>
      <c r="B31" t="inlineStr">
        <is>
          <t>Akita University</t>
        </is>
      </c>
      <c r="C31" t="inlineStr">
        <is>
          <t>JA</t>
        </is>
      </c>
      <c r="D31" t="inlineStr">
        <is>
          <t>Japan</t>
        </is>
      </c>
    </row>
    <row r="32">
      <c r="A32" t="inlineStr">
        <is>
          <t>U0031</t>
        </is>
      </c>
      <c r="B32" t="inlineStr">
        <is>
          <t>Aksaray University</t>
        </is>
      </c>
      <c r="C32" t="inlineStr">
        <is>
          <t>TU</t>
        </is>
      </c>
      <c r="D32" t="inlineStr">
        <is>
          <t>Turkey</t>
        </is>
      </c>
    </row>
    <row r="33">
      <c r="A33" t="inlineStr">
        <is>
          <t>U0032</t>
        </is>
      </c>
      <c r="B33" t="inlineStr">
        <is>
          <t>Al-Ahliyya Amman University</t>
        </is>
      </c>
      <c r="C33" t="inlineStr">
        <is>
          <t>JO</t>
        </is>
      </c>
      <c r="D33" t="inlineStr">
        <is>
          <t>Jordan</t>
        </is>
      </c>
    </row>
    <row r="34">
      <c r="A34" t="inlineStr">
        <is>
          <t>U0033</t>
        </is>
      </c>
      <c r="B34" t="inlineStr">
        <is>
          <t>Al Ain University</t>
        </is>
      </c>
      <c r="C34" t="inlineStr">
        <is>
          <t>UN</t>
        </is>
      </c>
      <c r="D34" t="inlineStr">
        <is>
          <t>United Arab Emirates</t>
        </is>
      </c>
    </row>
    <row r="35">
      <c r="A35" t="inlineStr">
        <is>
          <t>U0034</t>
        </is>
      </c>
      <c r="B35" t="inlineStr">
        <is>
          <t>Al-Azhar University</t>
        </is>
      </c>
      <c r="C35" t="inlineStr">
        <is>
          <t>EG</t>
        </is>
      </c>
      <c r="D35" t="inlineStr">
        <is>
          <t>Egypt</t>
        </is>
      </c>
    </row>
    <row r="36">
      <c r="A36" t="inlineStr">
        <is>
          <t>U0035</t>
        </is>
      </c>
      <c r="B36" t="inlineStr">
        <is>
          <t>Al-Balqa Applied University</t>
        </is>
      </c>
      <c r="C36" t="inlineStr">
        <is>
          <t>JO</t>
        </is>
      </c>
      <c r="D36" t="inlineStr">
        <is>
          <t>Jordan</t>
        </is>
      </c>
    </row>
    <row r="37">
      <c r="A37" t="inlineStr">
        <is>
          <t>U0036</t>
        </is>
      </c>
      <c r="B37" t="inlineStr">
        <is>
          <t>Al-Farabi Kazakh National University</t>
        </is>
      </c>
      <c r="C37" t="inlineStr">
        <is>
          <t>KA</t>
        </is>
      </c>
      <c r="D37" t="inlineStr">
        <is>
          <t>Kazakhstan</t>
        </is>
      </c>
    </row>
    <row r="38">
      <c r="A38" t="inlineStr">
        <is>
          <t>U0037</t>
        </is>
      </c>
      <c r="B38" t="inlineStr">
        <is>
          <t>Al-Nahrain University</t>
        </is>
      </c>
      <c r="C38" t="inlineStr">
        <is>
          <t>IR</t>
        </is>
      </c>
      <c r="D38" t="inlineStr">
        <is>
          <t>Iraq</t>
        </is>
      </c>
    </row>
    <row r="39">
      <c r="A39" t="inlineStr">
        <is>
          <t>U0038</t>
        </is>
      </c>
      <c r="B39" t="inlineStr">
        <is>
          <t>Al-Quds University</t>
        </is>
      </c>
      <c r="C39" t="inlineStr">
        <is>
          <t>PA</t>
        </is>
      </c>
      <c r="D39" t="inlineStr">
        <is>
          <t>Palestine</t>
        </is>
      </c>
    </row>
    <row r="40">
      <c r="A40" t="inlineStr">
        <is>
          <t>U0039</t>
        </is>
      </c>
      <c r="B40" t="inlineStr">
        <is>
          <t>Alagappa University</t>
        </is>
      </c>
      <c r="C40" t="inlineStr">
        <is>
          <t>IN</t>
        </is>
      </c>
      <c r="D40" t="inlineStr">
        <is>
          <t>India</t>
        </is>
      </c>
    </row>
    <row r="41">
      <c r="A41" t="inlineStr">
        <is>
          <t>U0040</t>
        </is>
      </c>
      <c r="B41" t="inlineStr">
        <is>
          <t>Albert-Ludwigs-Universitaet Freiburg</t>
        </is>
      </c>
      <c r="C41" t="inlineStr">
        <is>
          <t>GE</t>
        </is>
      </c>
      <c r="D41" t="inlineStr">
        <is>
          <t>Germany</t>
        </is>
      </c>
    </row>
    <row r="42">
      <c r="A42" t="inlineStr">
        <is>
          <t>U0041</t>
        </is>
      </c>
      <c r="B42" t="inlineStr">
        <is>
          <t xml:space="preserve">Alexandria University </t>
        </is>
      </c>
      <c r="C42" t="inlineStr">
        <is>
          <t>EG</t>
        </is>
      </c>
      <c r="D42" t="inlineStr">
        <is>
          <t>Egypt</t>
        </is>
      </c>
    </row>
    <row r="43">
      <c r="A43" t="inlineStr">
        <is>
          <t>U0042</t>
        </is>
      </c>
      <c r="B43" t="inlineStr">
        <is>
          <t>Alexandru Ioan Cuza University</t>
        </is>
      </c>
      <c r="C43" t="inlineStr">
        <is>
          <t>RO</t>
        </is>
      </c>
      <c r="D43" t="inlineStr">
        <is>
          <t>Romania</t>
        </is>
      </c>
    </row>
    <row r="44">
      <c r="A44" t="inlineStr">
        <is>
          <t>U0043</t>
        </is>
      </c>
      <c r="B44" t="inlineStr">
        <is>
          <t>Alfaisal University</t>
        </is>
      </c>
      <c r="C44" t="inlineStr">
        <is>
          <t>SA</t>
        </is>
      </c>
      <c r="D44" t="inlineStr">
        <is>
          <t>Saudi Arabia</t>
        </is>
      </c>
    </row>
    <row r="45">
      <c r="A45" t="inlineStr">
        <is>
          <t>U0044</t>
        </is>
      </c>
      <c r="B45" t="inlineStr">
        <is>
          <t>Aligarh Muslim University</t>
        </is>
      </c>
      <c r="C45" t="inlineStr">
        <is>
          <t>IN</t>
        </is>
      </c>
      <c r="D45" t="inlineStr">
        <is>
          <t>India</t>
        </is>
      </c>
    </row>
    <row r="46">
      <c r="A46" t="inlineStr">
        <is>
          <t>U0045</t>
        </is>
      </c>
      <c r="B46" t="inlineStr">
        <is>
          <t>Allameh Tabataba ’i University</t>
        </is>
      </c>
      <c r="C46" t="inlineStr">
        <is>
          <t>IR</t>
        </is>
      </c>
      <c r="D46" t="inlineStr">
        <is>
          <t>Iran</t>
        </is>
      </c>
    </row>
    <row r="47">
      <c r="A47" t="inlineStr">
        <is>
          <t>U0046</t>
        </is>
      </c>
      <c r="B47" t="inlineStr">
        <is>
          <t>Alma Mater Studiorum - University of Bologna</t>
        </is>
      </c>
      <c r="C47" t="inlineStr">
        <is>
          <t>IT</t>
        </is>
      </c>
      <c r="D47" t="inlineStr">
        <is>
          <t>Italy</t>
        </is>
      </c>
    </row>
    <row r="48">
      <c r="A48" t="inlineStr">
        <is>
          <t>U0047</t>
        </is>
      </c>
      <c r="B48" t="inlineStr">
        <is>
          <t>Almaty Technological University</t>
        </is>
      </c>
      <c r="C48" t="inlineStr">
        <is>
          <t>KA</t>
        </is>
      </c>
      <c r="D48" t="inlineStr">
        <is>
          <t>Kazakhstan</t>
        </is>
      </c>
    </row>
    <row r="49">
      <c r="A49" t="inlineStr">
        <is>
          <t>U0048</t>
        </is>
      </c>
      <c r="B49" t="inlineStr">
        <is>
          <t>Altai State University</t>
        </is>
      </c>
      <c r="C49" t="inlineStr">
        <is>
          <t>RU</t>
        </is>
      </c>
      <c r="D49" t="inlineStr">
        <is>
          <t>Russian Federation</t>
        </is>
      </c>
    </row>
    <row r="50">
      <c r="A50" t="inlineStr">
        <is>
          <t>U0049</t>
        </is>
      </c>
      <c r="B50" t="inlineStr">
        <is>
          <t>Alzahra University</t>
        </is>
      </c>
      <c r="C50" t="inlineStr">
        <is>
          <t>IR</t>
        </is>
      </c>
      <c r="D50" t="inlineStr">
        <is>
          <t>Iran</t>
        </is>
      </c>
    </row>
    <row r="51">
      <c r="A51" t="inlineStr">
        <is>
          <t>U0050</t>
        </is>
      </c>
      <c r="B51" t="inlineStr">
        <is>
          <t>Amedeo Avogadro University of Eastern Piedmont</t>
        </is>
      </c>
      <c r="C51" t="inlineStr">
        <is>
          <t>IT</t>
        </is>
      </c>
      <c r="D51" t="inlineStr">
        <is>
          <t>Italy</t>
        </is>
      </c>
    </row>
    <row r="52">
      <c r="A52" t="inlineStr">
        <is>
          <t>U0051</t>
        </is>
      </c>
      <c r="B52" t="inlineStr">
        <is>
          <t>American University</t>
        </is>
      </c>
      <c r="C52" t="inlineStr">
        <is>
          <t>UN</t>
        </is>
      </c>
      <c r="D52" t="inlineStr">
        <is>
          <t>United States</t>
        </is>
      </c>
    </row>
    <row r="53">
      <c r="A53" t="inlineStr">
        <is>
          <t>U0052</t>
        </is>
      </c>
      <c r="B53" t="inlineStr">
        <is>
          <t>The American University in Cairo</t>
        </is>
      </c>
      <c r="C53" t="inlineStr">
        <is>
          <t>EG</t>
        </is>
      </c>
      <c r="D53" t="inlineStr">
        <is>
          <t>Egypt</t>
        </is>
      </c>
    </row>
    <row r="54">
      <c r="A54" t="inlineStr">
        <is>
          <t>U0053</t>
        </is>
      </c>
      <c r="B54" t="inlineStr">
        <is>
          <t>American University in Dubai</t>
        </is>
      </c>
      <c r="C54" t="inlineStr">
        <is>
          <t>UN</t>
        </is>
      </c>
      <c r="D54" t="inlineStr">
        <is>
          <t>United Arab Emirates</t>
        </is>
      </c>
    </row>
    <row r="55">
      <c r="A55" t="inlineStr">
        <is>
          <t>U0054</t>
        </is>
      </c>
      <c r="B55" t="inlineStr">
        <is>
          <t>American University of Beirut (AUB)</t>
        </is>
      </c>
      <c r="C55" t="inlineStr">
        <is>
          <t>LE</t>
        </is>
      </c>
      <c r="D55" t="inlineStr">
        <is>
          <t>Lebanon</t>
        </is>
      </c>
    </row>
    <row r="56">
      <c r="A56" t="inlineStr">
        <is>
          <t>U0055</t>
        </is>
      </c>
      <c r="B56" t="inlineStr">
        <is>
          <t>American University of Ras Al Khaimah ( AURAK )</t>
        </is>
      </c>
      <c r="C56" t="inlineStr">
        <is>
          <t>UN</t>
        </is>
      </c>
      <c r="D56" t="inlineStr">
        <is>
          <t>United Arab Emirates</t>
        </is>
      </c>
    </row>
    <row r="57">
      <c r="A57" t="inlineStr">
        <is>
          <t>U0056</t>
        </is>
      </c>
      <c r="B57" t="inlineStr">
        <is>
          <t>American University of Sharjah</t>
        </is>
      </c>
      <c r="C57" t="inlineStr">
        <is>
          <t>UN</t>
        </is>
      </c>
      <c r="D57" t="inlineStr">
        <is>
          <t>United Arab Emirates</t>
        </is>
      </c>
    </row>
    <row r="58">
      <c r="A58" t="inlineStr">
        <is>
          <t>U0057</t>
        </is>
      </c>
      <c r="B58" t="inlineStr">
        <is>
          <t>American University of the Middle East</t>
        </is>
      </c>
      <c r="C58" t="inlineStr">
        <is>
          <t>KU</t>
        </is>
      </c>
      <c r="D58" t="inlineStr">
        <is>
          <t>Kuwait</t>
        </is>
      </c>
    </row>
    <row r="59">
      <c r="A59" t="inlineStr">
        <is>
          <t>U0058</t>
        </is>
      </c>
      <c r="B59" t="inlineStr">
        <is>
          <t>Amirkabir University of Technology</t>
        </is>
      </c>
      <c r="C59" t="inlineStr">
        <is>
          <t>IR</t>
        </is>
      </c>
      <c r="D59" t="inlineStr">
        <is>
          <t>Iran</t>
        </is>
      </c>
    </row>
    <row r="60">
      <c r="A60" t="inlineStr">
        <is>
          <t>U0059</t>
        </is>
      </c>
      <c r="B60" t="inlineStr">
        <is>
          <t>Amity University</t>
        </is>
      </c>
      <c r="C60" t="inlineStr">
        <is>
          <t>IN</t>
        </is>
      </c>
      <c r="D60" t="inlineStr">
        <is>
          <t>India</t>
        </is>
      </c>
    </row>
    <row r="61">
      <c r="A61" t="inlineStr">
        <is>
          <t>U0060</t>
        </is>
      </c>
      <c r="B61" t="inlineStr">
        <is>
          <t>Amrita Vishwa Vidyapeetham</t>
        </is>
      </c>
      <c r="C61" t="inlineStr">
        <is>
          <t>IN</t>
        </is>
      </c>
      <c r="D61" t="inlineStr">
        <is>
          <t>India</t>
        </is>
      </c>
    </row>
    <row r="62">
      <c r="A62" t="inlineStr">
        <is>
          <t>U0061</t>
        </is>
      </c>
      <c r="B62" t="inlineStr">
        <is>
          <t>An-Najah National University</t>
        </is>
      </c>
      <c r="C62" t="inlineStr">
        <is>
          <t>PA</t>
        </is>
      </c>
      <c r="D62" t="inlineStr">
        <is>
          <t>Palestine</t>
        </is>
      </c>
    </row>
    <row r="63">
      <c r="A63" t="inlineStr">
        <is>
          <t>U0062</t>
        </is>
      </c>
      <c r="B63" t="inlineStr">
        <is>
          <t>Anadolu University</t>
        </is>
      </c>
      <c r="C63" t="inlineStr">
        <is>
          <t>TU</t>
        </is>
      </c>
      <c r="D63" t="inlineStr">
        <is>
          <t>Turkey</t>
        </is>
      </c>
    </row>
    <row r="64">
      <c r="A64" t="inlineStr">
        <is>
          <t>U0063</t>
        </is>
      </c>
      <c r="B64" t="inlineStr">
        <is>
          <t>Andhra University</t>
        </is>
      </c>
      <c r="C64" t="inlineStr">
        <is>
          <t>IN</t>
        </is>
      </c>
      <c r="D64" t="inlineStr">
        <is>
          <t>India</t>
        </is>
      </c>
    </row>
    <row r="65">
      <c r="A65" t="inlineStr">
        <is>
          <t>U0064</t>
        </is>
      </c>
      <c r="B65" t="inlineStr">
        <is>
          <t>Anglia Ruskin University (ARU)</t>
        </is>
      </c>
      <c r="C65" t="inlineStr">
        <is>
          <t>UN</t>
        </is>
      </c>
      <c r="D65" t="inlineStr">
        <is>
          <t>United Kingdom</t>
        </is>
      </c>
    </row>
    <row r="66">
      <c r="A66" t="inlineStr">
        <is>
          <t>U0065</t>
        </is>
      </c>
      <c r="B66" t="inlineStr">
        <is>
          <t>Çankırı Karatekin University</t>
        </is>
      </c>
      <c r="C66" t="inlineStr">
        <is>
          <t>TU</t>
        </is>
      </c>
      <c r="D66" t="inlineStr">
        <is>
          <t>Turkey</t>
        </is>
      </c>
    </row>
    <row r="67">
      <c r="A67" t="inlineStr">
        <is>
          <t>U0066</t>
        </is>
      </c>
      <c r="B67" t="inlineStr">
        <is>
          <t>Ankara Üniversitesi</t>
        </is>
      </c>
      <c r="C67" t="inlineStr">
        <is>
          <t>TU</t>
        </is>
      </c>
      <c r="D67" t="inlineStr">
        <is>
          <t>Turkey</t>
        </is>
      </c>
    </row>
    <row r="68">
      <c r="A68" t="inlineStr">
        <is>
          <t>U0067</t>
        </is>
      </c>
      <c r="B68" t="inlineStr">
        <is>
          <t>Ankara University</t>
        </is>
      </c>
      <c r="C68" t="inlineStr">
        <is>
          <t>TU</t>
        </is>
      </c>
      <c r="D68" t="inlineStr">
        <is>
          <t>Turkey</t>
        </is>
      </c>
    </row>
    <row r="69">
      <c r="A69" t="inlineStr">
        <is>
          <t>U0068</t>
        </is>
      </c>
      <c r="B69" t="inlineStr">
        <is>
          <t>Ankara Yildirim Beyazit University</t>
        </is>
      </c>
      <c r="C69" t="inlineStr">
        <is>
          <t>TU</t>
        </is>
      </c>
      <c r="D69" t="inlineStr">
        <is>
          <t>Turkey</t>
        </is>
      </c>
    </row>
    <row r="70">
      <c r="A70" t="inlineStr">
        <is>
          <t>U0069</t>
        </is>
      </c>
      <c r="B70" t="inlineStr">
        <is>
          <t>Anna University</t>
        </is>
      </c>
      <c r="C70" t="inlineStr">
        <is>
          <t>IN</t>
        </is>
      </c>
      <c r="D70" t="inlineStr">
        <is>
          <t>India</t>
        </is>
      </c>
    </row>
    <row r="71">
      <c r="A71" t="inlineStr">
        <is>
          <t>U0070</t>
        </is>
      </c>
      <c r="B71" t="inlineStr">
        <is>
          <t>Annamalai University</t>
        </is>
      </c>
      <c r="C71" t="inlineStr">
        <is>
          <t>IN</t>
        </is>
      </c>
      <c r="D71" t="inlineStr">
        <is>
          <t>India</t>
        </is>
      </c>
    </row>
    <row r="72">
      <c r="A72" t="inlineStr">
        <is>
          <t>U0071</t>
        </is>
      </c>
      <c r="B72" t="inlineStr">
        <is>
          <t>Antonio Nariño University</t>
        </is>
      </c>
      <c r="C72" t="inlineStr">
        <is>
          <t>CO</t>
        </is>
      </c>
      <c r="D72" t="inlineStr">
        <is>
          <t>Colombia</t>
        </is>
      </c>
    </row>
    <row r="73">
      <c r="A73" t="inlineStr">
        <is>
          <t>U0072</t>
        </is>
      </c>
      <c r="B73" t="inlineStr">
        <is>
          <t>Aoyama Gakuin University</t>
        </is>
      </c>
      <c r="C73" t="inlineStr">
        <is>
          <t>JA</t>
        </is>
      </c>
      <c r="D73" t="inlineStr">
        <is>
          <t>Japan</t>
        </is>
      </c>
    </row>
    <row r="74">
      <c r="A74" t="inlineStr">
        <is>
          <t>U0073</t>
        </is>
      </c>
      <c r="B74" t="inlineStr">
        <is>
          <t>Applied Science Private University - Jordan</t>
        </is>
      </c>
      <c r="C74" t="inlineStr">
        <is>
          <t>JO</t>
        </is>
      </c>
      <c r="D74" t="inlineStr">
        <is>
          <t>Jordan</t>
        </is>
      </c>
    </row>
    <row r="75">
      <c r="A75" t="inlineStr">
        <is>
          <t>U0074</t>
        </is>
      </c>
      <c r="B75" t="inlineStr">
        <is>
          <t>Applied Science University - Bahrain</t>
        </is>
      </c>
      <c r="C75" t="inlineStr">
        <is>
          <t>BA</t>
        </is>
      </c>
      <c r="D75" t="inlineStr">
        <is>
          <t>Bahrain</t>
        </is>
      </c>
    </row>
    <row r="76">
      <c r="A76" t="inlineStr">
        <is>
          <t>U0075</t>
        </is>
      </c>
      <c r="B76" t="inlineStr">
        <is>
          <t>Arab Academy for Science, Technology and Maritime Transport</t>
        </is>
      </c>
      <c r="C76" t="inlineStr">
        <is>
          <t>EG</t>
        </is>
      </c>
      <c r="D76" t="inlineStr">
        <is>
          <t>Egypt</t>
        </is>
      </c>
    </row>
    <row r="77">
      <c r="A77" t="inlineStr">
        <is>
          <t>U0076</t>
        </is>
      </c>
      <c r="B77" t="inlineStr">
        <is>
          <t>Arak University</t>
        </is>
      </c>
      <c r="C77" t="inlineStr">
        <is>
          <t>IR</t>
        </is>
      </c>
      <c r="D77" t="inlineStr">
        <is>
          <t>Iran</t>
        </is>
      </c>
    </row>
    <row r="78">
      <c r="A78" t="inlineStr">
        <is>
          <t>U0077</t>
        </is>
      </c>
      <c r="B78" t="inlineStr">
        <is>
          <t>Arak University of Medical Sciences</t>
        </is>
      </c>
      <c r="C78" t="inlineStr">
        <is>
          <t>IR</t>
        </is>
      </c>
      <c r="D78" t="inlineStr">
        <is>
          <t>Iran</t>
        </is>
      </c>
    </row>
    <row r="79">
      <c r="A79" t="inlineStr">
        <is>
          <t>U0078</t>
        </is>
      </c>
      <c r="B79" t="inlineStr">
        <is>
          <t>Ariel University</t>
        </is>
      </c>
      <c r="C79" t="inlineStr">
        <is>
          <t>IS</t>
        </is>
      </c>
      <c r="D79" t="inlineStr">
        <is>
          <t>Israel</t>
        </is>
      </c>
    </row>
    <row r="80">
      <c r="A80" t="inlineStr">
        <is>
          <t>U0079</t>
        </is>
      </c>
      <c r="B80" t="inlineStr">
        <is>
          <t>Aristotle University of Thessaloniki</t>
        </is>
      </c>
      <c r="C80" t="inlineStr">
        <is>
          <t>GR</t>
        </is>
      </c>
      <c r="D80" t="inlineStr">
        <is>
          <t>Greece</t>
        </is>
      </c>
    </row>
    <row r="81">
      <c r="A81" t="inlineStr">
        <is>
          <t>U0080</t>
        </is>
      </c>
      <c r="B81" t="inlineStr">
        <is>
          <t>Arizona State University</t>
        </is>
      </c>
      <c r="C81" t="inlineStr">
        <is>
          <t>UN</t>
        </is>
      </c>
      <c r="D81" t="inlineStr">
        <is>
          <t>United States</t>
        </is>
      </c>
    </row>
    <row r="82">
      <c r="A82" t="inlineStr">
        <is>
          <t>U0081</t>
        </is>
      </c>
      <c r="B82" t="inlineStr">
        <is>
          <t>Arts et Métiers</t>
        </is>
      </c>
      <c r="C82" t="inlineStr">
        <is>
          <t>FR</t>
        </is>
      </c>
      <c r="D82" t="inlineStr">
        <is>
          <t>France</t>
        </is>
      </c>
    </row>
    <row r="83">
      <c r="A83" t="inlineStr">
        <is>
          <t>U0082</t>
        </is>
      </c>
      <c r="B83" t="inlineStr">
        <is>
          <t>Asia Pacific University of Technology and Innovation (APU)</t>
        </is>
      </c>
      <c r="C83" t="inlineStr">
        <is>
          <t>MA</t>
        </is>
      </c>
      <c r="D83" t="inlineStr">
        <is>
          <t>Malaysia</t>
        </is>
      </c>
    </row>
    <row r="84">
      <c r="A84" t="inlineStr">
        <is>
          <t>U0083</t>
        </is>
      </c>
      <c r="B84" t="inlineStr">
        <is>
          <t>Asia University Taiwan</t>
        </is>
      </c>
      <c r="C84" t="inlineStr">
        <is>
          <t>TA</t>
        </is>
      </c>
      <c r="D84" t="inlineStr">
        <is>
          <t>Taiwan</t>
        </is>
      </c>
    </row>
    <row r="85">
      <c r="A85" t="inlineStr">
        <is>
          <t>U0084</t>
        </is>
      </c>
      <c r="B85" t="inlineStr">
        <is>
          <t xml:space="preserve">Assiut University </t>
        </is>
      </c>
      <c r="C85" t="inlineStr">
        <is>
          <t>EG</t>
        </is>
      </c>
      <c r="D85" t="inlineStr">
        <is>
          <t>Egypt</t>
        </is>
      </c>
    </row>
    <row r="86">
      <c r="A86" t="inlineStr">
        <is>
          <t>U0085</t>
        </is>
      </c>
      <c r="B86" t="inlineStr">
        <is>
          <t>Aston University</t>
        </is>
      </c>
      <c r="C86" t="inlineStr">
        <is>
          <t>UN</t>
        </is>
      </c>
      <c r="D86" t="inlineStr">
        <is>
          <t>United Kingdom</t>
        </is>
      </c>
    </row>
    <row r="87">
      <c r="A87" t="inlineStr">
        <is>
          <t>U0086</t>
        </is>
      </c>
      <c r="B87" t="inlineStr">
        <is>
          <t>Aswan University</t>
        </is>
      </c>
      <c r="C87" t="inlineStr">
        <is>
          <t>EG</t>
        </is>
      </c>
      <c r="D87" t="inlineStr">
        <is>
          <t>Egypt</t>
        </is>
      </c>
    </row>
    <row r="88">
      <c r="A88" t="inlineStr">
        <is>
          <t>U0087</t>
        </is>
      </c>
      <c r="B88" t="inlineStr">
        <is>
          <t>Atılım University</t>
        </is>
      </c>
      <c r="C88" t="inlineStr">
        <is>
          <t>TU</t>
        </is>
      </c>
      <c r="D88" t="inlineStr">
        <is>
          <t>Turkey</t>
        </is>
      </c>
    </row>
    <row r="89">
      <c r="A89" t="inlineStr">
        <is>
          <t>U0088</t>
        </is>
      </c>
      <c r="B89" t="inlineStr">
        <is>
          <t>Atatürk University</t>
        </is>
      </c>
      <c r="C89" t="inlineStr">
        <is>
          <t>TU</t>
        </is>
      </c>
      <c r="D89" t="inlineStr">
        <is>
          <t>Turkey</t>
        </is>
      </c>
    </row>
    <row r="90">
      <c r="A90" t="inlineStr">
        <is>
          <t>U0089</t>
        </is>
      </c>
      <c r="B90" t="inlineStr">
        <is>
          <t>Ataturk University</t>
        </is>
      </c>
      <c r="C90" t="inlineStr">
        <is>
          <t>TU</t>
        </is>
      </c>
      <c r="D90" t="inlineStr">
        <is>
          <t>Turkey</t>
        </is>
      </c>
    </row>
    <row r="91">
      <c r="A91" t="inlineStr">
        <is>
          <t>U0090</t>
        </is>
      </c>
      <c r="B91" t="inlineStr">
        <is>
          <t>Ateneo de Manila University</t>
        </is>
      </c>
      <c r="C91" t="inlineStr">
        <is>
          <t>PH</t>
        </is>
      </c>
      <c r="D91" t="inlineStr">
        <is>
          <t>Philippines</t>
        </is>
      </c>
    </row>
    <row r="92">
      <c r="A92" t="inlineStr">
        <is>
          <t>U0091</t>
        </is>
      </c>
      <c r="B92" t="inlineStr">
        <is>
          <t>Athens University of Economics and Business</t>
        </is>
      </c>
      <c r="C92" t="inlineStr">
        <is>
          <t>GR</t>
        </is>
      </c>
      <c r="D92" t="inlineStr">
        <is>
          <t>Greece</t>
        </is>
      </c>
    </row>
    <row r="93">
      <c r="A93" t="inlineStr">
        <is>
          <t>U0092</t>
        </is>
      </c>
      <c r="B93" t="inlineStr">
        <is>
          <t>Atma Jaya Catholic University Jakarta</t>
        </is>
      </c>
      <c r="C93" t="inlineStr">
        <is>
          <t>IN</t>
        </is>
      </c>
      <c r="D93" t="inlineStr">
        <is>
          <t>Indonesia</t>
        </is>
      </c>
    </row>
    <row r="94">
      <c r="A94" t="inlineStr">
        <is>
          <t>U0093</t>
        </is>
      </c>
      <c r="B94" t="inlineStr">
        <is>
          <t>Auburn University</t>
        </is>
      </c>
      <c r="C94" t="inlineStr">
        <is>
          <t>UN</t>
        </is>
      </c>
      <c r="D94" t="inlineStr">
        <is>
          <t>United States</t>
        </is>
      </c>
    </row>
    <row r="95">
      <c r="A95" t="inlineStr">
        <is>
          <t>U0094</t>
        </is>
      </c>
      <c r="B95" t="inlineStr">
        <is>
          <t>Auckland University of Technology (AUT)</t>
        </is>
      </c>
      <c r="C95" t="inlineStr">
        <is>
          <t>NE</t>
        </is>
      </c>
      <c r="D95" t="inlineStr">
        <is>
          <t>New Zealand</t>
        </is>
      </c>
    </row>
    <row r="96">
      <c r="A96" t="inlineStr">
        <is>
          <t>U0095</t>
        </is>
      </c>
      <c r="B96" t="inlineStr">
        <is>
          <t>Auezov South Kazakhstan University (SKU)</t>
        </is>
      </c>
      <c r="C96" t="inlineStr">
        <is>
          <t>KA</t>
        </is>
      </c>
      <c r="D96" t="inlineStr">
        <is>
          <t>Kazakhstan</t>
        </is>
      </c>
    </row>
    <row r="97">
      <c r="A97" t="inlineStr">
        <is>
          <t>U0096</t>
        </is>
      </c>
      <c r="B97" t="inlineStr">
        <is>
          <t>Austral University of Chile</t>
        </is>
      </c>
      <c r="C97" t="inlineStr">
        <is>
          <t>CH</t>
        </is>
      </c>
      <c r="D97" t="inlineStr">
        <is>
          <t>Chile</t>
        </is>
      </c>
    </row>
    <row r="98">
      <c r="A98" t="inlineStr">
        <is>
          <t>U0097</t>
        </is>
      </c>
      <c r="B98" t="inlineStr">
        <is>
          <t>Australian Catholic University</t>
        </is>
      </c>
      <c r="C98" t="inlineStr">
        <is>
          <t>AU</t>
        </is>
      </c>
      <c r="D98" t="inlineStr">
        <is>
          <t>Australia</t>
        </is>
      </c>
    </row>
    <row r="99">
      <c r="A99" t="inlineStr">
        <is>
          <t>U0098</t>
        </is>
      </c>
      <c r="B99" t="inlineStr">
        <is>
          <t>The Australian National University</t>
        </is>
      </c>
      <c r="C99" t="inlineStr">
        <is>
          <t>AU</t>
        </is>
      </c>
      <c r="D99" t="inlineStr">
        <is>
          <t>Australia</t>
        </is>
      </c>
    </row>
    <row r="100">
      <c r="A100" t="inlineStr">
        <is>
          <t>U0099</t>
        </is>
      </c>
      <c r="B100" t="inlineStr">
        <is>
          <t>Autonomous University of Baja California</t>
        </is>
      </c>
      <c r="C100" t="inlineStr">
        <is>
          <t>ME</t>
        </is>
      </c>
      <c r="D100" t="inlineStr">
        <is>
          <t>Mexico</t>
        </is>
      </c>
    </row>
    <row r="101">
      <c r="A101" t="inlineStr">
        <is>
          <t>U0100</t>
        </is>
      </c>
      <c r="B101" t="inlineStr">
        <is>
          <t>Autonomous University of Barcelona</t>
        </is>
      </c>
      <c r="C101" t="inlineStr">
        <is>
          <t>SP</t>
        </is>
      </c>
      <c r="D101" t="inlineStr">
        <is>
          <t>Spain</t>
        </is>
      </c>
    </row>
    <row r="102">
      <c r="A102" t="inlineStr">
        <is>
          <t>U0101</t>
        </is>
      </c>
      <c r="B102" t="inlineStr">
        <is>
          <t>Autonomous University of Madrid</t>
        </is>
      </c>
      <c r="C102" t="inlineStr">
        <is>
          <t>SP</t>
        </is>
      </c>
      <c r="D102" t="inlineStr">
        <is>
          <t>Spain</t>
        </is>
      </c>
    </row>
    <row r="103">
      <c r="A103" t="inlineStr">
        <is>
          <t>U0102</t>
        </is>
      </c>
      <c r="B103" t="inlineStr">
        <is>
          <t>Autonomous University of Sinaloa</t>
        </is>
      </c>
      <c r="C103" t="inlineStr">
        <is>
          <t>ME</t>
        </is>
      </c>
      <c r="D103" t="inlineStr">
        <is>
          <t>Mexico</t>
        </is>
      </c>
    </row>
    <row r="104">
      <c r="A104" t="inlineStr">
        <is>
          <t>U0103</t>
        </is>
      </c>
      <c r="B104" t="inlineStr">
        <is>
          <t>Azarbaijan Shahid Madani University</t>
        </is>
      </c>
      <c r="C104" t="inlineStr">
        <is>
          <t>IR</t>
        </is>
      </c>
      <c r="D104" t="inlineStr">
        <is>
          <t>Iran</t>
        </is>
      </c>
    </row>
    <row r="105">
      <c r="A105" t="inlineStr">
        <is>
          <t>U0104</t>
        </is>
      </c>
      <c r="B105" t="inlineStr">
        <is>
          <t>Azerbaijan State Oil and Industry University</t>
        </is>
      </c>
      <c r="C105" t="inlineStr">
        <is>
          <t>AZ</t>
        </is>
      </c>
      <c r="D105" t="inlineStr">
        <is>
          <t>Azerbaijan</t>
        </is>
      </c>
    </row>
    <row r="106">
      <c r="A106" t="inlineStr">
        <is>
          <t>U0105</t>
        </is>
      </c>
      <c r="B106" t="inlineStr">
        <is>
          <t>Azerbaijan State University of Economics</t>
        </is>
      </c>
      <c r="C106" t="inlineStr">
        <is>
          <t>AZ</t>
        </is>
      </c>
      <c r="D106" t="inlineStr">
        <is>
          <t>Azerbaijan</t>
        </is>
      </c>
    </row>
    <row r="107">
      <c r="A107" t="inlineStr">
        <is>
          <t>U0106</t>
        </is>
      </c>
      <c r="B107" t="inlineStr">
        <is>
          <t>B. S. Abdur Rahman Crescent Institute of Science and Technology</t>
        </is>
      </c>
      <c r="C107" t="inlineStr">
        <is>
          <t>IN</t>
        </is>
      </c>
      <c r="D107" t="inlineStr">
        <is>
          <t>India</t>
        </is>
      </c>
    </row>
    <row r="108">
      <c r="A108" t="inlineStr">
        <is>
          <t>U0107</t>
        </is>
      </c>
      <c r="B108" t="inlineStr">
        <is>
          <t>Başkent University</t>
        </is>
      </c>
      <c r="C108" t="inlineStr">
        <is>
          <t>TU</t>
        </is>
      </c>
      <c r="D108" t="inlineStr">
        <is>
          <t>Turkey</t>
        </is>
      </c>
    </row>
    <row r="109">
      <c r="A109" t="inlineStr">
        <is>
          <t>U0108</t>
        </is>
      </c>
      <c r="B109" t="inlineStr">
        <is>
          <t>Babeş-Bolyai University</t>
        </is>
      </c>
      <c r="C109" t="inlineStr">
        <is>
          <t>RO</t>
        </is>
      </c>
      <c r="D109" t="inlineStr">
        <is>
          <t>Romania</t>
        </is>
      </c>
    </row>
    <row r="110">
      <c r="A110" t="inlineStr">
        <is>
          <t>U0109</t>
        </is>
      </c>
      <c r="B110" t="inlineStr">
        <is>
          <t>Babes-Bolyai University</t>
        </is>
      </c>
      <c r="C110" t="inlineStr">
        <is>
          <t>RO</t>
        </is>
      </c>
      <c r="D110" t="inlineStr">
        <is>
          <t>Romania</t>
        </is>
      </c>
    </row>
    <row r="111">
      <c r="A111" t="inlineStr">
        <is>
          <t>U0110</t>
        </is>
      </c>
      <c r="B111" t="inlineStr">
        <is>
          <t>Babol Noshirvani University of Technology</t>
        </is>
      </c>
      <c r="C111" t="inlineStr">
        <is>
          <t>IR</t>
        </is>
      </c>
      <c r="D111" t="inlineStr">
        <is>
          <t>Iran</t>
        </is>
      </c>
    </row>
    <row r="112">
      <c r="A112" t="inlineStr">
        <is>
          <t>U0111</t>
        </is>
      </c>
      <c r="B112" t="inlineStr">
        <is>
          <t>Babol University of Medical Sciences</t>
        </is>
      </c>
      <c r="C112" t="inlineStr">
        <is>
          <t>IR</t>
        </is>
      </c>
      <c r="D112" t="inlineStr">
        <is>
          <t>Iran</t>
        </is>
      </c>
    </row>
    <row r="113">
      <c r="A113" t="inlineStr">
        <is>
          <t>U0112</t>
        </is>
      </c>
      <c r="B113" t="inlineStr">
        <is>
          <t>Badji Mokhtar University – Annaba</t>
        </is>
      </c>
      <c r="C113" t="inlineStr">
        <is>
          <t>AL</t>
        </is>
      </c>
      <c r="D113" t="inlineStr">
        <is>
          <t>Algeria</t>
        </is>
      </c>
    </row>
    <row r="114">
      <c r="A114" t="inlineStr">
        <is>
          <t>U0113</t>
        </is>
      </c>
      <c r="B114" t="inlineStr">
        <is>
          <t>Bahçeşehir University</t>
        </is>
      </c>
      <c r="C114" t="inlineStr">
        <is>
          <t>TU</t>
        </is>
      </c>
      <c r="D114" t="inlineStr">
        <is>
          <t>Turkey</t>
        </is>
      </c>
    </row>
    <row r="115">
      <c r="A115" t="inlineStr">
        <is>
          <t>U0114</t>
        </is>
      </c>
      <c r="B115" t="inlineStr">
        <is>
          <t xml:space="preserve">Bahauddin Zakariya University </t>
        </is>
      </c>
      <c r="C115" t="inlineStr">
        <is>
          <t>PA</t>
        </is>
      </c>
      <c r="D115" t="inlineStr">
        <is>
          <t>Pakistan</t>
        </is>
      </c>
    </row>
    <row r="116">
      <c r="A116" t="inlineStr">
        <is>
          <t>U0115</t>
        </is>
      </c>
      <c r="B116" t="inlineStr">
        <is>
          <t>Bahria University</t>
        </is>
      </c>
      <c r="C116" t="inlineStr">
        <is>
          <t>PA</t>
        </is>
      </c>
      <c r="D116" t="inlineStr">
        <is>
          <t>Pakistan</t>
        </is>
      </c>
    </row>
    <row r="117">
      <c r="A117" t="inlineStr">
        <is>
          <t>U0116</t>
        </is>
      </c>
      <c r="B117" t="inlineStr">
        <is>
          <t>Baku State University</t>
        </is>
      </c>
      <c r="C117" t="inlineStr">
        <is>
          <t>AZ</t>
        </is>
      </c>
      <c r="D117" t="inlineStr">
        <is>
          <t>Azerbaijan</t>
        </is>
      </c>
    </row>
    <row r="118">
      <c r="A118" t="inlineStr">
        <is>
          <t>U0117</t>
        </is>
      </c>
      <c r="B118" t="inlineStr">
        <is>
          <t>Banaras Hindu University</t>
        </is>
      </c>
      <c r="C118" t="inlineStr">
        <is>
          <t>IN</t>
        </is>
      </c>
      <c r="D118" t="inlineStr">
        <is>
          <t>India</t>
        </is>
      </c>
    </row>
    <row r="119">
      <c r="A119" t="inlineStr">
        <is>
          <t>U0118</t>
        </is>
      </c>
      <c r="B119" t="inlineStr">
        <is>
          <t>Banasthali University</t>
        </is>
      </c>
      <c r="C119" t="inlineStr">
        <is>
          <t>IN</t>
        </is>
      </c>
      <c r="D119" t="inlineStr">
        <is>
          <t>India</t>
        </is>
      </c>
    </row>
    <row r="120">
      <c r="A120" t="inlineStr">
        <is>
          <t>U0119</t>
        </is>
      </c>
      <c r="B120" t="inlineStr">
        <is>
          <t>Bandung Institute of Technology (ITB)</t>
        </is>
      </c>
      <c r="C120" t="inlineStr">
        <is>
          <t>IN</t>
        </is>
      </c>
      <c r="D120" t="inlineStr">
        <is>
          <t>Indonesia</t>
        </is>
      </c>
    </row>
    <row r="121">
      <c r="A121" t="inlineStr">
        <is>
          <t>U0120</t>
        </is>
      </c>
      <c r="B121" t="inlineStr">
        <is>
          <t>Bangladesh Agricultural University (BAU)</t>
        </is>
      </c>
      <c r="C121" t="inlineStr">
        <is>
          <t>BA</t>
        </is>
      </c>
      <c r="D121" t="inlineStr">
        <is>
          <t>Bangladesh</t>
        </is>
      </c>
    </row>
    <row r="122">
      <c r="A122" t="inlineStr">
        <is>
          <t>U0121</t>
        </is>
      </c>
      <c r="B122" t="inlineStr">
        <is>
          <t>Bangladesh University of Engineering and Technology</t>
        </is>
      </c>
      <c r="C122" t="inlineStr">
        <is>
          <t>BA</t>
        </is>
      </c>
      <c r="D122" t="inlineStr">
        <is>
          <t>Bangladesh</t>
        </is>
      </c>
    </row>
    <row r="123">
      <c r="A123" t="inlineStr">
        <is>
          <t>U0122</t>
        </is>
      </c>
      <c r="B123" t="inlineStr">
        <is>
          <t>Bangor University</t>
        </is>
      </c>
      <c r="C123" t="inlineStr">
        <is>
          <t>UN</t>
        </is>
      </c>
      <c r="D123" t="inlineStr">
        <is>
          <t>United Kingdom</t>
        </is>
      </c>
    </row>
    <row r="124">
      <c r="A124" t="inlineStr">
        <is>
          <t>U0123</t>
        </is>
      </c>
      <c r="B124" t="inlineStr">
        <is>
          <t>Bar-Ilan University</t>
        </is>
      </c>
      <c r="C124" t="inlineStr">
        <is>
          <t>IS</t>
        </is>
      </c>
      <c r="D124" t="inlineStr">
        <is>
          <t>Israel</t>
        </is>
      </c>
    </row>
    <row r="125">
      <c r="A125" t="inlineStr">
        <is>
          <t>U0124</t>
        </is>
      </c>
      <c r="B125" t="inlineStr">
        <is>
          <t>Bartin University</t>
        </is>
      </c>
      <c r="C125" t="inlineStr">
        <is>
          <t>TU</t>
        </is>
      </c>
      <c r="D125" t="inlineStr">
        <is>
          <t>Turkey</t>
        </is>
      </c>
    </row>
    <row r="126">
      <c r="A126" t="inlineStr">
        <is>
          <t>U0125</t>
        </is>
      </c>
      <c r="B126" t="inlineStr">
        <is>
          <t>Bauman Moscow State Technical University</t>
        </is>
      </c>
      <c r="C126" t="inlineStr">
        <is>
          <t>RU</t>
        </is>
      </c>
      <c r="D126" t="inlineStr">
        <is>
          <t>Russian Federation</t>
        </is>
      </c>
    </row>
    <row r="127">
      <c r="A127" t="inlineStr">
        <is>
          <t>U0126</t>
        </is>
      </c>
      <c r="B127" t="inlineStr">
        <is>
          <t>Bayero University</t>
        </is>
      </c>
      <c r="C127" t="inlineStr">
        <is>
          <t>NI</t>
        </is>
      </c>
      <c r="D127" t="inlineStr">
        <is>
          <t>Nigeria</t>
        </is>
      </c>
    </row>
    <row r="128">
      <c r="A128" t="inlineStr">
        <is>
          <t>U0127</t>
        </is>
      </c>
      <c r="B128" t="inlineStr">
        <is>
          <t>Baylor University</t>
        </is>
      </c>
      <c r="C128" t="inlineStr">
        <is>
          <t>UN</t>
        </is>
      </c>
      <c r="D128" t="inlineStr">
        <is>
          <t>United States</t>
        </is>
      </c>
    </row>
    <row r="129">
      <c r="A129" t="inlineStr">
        <is>
          <t>U0128</t>
        </is>
      </c>
      <c r="B129" t="inlineStr">
        <is>
          <t>Beihang University (former BUAA)</t>
        </is>
      </c>
      <c r="C129" t="inlineStr">
        <is>
          <t>CH</t>
        </is>
      </c>
      <c r="D129" t="inlineStr">
        <is>
          <t>China</t>
        </is>
      </c>
    </row>
    <row r="130">
      <c r="A130" t="inlineStr">
        <is>
          <t>U0129</t>
        </is>
      </c>
      <c r="B130" t="inlineStr">
        <is>
          <t>Beijing Foreign Studies University</t>
        </is>
      </c>
      <c r="C130" t="inlineStr">
        <is>
          <t>CH</t>
        </is>
      </c>
      <c r="D130" t="inlineStr">
        <is>
          <t>China</t>
        </is>
      </c>
    </row>
    <row r="131">
      <c r="A131" t="inlineStr">
        <is>
          <t>U0130</t>
        </is>
      </c>
      <c r="B131" t="inlineStr">
        <is>
          <t>Beijing Institute of Technology</t>
        </is>
      </c>
      <c r="C131" t="inlineStr">
        <is>
          <t>CH</t>
        </is>
      </c>
      <c r="D131" t="inlineStr">
        <is>
          <t>China</t>
        </is>
      </c>
    </row>
    <row r="132">
      <c r="A132" t="inlineStr">
        <is>
          <t>U0131</t>
        </is>
      </c>
      <c r="B132" t="inlineStr">
        <is>
          <t>Beijing Jiaotong University</t>
        </is>
      </c>
      <c r="C132" t="inlineStr">
        <is>
          <t>CH</t>
        </is>
      </c>
      <c r="D132" t="inlineStr">
        <is>
          <t>China</t>
        </is>
      </c>
    </row>
    <row r="133">
      <c r="A133" t="inlineStr">
        <is>
          <t>U0132</t>
        </is>
      </c>
      <c r="B133" t="inlineStr">
        <is>
          <t xml:space="preserve">Beijing Normal University </t>
        </is>
      </c>
      <c r="C133" t="inlineStr">
        <is>
          <t>CH</t>
        </is>
      </c>
      <c r="D133" t="inlineStr">
        <is>
          <t>China</t>
        </is>
      </c>
    </row>
    <row r="134">
      <c r="A134" t="inlineStr">
        <is>
          <t>U0133</t>
        </is>
      </c>
      <c r="B134" t="inlineStr">
        <is>
          <t>Beijing University of Chemical Technology</t>
        </is>
      </c>
      <c r="C134" t="inlineStr">
        <is>
          <t>CH</t>
        </is>
      </c>
      <c r="D134" t="inlineStr">
        <is>
          <t>China</t>
        </is>
      </c>
    </row>
    <row r="135">
      <c r="A135" t="inlineStr">
        <is>
          <t>U0134</t>
        </is>
      </c>
      <c r="B135" t="inlineStr">
        <is>
          <t>Beijing University of Chinese Medicine</t>
        </is>
      </c>
      <c r="C135" t="inlineStr">
        <is>
          <t>CH</t>
        </is>
      </c>
      <c r="D135" t="inlineStr">
        <is>
          <t>China</t>
        </is>
      </c>
    </row>
    <row r="136">
      <c r="A136" t="inlineStr">
        <is>
          <t>U0135</t>
        </is>
      </c>
      <c r="B136" t="inlineStr">
        <is>
          <t>Beijing University of Posts and Telecommunications</t>
        </is>
      </c>
      <c r="C136" t="inlineStr">
        <is>
          <t>CH</t>
        </is>
      </c>
      <c r="D136" t="inlineStr">
        <is>
          <t>China</t>
        </is>
      </c>
    </row>
    <row r="137">
      <c r="A137" t="inlineStr">
        <is>
          <t>U0136</t>
        </is>
      </c>
      <c r="B137" t="inlineStr">
        <is>
          <t>Beijing University of Technology</t>
        </is>
      </c>
      <c r="C137" t="inlineStr">
        <is>
          <t>CH</t>
        </is>
      </c>
      <c r="D137" t="inlineStr">
        <is>
          <t>China</t>
        </is>
      </c>
    </row>
    <row r="138">
      <c r="A138" t="inlineStr">
        <is>
          <t>U0137</t>
        </is>
      </c>
      <c r="B138" t="inlineStr">
        <is>
          <t xml:space="preserve">Beirut Arab University </t>
        </is>
      </c>
      <c r="C138" t="inlineStr">
        <is>
          <t>LE</t>
        </is>
      </c>
      <c r="D138" t="inlineStr">
        <is>
          <t>Lebanon</t>
        </is>
      </c>
    </row>
    <row r="139">
      <c r="A139" t="inlineStr">
        <is>
          <t>U0138</t>
        </is>
      </c>
      <c r="B139" t="inlineStr">
        <is>
          <t>Belarusian National Technical University (BNTU)</t>
        </is>
      </c>
      <c r="C139" t="inlineStr">
        <is>
          <t>BE</t>
        </is>
      </c>
      <c r="D139" t="inlineStr">
        <is>
          <t>Belarus</t>
        </is>
      </c>
    </row>
    <row r="140">
      <c r="A140" t="inlineStr">
        <is>
          <t>U0139</t>
        </is>
      </c>
      <c r="B140" t="inlineStr">
        <is>
          <t>Belarusian State University</t>
        </is>
      </c>
      <c r="C140" t="inlineStr">
        <is>
          <t>BE</t>
        </is>
      </c>
      <c r="D140" t="inlineStr">
        <is>
          <t>Belarus</t>
        </is>
      </c>
    </row>
    <row r="141">
      <c r="A141" t="inlineStr">
        <is>
          <t>U0140</t>
        </is>
      </c>
      <c r="B141" t="inlineStr">
        <is>
          <t>Belarusian State University of Informatics and Radioelectronics</t>
        </is>
      </c>
      <c r="C141" t="inlineStr">
        <is>
          <t>BE</t>
        </is>
      </c>
      <c r="D141" t="inlineStr">
        <is>
          <t>Belarus</t>
        </is>
      </c>
    </row>
    <row r="142">
      <c r="A142" t="inlineStr">
        <is>
          <t>U0141</t>
        </is>
      </c>
      <c r="B142" t="inlineStr">
        <is>
          <t>Belgorod State National Research University</t>
        </is>
      </c>
      <c r="C142" t="inlineStr">
        <is>
          <t>RU</t>
        </is>
      </c>
      <c r="D142" t="inlineStr">
        <is>
          <t>Russian Federation</t>
        </is>
      </c>
    </row>
    <row r="143">
      <c r="A143" t="inlineStr">
        <is>
          <t>U0142</t>
        </is>
      </c>
      <c r="B143" t="inlineStr">
        <is>
          <t>Ben-Gurion University of The Negev</t>
        </is>
      </c>
      <c r="C143" t="inlineStr">
        <is>
          <t>IS</t>
        </is>
      </c>
      <c r="D143" t="inlineStr">
        <is>
          <t>Israel</t>
        </is>
      </c>
    </row>
    <row r="144">
      <c r="A144" t="inlineStr">
        <is>
          <t>U0143</t>
        </is>
      </c>
      <c r="B144" t="inlineStr">
        <is>
          <t>Benemérita Universidad Autónoma de Puebla</t>
        </is>
      </c>
      <c r="C144" t="inlineStr">
        <is>
          <t>ME</t>
        </is>
      </c>
      <c r="D144" t="inlineStr">
        <is>
          <t>Mexico</t>
        </is>
      </c>
    </row>
    <row r="145">
      <c r="A145" t="inlineStr">
        <is>
          <t>U0144</t>
        </is>
      </c>
      <c r="B145" t="inlineStr">
        <is>
          <t>Benha University</t>
        </is>
      </c>
      <c r="C145" t="inlineStr">
        <is>
          <t>EG</t>
        </is>
      </c>
      <c r="D145" t="inlineStr">
        <is>
          <t>Egypt</t>
        </is>
      </c>
    </row>
    <row r="146">
      <c r="A146" t="inlineStr">
        <is>
          <t>U0145</t>
        </is>
      </c>
      <c r="B146" t="inlineStr">
        <is>
          <t>Beni-Suef University</t>
        </is>
      </c>
      <c r="C146" t="inlineStr">
        <is>
          <t>EG</t>
        </is>
      </c>
      <c r="D146" t="inlineStr">
        <is>
          <t>Egypt</t>
        </is>
      </c>
    </row>
    <row r="147">
      <c r="A147" t="inlineStr">
        <is>
          <t>U0146</t>
        </is>
      </c>
      <c r="B147" t="inlineStr">
        <is>
          <t>Bernardo O’Higgins University</t>
        </is>
      </c>
      <c r="C147" t="inlineStr">
        <is>
          <t>CH</t>
        </is>
      </c>
      <c r="D147" t="inlineStr">
        <is>
          <t>Chile</t>
        </is>
      </c>
    </row>
    <row r="148">
      <c r="A148" t="inlineStr">
        <is>
          <t>U0147</t>
        </is>
      </c>
      <c r="B148" t="inlineStr">
        <is>
          <t>Bezmiâlem Vakif University</t>
        </is>
      </c>
      <c r="C148" t="inlineStr">
        <is>
          <t>TU</t>
        </is>
      </c>
      <c r="D148" t="inlineStr">
        <is>
          <t>Turkey</t>
        </is>
      </c>
    </row>
    <row r="149">
      <c r="A149" t="inlineStr">
        <is>
          <t>U0148</t>
        </is>
      </c>
      <c r="B149" t="inlineStr">
        <is>
          <t>Bharath Institute of Higher Education and Research</t>
        </is>
      </c>
      <c r="C149" t="inlineStr">
        <is>
          <t>IN</t>
        </is>
      </c>
      <c r="D149" t="inlineStr">
        <is>
          <t>India</t>
        </is>
      </c>
    </row>
    <row r="150">
      <c r="A150" t="inlineStr">
        <is>
          <t>U0149</t>
        </is>
      </c>
      <c r="B150" t="inlineStr">
        <is>
          <t>Bharathiar University</t>
        </is>
      </c>
      <c r="C150" t="inlineStr">
        <is>
          <t>IN</t>
        </is>
      </c>
      <c r="D150" t="inlineStr">
        <is>
          <t>India</t>
        </is>
      </c>
    </row>
    <row r="151">
      <c r="A151" t="inlineStr">
        <is>
          <t>U0150</t>
        </is>
      </c>
      <c r="B151" t="inlineStr">
        <is>
          <t>Bharati Vidyapeeth University</t>
        </is>
      </c>
      <c r="C151" t="inlineStr">
        <is>
          <t>IN</t>
        </is>
      </c>
      <c r="D151" t="inlineStr">
        <is>
          <t>India</t>
        </is>
      </c>
    </row>
    <row r="152">
      <c r="A152" t="inlineStr">
        <is>
          <t>U0151</t>
        </is>
      </c>
      <c r="B152" t="inlineStr">
        <is>
          <t>Bialystok University of Technology</t>
        </is>
      </c>
      <c r="C152" t="inlineStr">
        <is>
          <t>PO</t>
        </is>
      </c>
      <c r="D152" t="inlineStr">
        <is>
          <t>Poland</t>
        </is>
      </c>
    </row>
    <row r="153">
      <c r="A153" t="inlineStr">
        <is>
          <t>U0152</t>
        </is>
      </c>
      <c r="B153" t="inlineStr">
        <is>
          <t>Bielefeld University</t>
        </is>
      </c>
      <c r="C153" t="inlineStr">
        <is>
          <t>GE</t>
        </is>
      </c>
      <c r="D153" t="inlineStr">
        <is>
          <t>Germany</t>
        </is>
      </c>
    </row>
    <row r="154">
      <c r="A154" t="inlineStr">
        <is>
          <t>U0153</t>
        </is>
      </c>
      <c r="B154" t="inlineStr">
        <is>
          <t>Bilecik Şeyh Edebali University</t>
        </is>
      </c>
      <c r="C154" t="inlineStr">
        <is>
          <t>TU</t>
        </is>
      </c>
      <c r="D154" t="inlineStr">
        <is>
          <t>Turkey</t>
        </is>
      </c>
    </row>
    <row r="155">
      <c r="A155" t="inlineStr">
        <is>
          <t>U0154</t>
        </is>
      </c>
      <c r="B155" t="inlineStr">
        <is>
          <t>Bilkent University</t>
        </is>
      </c>
      <c r="C155" t="inlineStr">
        <is>
          <t>TU</t>
        </is>
      </c>
      <c r="D155" t="inlineStr">
        <is>
          <t>Turkey</t>
        </is>
      </c>
    </row>
    <row r="156">
      <c r="A156" t="inlineStr">
        <is>
          <t>U0155</t>
        </is>
      </c>
      <c r="B156" t="inlineStr">
        <is>
          <t>Bina Nusantara University (BINUS)</t>
        </is>
      </c>
      <c r="C156" t="inlineStr">
        <is>
          <t>IN</t>
        </is>
      </c>
      <c r="D156" t="inlineStr">
        <is>
          <t>Indonesia</t>
        </is>
      </c>
    </row>
    <row r="157">
      <c r="A157" t="inlineStr">
        <is>
          <t>U0156</t>
        </is>
      </c>
      <c r="B157" t="inlineStr">
        <is>
          <t>Binghamton University SUNY</t>
        </is>
      </c>
      <c r="C157" t="inlineStr">
        <is>
          <t>UN</t>
        </is>
      </c>
      <c r="D157" t="inlineStr">
        <is>
          <t>United States</t>
        </is>
      </c>
    </row>
    <row r="158">
      <c r="A158" t="inlineStr">
        <is>
          <t>U0157</t>
        </is>
      </c>
      <c r="B158" t="inlineStr">
        <is>
          <t>BINUS University</t>
        </is>
      </c>
      <c r="C158" t="inlineStr">
        <is>
          <t>IN</t>
        </is>
      </c>
      <c r="D158" t="inlineStr">
        <is>
          <t>Indonesia</t>
        </is>
      </c>
    </row>
    <row r="159">
      <c r="A159" t="inlineStr">
        <is>
          <t>U0158</t>
        </is>
      </c>
      <c r="B159" t="inlineStr">
        <is>
          <t>Birkbeck, University of London</t>
        </is>
      </c>
      <c r="C159" t="inlineStr">
        <is>
          <t>UN</t>
        </is>
      </c>
      <c r="D159" t="inlineStr">
        <is>
          <t>United Kingdom</t>
        </is>
      </c>
    </row>
    <row r="160">
      <c r="A160" t="inlineStr">
        <is>
          <t>U0159</t>
        </is>
      </c>
      <c r="B160" t="inlineStr">
        <is>
          <t>Birla Institute of Technology and Science, Pilani</t>
        </is>
      </c>
      <c r="C160" t="inlineStr">
        <is>
          <t>IN</t>
        </is>
      </c>
      <c r="D160" t="inlineStr">
        <is>
          <t>India</t>
        </is>
      </c>
    </row>
    <row r="161">
      <c r="A161" t="inlineStr">
        <is>
          <t>U0160</t>
        </is>
      </c>
      <c r="B161" t="inlineStr">
        <is>
          <t xml:space="preserve">Birmingham City University </t>
        </is>
      </c>
      <c r="C161" t="inlineStr">
        <is>
          <t>UN</t>
        </is>
      </c>
      <c r="D161" t="inlineStr">
        <is>
          <t>United Kingdom</t>
        </is>
      </c>
    </row>
    <row r="162">
      <c r="A162" t="inlineStr">
        <is>
          <t>U0161</t>
        </is>
      </c>
      <c r="B162" t="inlineStr">
        <is>
          <t>Birzeit university</t>
        </is>
      </c>
      <c r="C162" t="inlineStr">
        <is>
          <t>PA</t>
        </is>
      </c>
      <c r="D162" t="inlineStr">
        <is>
          <t>Palestine</t>
        </is>
      </c>
    </row>
    <row r="163">
      <c r="A163" t="inlineStr">
        <is>
          <t>U0162</t>
        </is>
      </c>
      <c r="B163" t="inlineStr">
        <is>
          <t>Blida 1 University</t>
        </is>
      </c>
      <c r="C163" t="inlineStr">
        <is>
          <t>AL</t>
        </is>
      </c>
      <c r="D163" t="inlineStr">
        <is>
          <t>Algeria</t>
        </is>
      </c>
    </row>
    <row r="164">
      <c r="A164" t="inlineStr">
        <is>
          <t>U0163</t>
        </is>
      </c>
      <c r="B164" t="inlineStr">
        <is>
          <t>Åbo Akademi University</t>
        </is>
      </c>
      <c r="C164" t="inlineStr">
        <is>
          <t>FI</t>
        </is>
      </c>
      <c r="D164" t="inlineStr">
        <is>
          <t>Finland</t>
        </is>
      </c>
    </row>
    <row r="165">
      <c r="A165" t="inlineStr">
        <is>
          <t>U0164</t>
        </is>
      </c>
      <c r="B165" t="inlineStr">
        <is>
          <t>Bo?aziçi University</t>
        </is>
      </c>
      <c r="C165" t="inlineStr">
        <is>
          <t>TU</t>
        </is>
      </c>
      <c r="D165" t="inlineStr">
        <is>
          <t>Turkey</t>
        </is>
      </c>
    </row>
    <row r="166">
      <c r="A166" t="inlineStr">
        <is>
          <t>U0165</t>
        </is>
      </c>
      <c r="B166" t="inlineStr">
        <is>
          <t>Bolu Abant Izzet Baysal University</t>
        </is>
      </c>
      <c r="C166" t="inlineStr">
        <is>
          <t>TU</t>
        </is>
      </c>
      <c r="D166" t="inlineStr">
        <is>
          <t>Turkey</t>
        </is>
      </c>
    </row>
    <row r="167">
      <c r="A167" t="inlineStr">
        <is>
          <t>U0166</t>
        </is>
      </c>
      <c r="B167" t="inlineStr">
        <is>
          <t>Bond University</t>
        </is>
      </c>
      <c r="C167" t="inlineStr">
        <is>
          <t>AU</t>
        </is>
      </c>
      <c r="D167" t="inlineStr">
        <is>
          <t>Australia</t>
        </is>
      </c>
    </row>
    <row r="168">
      <c r="A168" t="inlineStr">
        <is>
          <t>U0167</t>
        </is>
      </c>
      <c r="B168" t="inlineStr">
        <is>
          <t>Boston College</t>
        </is>
      </c>
      <c r="C168" t="inlineStr">
        <is>
          <t>UN</t>
        </is>
      </c>
      <c r="D168" t="inlineStr">
        <is>
          <t>United States</t>
        </is>
      </c>
    </row>
    <row r="169">
      <c r="A169" t="inlineStr">
        <is>
          <t>U0168</t>
        </is>
      </c>
      <c r="B169" t="inlineStr">
        <is>
          <t>Boston University</t>
        </is>
      </c>
      <c r="C169" t="inlineStr">
        <is>
          <t>UN</t>
        </is>
      </c>
      <c r="D169" t="inlineStr">
        <is>
          <t>United States</t>
        </is>
      </c>
    </row>
    <row r="170">
      <c r="A170" t="inlineStr">
        <is>
          <t>U0169</t>
        </is>
      </c>
      <c r="B170" t="inlineStr">
        <is>
          <t>Botswana International University of Science and Technology (BIUST)</t>
        </is>
      </c>
      <c r="C170" t="inlineStr">
        <is>
          <t>BO</t>
        </is>
      </c>
      <c r="D170" t="inlineStr">
        <is>
          <t>Botswana</t>
        </is>
      </c>
    </row>
    <row r="171">
      <c r="A171" t="inlineStr">
        <is>
          <t>U0170</t>
        </is>
      </c>
      <c r="B171" t="inlineStr">
        <is>
          <t>Bournemouth University</t>
        </is>
      </c>
      <c r="C171" t="inlineStr">
        <is>
          <t>UN</t>
        </is>
      </c>
      <c r="D171" t="inlineStr">
        <is>
          <t>United Kingdom</t>
        </is>
      </c>
    </row>
    <row r="172">
      <c r="A172" t="inlineStr">
        <is>
          <t>U0171</t>
        </is>
      </c>
      <c r="B172" t="inlineStr">
        <is>
          <t>Bowling Green State University</t>
        </is>
      </c>
      <c r="C172" t="inlineStr">
        <is>
          <t>UN</t>
        </is>
      </c>
      <c r="D172" t="inlineStr">
        <is>
          <t>United States</t>
        </is>
      </c>
    </row>
    <row r="173">
      <c r="A173" t="inlineStr">
        <is>
          <t>U0172</t>
        </is>
      </c>
      <c r="B173" t="inlineStr">
        <is>
          <t>Bozok University</t>
        </is>
      </c>
      <c r="C173" t="inlineStr">
        <is>
          <t>TU</t>
        </is>
      </c>
      <c r="D173" t="inlineStr">
        <is>
          <t>Turkey</t>
        </is>
      </c>
    </row>
    <row r="174">
      <c r="A174" t="inlineStr">
        <is>
          <t>U0173</t>
        </is>
      </c>
      <c r="B174" t="inlineStr">
        <is>
          <t>BRAC University</t>
        </is>
      </c>
      <c r="C174" t="inlineStr">
        <is>
          <t>BA</t>
        </is>
      </c>
      <c r="D174" t="inlineStr">
        <is>
          <t>Bangladesh</t>
        </is>
      </c>
    </row>
    <row r="175">
      <c r="A175" t="inlineStr">
        <is>
          <t>U0174</t>
        </is>
      </c>
      <c r="B175" t="inlineStr">
        <is>
          <t>Brandeis University</t>
        </is>
      </c>
      <c r="C175" t="inlineStr">
        <is>
          <t>UN</t>
        </is>
      </c>
      <c r="D175" t="inlineStr">
        <is>
          <t>United States</t>
        </is>
      </c>
    </row>
    <row r="176">
      <c r="A176" t="inlineStr">
        <is>
          <t>U0175</t>
        </is>
      </c>
      <c r="B176" t="inlineStr">
        <is>
          <t>Brigham Young University</t>
        </is>
      </c>
      <c r="C176" t="inlineStr">
        <is>
          <t>UN</t>
        </is>
      </c>
      <c r="D176" t="inlineStr">
        <is>
          <t>United States</t>
        </is>
      </c>
    </row>
    <row r="177">
      <c r="A177" t="inlineStr">
        <is>
          <t>U0176</t>
        </is>
      </c>
      <c r="B177" t="inlineStr">
        <is>
          <t>Brighton and Sussex Medical School</t>
        </is>
      </c>
      <c r="C177" t="inlineStr">
        <is>
          <t>UN</t>
        </is>
      </c>
      <c r="D177" t="inlineStr">
        <is>
          <t>United Kingdom</t>
        </is>
      </c>
    </row>
    <row r="178">
      <c r="A178" t="inlineStr">
        <is>
          <t>U0177</t>
        </is>
      </c>
      <c r="B178" t="inlineStr">
        <is>
          <t>British University in Egypt</t>
        </is>
      </c>
      <c r="C178" t="inlineStr">
        <is>
          <t>EG</t>
        </is>
      </c>
      <c r="D178" t="inlineStr">
        <is>
          <t>Egypt</t>
        </is>
      </c>
    </row>
    <row r="179">
      <c r="A179" t="inlineStr">
        <is>
          <t>U0178</t>
        </is>
      </c>
      <c r="B179" t="inlineStr">
        <is>
          <t>Brno University of Technology</t>
        </is>
      </c>
      <c r="C179" t="inlineStr">
        <is>
          <t>CZ</t>
        </is>
      </c>
      <c r="D179" t="inlineStr">
        <is>
          <t>Czech Republic</t>
        </is>
      </c>
    </row>
    <row r="180">
      <c r="A180" t="inlineStr">
        <is>
          <t>U0179</t>
        </is>
      </c>
      <c r="B180" t="inlineStr">
        <is>
          <t>Brock University</t>
        </is>
      </c>
      <c r="C180" t="inlineStr">
        <is>
          <t>CA</t>
        </is>
      </c>
      <c r="D180" t="inlineStr">
        <is>
          <t>Canada</t>
        </is>
      </c>
    </row>
    <row r="181">
      <c r="A181" t="inlineStr">
        <is>
          <t>U0180</t>
        </is>
      </c>
      <c r="B181" t="inlineStr">
        <is>
          <t>Brown University</t>
        </is>
      </c>
      <c r="C181" t="inlineStr">
        <is>
          <t>UN</t>
        </is>
      </c>
      <c r="D181" t="inlineStr">
        <is>
          <t>United States</t>
        </is>
      </c>
    </row>
    <row r="182">
      <c r="A182" t="inlineStr">
        <is>
          <t>U0181</t>
        </is>
      </c>
      <c r="B182" t="inlineStr">
        <is>
          <t>Brunel University London</t>
        </is>
      </c>
      <c r="C182" t="inlineStr">
        <is>
          <t>UN</t>
        </is>
      </c>
      <c r="D182" t="inlineStr">
        <is>
          <t>United Kingdom</t>
        </is>
      </c>
    </row>
    <row r="183">
      <c r="A183" t="inlineStr">
        <is>
          <t>U0182</t>
        </is>
      </c>
      <c r="B183" t="inlineStr">
        <is>
          <t>Bu-Ali Sina University</t>
        </is>
      </c>
      <c r="C183" t="inlineStr">
        <is>
          <t>IR</t>
        </is>
      </c>
      <c r="D183" t="inlineStr">
        <is>
          <t>Iran</t>
        </is>
      </c>
    </row>
    <row r="184">
      <c r="A184" t="inlineStr">
        <is>
          <t>U0183</t>
        </is>
      </c>
      <c r="B184" t="inlineStr">
        <is>
          <t>Bucharest University of Economic Studies</t>
        </is>
      </c>
      <c r="C184" t="inlineStr">
        <is>
          <t>RO</t>
        </is>
      </c>
      <c r="D184" t="inlineStr">
        <is>
          <t>Romania</t>
        </is>
      </c>
    </row>
    <row r="185">
      <c r="A185" t="inlineStr">
        <is>
          <t>U0184</t>
        </is>
      </c>
      <c r="B185" t="inlineStr">
        <is>
          <t>Óbuda University</t>
        </is>
      </c>
      <c r="C185" t="inlineStr">
        <is>
          <t>HU</t>
        </is>
      </c>
      <c r="D185" t="inlineStr">
        <is>
          <t>Hungary</t>
        </is>
      </c>
    </row>
    <row r="186">
      <c r="A186" t="inlineStr">
        <is>
          <t>U0185</t>
        </is>
      </c>
      <c r="B186" t="inlineStr">
        <is>
          <t>Budapest University of Technology and Economics</t>
        </is>
      </c>
      <c r="C186" t="inlineStr">
        <is>
          <t>HU</t>
        </is>
      </c>
      <c r="D186" t="inlineStr">
        <is>
          <t>Hungary</t>
        </is>
      </c>
    </row>
    <row r="187">
      <c r="A187" t="inlineStr">
        <is>
          <t>U0186</t>
        </is>
      </c>
      <c r="B187" t="inlineStr">
        <is>
          <t>Burapha University</t>
        </is>
      </c>
      <c r="C187" t="inlineStr">
        <is>
          <t>TH</t>
        </is>
      </c>
      <c r="D187" t="inlineStr">
        <is>
          <t>Thailand</t>
        </is>
      </c>
    </row>
    <row r="188">
      <c r="A188" t="inlineStr">
        <is>
          <t>U0187</t>
        </is>
      </c>
      <c r="B188" t="inlineStr">
        <is>
          <t>Bursa Technical University</t>
        </is>
      </c>
      <c r="C188" t="inlineStr">
        <is>
          <t>TU</t>
        </is>
      </c>
      <c r="D188" t="inlineStr">
        <is>
          <t>Turkey</t>
        </is>
      </c>
    </row>
    <row r="189">
      <c r="A189" t="inlineStr">
        <is>
          <t>U0188</t>
        </is>
      </c>
      <c r="B189" t="inlineStr">
        <is>
          <t>Bursa Uludağ University</t>
        </is>
      </c>
      <c r="C189" t="inlineStr">
        <is>
          <t>TU</t>
        </is>
      </c>
      <c r="D189" t="inlineStr">
        <is>
          <t>Turkey</t>
        </is>
      </c>
    </row>
    <row r="190">
      <c r="A190" t="inlineStr">
        <is>
          <t>U0189</t>
        </is>
      </c>
      <c r="B190" t="inlineStr">
        <is>
          <t xml:space="preserve">Ca' Foscari University of Venice </t>
        </is>
      </c>
      <c r="C190" t="inlineStr">
        <is>
          <t>IT</t>
        </is>
      </c>
      <c r="D190" t="inlineStr">
        <is>
          <t>Italy</t>
        </is>
      </c>
    </row>
    <row r="191">
      <c r="A191" t="inlineStr">
        <is>
          <t>U0190</t>
        </is>
      </c>
      <c r="B191" t="inlineStr">
        <is>
          <t>Cairo University</t>
        </is>
      </c>
      <c r="C191" t="inlineStr">
        <is>
          <t>EG</t>
        </is>
      </c>
      <c r="D191" t="inlineStr">
        <is>
          <t>Egypt</t>
        </is>
      </c>
    </row>
    <row r="192">
      <c r="A192" t="inlineStr">
        <is>
          <t>U0191</t>
        </is>
      </c>
      <c r="B192" t="inlineStr">
        <is>
          <t>California Institute of Technology (Caltech)</t>
        </is>
      </c>
      <c r="C192" t="inlineStr">
        <is>
          <t>UN</t>
        </is>
      </c>
      <c r="D192" t="inlineStr">
        <is>
          <t>United States</t>
        </is>
      </c>
    </row>
    <row r="193">
      <c r="A193" t="inlineStr">
        <is>
          <t>U0192</t>
        </is>
      </c>
      <c r="B193" t="inlineStr">
        <is>
          <t>California Polytechnic State University</t>
        </is>
      </c>
      <c r="C193" t="inlineStr">
        <is>
          <t>UN</t>
        </is>
      </c>
      <c r="D193" t="inlineStr">
        <is>
          <t>United States</t>
        </is>
      </c>
    </row>
    <row r="194">
      <c r="A194" t="inlineStr">
        <is>
          <t>U0193</t>
        </is>
      </c>
      <c r="B194" t="inlineStr">
        <is>
          <t>California State University, Long Beach</t>
        </is>
      </c>
      <c r="C194" t="inlineStr">
        <is>
          <t>UN</t>
        </is>
      </c>
      <c r="D194" t="inlineStr">
        <is>
          <t>United States</t>
        </is>
      </c>
    </row>
    <row r="195">
      <c r="A195" t="inlineStr">
        <is>
          <t>U0194</t>
        </is>
      </c>
      <c r="B195" t="inlineStr">
        <is>
          <t>California State University - Los Angeles</t>
        </is>
      </c>
      <c r="C195" t="inlineStr">
        <is>
          <t>UN</t>
        </is>
      </c>
      <c r="D195" t="inlineStr">
        <is>
          <t>United States</t>
        </is>
      </c>
    </row>
    <row r="196">
      <c r="A196" t="inlineStr">
        <is>
          <t>U0195</t>
        </is>
      </c>
      <c r="B196" t="inlineStr">
        <is>
          <t>Campus Bio-Medico University of Rome</t>
        </is>
      </c>
      <c r="C196" t="inlineStr">
        <is>
          <t>IT</t>
        </is>
      </c>
      <c r="D196" t="inlineStr">
        <is>
          <t>Italy</t>
        </is>
      </c>
    </row>
    <row r="197">
      <c r="A197" t="inlineStr">
        <is>
          <t>U0196</t>
        </is>
      </c>
      <c r="B197" t="inlineStr">
        <is>
          <t>Canadian University Dubai</t>
        </is>
      </c>
      <c r="C197" t="inlineStr">
        <is>
          <t>UN</t>
        </is>
      </c>
      <c r="D197" t="inlineStr">
        <is>
          <t>United Arab Emirates</t>
        </is>
      </c>
    </row>
    <row r="198">
      <c r="A198" t="inlineStr">
        <is>
          <t>U0197</t>
        </is>
      </c>
      <c r="B198" t="inlineStr">
        <is>
          <t>Cankaya University</t>
        </is>
      </c>
      <c r="C198" t="inlineStr">
        <is>
          <t>TU</t>
        </is>
      </c>
      <c r="D198" t="inlineStr">
        <is>
          <t>Turkey</t>
        </is>
      </c>
    </row>
    <row r="199">
      <c r="A199" t="inlineStr">
        <is>
          <t>U0198</t>
        </is>
      </c>
      <c r="B199" t="inlineStr">
        <is>
          <t>Canterbury Christ Church University</t>
        </is>
      </c>
      <c r="C199" t="inlineStr">
        <is>
          <t>UN</t>
        </is>
      </c>
      <c r="D199" t="inlineStr">
        <is>
          <t>United Kingdom</t>
        </is>
      </c>
    </row>
    <row r="200">
      <c r="A200" t="inlineStr">
        <is>
          <t>U0199</t>
        </is>
      </c>
      <c r="B200" t="inlineStr">
        <is>
          <t>Capital Medical University</t>
        </is>
      </c>
      <c r="C200" t="inlineStr">
        <is>
          <t>CH</t>
        </is>
      </c>
      <c r="D200" t="inlineStr">
        <is>
          <t>China</t>
        </is>
      </c>
    </row>
    <row r="201">
      <c r="A201" t="inlineStr">
        <is>
          <t>U0200</t>
        </is>
      </c>
      <c r="B201" t="inlineStr">
        <is>
          <t>Capital University of Science and Technology</t>
        </is>
      </c>
      <c r="C201" t="inlineStr">
        <is>
          <t>PA</t>
        </is>
      </c>
      <c r="D201" t="inlineStr">
        <is>
          <t>Pakistan</t>
        </is>
      </c>
    </row>
    <row r="202">
      <c r="A202" t="inlineStr">
        <is>
          <t>U0201</t>
        </is>
      </c>
      <c r="B202" t="inlineStr">
        <is>
          <t>Cardiff Metropolitan University</t>
        </is>
      </c>
      <c r="C202" t="inlineStr">
        <is>
          <t>UN</t>
        </is>
      </c>
      <c r="D202" t="inlineStr">
        <is>
          <t>United Kingdom</t>
        </is>
      </c>
    </row>
    <row r="203">
      <c r="A203" t="inlineStr">
        <is>
          <t>U0202</t>
        </is>
      </c>
      <c r="B203" t="inlineStr">
        <is>
          <t>Cardiff University</t>
        </is>
      </c>
      <c r="C203" t="inlineStr">
        <is>
          <t>UN</t>
        </is>
      </c>
      <c r="D203" t="inlineStr">
        <is>
          <t>United Kingdom</t>
        </is>
      </c>
    </row>
    <row r="204">
      <c r="A204" t="inlineStr">
        <is>
          <t>U0203</t>
        </is>
      </c>
      <c r="B204" t="inlineStr">
        <is>
          <t>Carleton University</t>
        </is>
      </c>
      <c r="C204" t="inlineStr">
        <is>
          <t>CA</t>
        </is>
      </c>
      <c r="D204" t="inlineStr">
        <is>
          <t>Canada</t>
        </is>
      </c>
    </row>
    <row r="205">
      <c r="A205" t="inlineStr">
        <is>
          <t>U0204</t>
        </is>
      </c>
      <c r="B205" t="inlineStr">
        <is>
          <t>Carlos III University of Madrid</t>
        </is>
      </c>
      <c r="C205" t="inlineStr">
        <is>
          <t>SP</t>
        </is>
      </c>
      <c r="D205" t="inlineStr">
        <is>
          <t>Spain</t>
        </is>
      </c>
    </row>
    <row r="206">
      <c r="A206" t="inlineStr">
        <is>
          <t>U0205</t>
        </is>
      </c>
      <c r="B206" t="inlineStr">
        <is>
          <t>Carnegie Mellon University</t>
        </is>
      </c>
      <c r="C206" t="inlineStr">
        <is>
          <t>UN</t>
        </is>
      </c>
      <c r="D206" t="inlineStr">
        <is>
          <t>United States</t>
        </is>
      </c>
    </row>
    <row r="207">
      <c r="A207" t="inlineStr">
        <is>
          <t>U0206</t>
        </is>
      </c>
      <c r="B207" t="inlineStr">
        <is>
          <t>Case Western Reserve University</t>
        </is>
      </c>
      <c r="C207" t="inlineStr">
        <is>
          <t>UN</t>
        </is>
      </c>
      <c r="D207" t="inlineStr">
        <is>
          <t>United States</t>
        </is>
      </c>
    </row>
    <row r="208">
      <c r="A208" t="inlineStr">
        <is>
          <t>U0207</t>
        </is>
      </c>
      <c r="B208" t="inlineStr">
        <is>
          <t>Católica de Córdoba</t>
        </is>
      </c>
      <c r="C208" t="inlineStr">
        <is>
          <t>AR</t>
        </is>
      </c>
      <c r="D208" t="inlineStr">
        <is>
          <t>Argentina</t>
        </is>
      </c>
    </row>
    <row r="209">
      <c r="A209" t="inlineStr">
        <is>
          <t>U0208</t>
        </is>
      </c>
      <c r="B209" t="inlineStr">
        <is>
          <t>Catania University</t>
        </is>
      </c>
      <c r="C209" t="inlineStr">
        <is>
          <t>IT</t>
        </is>
      </c>
      <c r="D209" t="inlineStr">
        <is>
          <t>Italy</t>
        </is>
      </c>
    </row>
    <row r="210">
      <c r="A210" t="inlineStr">
        <is>
          <t>U0209</t>
        </is>
      </c>
      <c r="B210" t="inlineStr">
        <is>
          <t>The Catholic University of America</t>
        </is>
      </c>
      <c r="C210" t="inlineStr">
        <is>
          <t>UN</t>
        </is>
      </c>
      <c r="D210" t="inlineStr">
        <is>
          <t>United States</t>
        </is>
      </c>
    </row>
    <row r="211">
      <c r="A211" t="inlineStr">
        <is>
          <t>U0210</t>
        </is>
      </c>
      <c r="B211" t="inlineStr">
        <is>
          <t>Catholic University of Brasília</t>
        </is>
      </c>
      <c r="C211" t="inlineStr">
        <is>
          <t>BR</t>
        </is>
      </c>
      <c r="D211" t="inlineStr">
        <is>
          <t>Brazil</t>
        </is>
      </c>
    </row>
    <row r="212">
      <c r="A212" t="inlineStr">
        <is>
          <t>U0211</t>
        </is>
      </c>
      <c r="B212" t="inlineStr">
        <is>
          <t xml:space="preserve">The Catholic University of Korea </t>
        </is>
      </c>
      <c r="C212" t="inlineStr">
        <is>
          <t>SO</t>
        </is>
      </c>
      <c r="D212" t="inlineStr">
        <is>
          <t>South Korea</t>
        </is>
      </c>
    </row>
    <row r="213">
      <c r="A213" t="inlineStr">
        <is>
          <t>U0212</t>
        </is>
      </c>
      <c r="B213" t="inlineStr">
        <is>
          <t>Catholic University of Portugal</t>
        </is>
      </c>
      <c r="C213" t="inlineStr">
        <is>
          <t>PO</t>
        </is>
      </c>
      <c r="D213" t="inlineStr">
        <is>
          <t>Portugal</t>
        </is>
      </c>
    </row>
    <row r="214">
      <c r="A214" t="inlineStr">
        <is>
          <t>U0213</t>
        </is>
      </c>
      <c r="B214" t="inlineStr">
        <is>
          <t>Catholic University of the North</t>
        </is>
      </c>
      <c r="C214" t="inlineStr">
        <is>
          <t>CH</t>
        </is>
      </c>
      <c r="D214" t="inlineStr">
        <is>
          <t>Chile</t>
        </is>
      </c>
    </row>
    <row r="215">
      <c r="A215" t="inlineStr">
        <is>
          <t>U0214</t>
        </is>
      </c>
      <c r="B215" t="inlineStr">
        <is>
          <t>Catholic University of the Sacred Heart</t>
        </is>
      </c>
      <c r="C215" t="inlineStr">
        <is>
          <t>IT</t>
        </is>
      </c>
      <c r="D215" t="inlineStr">
        <is>
          <t>Italy</t>
        </is>
      </c>
    </row>
    <row r="216">
      <c r="A216" t="inlineStr">
        <is>
          <t>U0215</t>
        </is>
      </c>
      <c r="B216" t="inlineStr">
        <is>
          <t>Ceará State University</t>
        </is>
      </c>
      <c r="C216" t="inlineStr">
        <is>
          <t>BR</t>
        </is>
      </c>
      <c r="D216" t="inlineStr">
        <is>
          <t>Brazil</t>
        </is>
      </c>
    </row>
    <row r="217">
      <c r="A217" t="inlineStr">
        <is>
          <t>U0216</t>
        </is>
      </c>
      <c r="B217" t="inlineStr">
        <is>
          <t>Central Michigan University</t>
        </is>
      </c>
      <c r="C217" t="inlineStr">
        <is>
          <t>UN</t>
        </is>
      </c>
      <c r="D217" t="inlineStr">
        <is>
          <t>United States</t>
        </is>
      </c>
    </row>
    <row r="218">
      <c r="A218" t="inlineStr">
        <is>
          <t>U0217</t>
        </is>
      </c>
      <c r="B218" t="inlineStr">
        <is>
          <t>Central Queensland University (CQUniversity Australia)</t>
        </is>
      </c>
      <c r="C218" t="inlineStr">
        <is>
          <t>AU</t>
        </is>
      </c>
      <c r="D218" t="inlineStr">
        <is>
          <t>Australia</t>
        </is>
      </c>
    </row>
    <row r="219">
      <c r="A219" t="inlineStr">
        <is>
          <t>U0218</t>
        </is>
      </c>
      <c r="B219" t="inlineStr">
        <is>
          <t>Central South University</t>
        </is>
      </c>
      <c r="C219" t="inlineStr">
        <is>
          <t>CH</t>
        </is>
      </c>
      <c r="D219" t="inlineStr">
        <is>
          <t>China</t>
        </is>
      </c>
    </row>
    <row r="220">
      <c r="A220" t="inlineStr">
        <is>
          <t>U0219</t>
        </is>
      </c>
      <c r="B220" t="inlineStr">
        <is>
          <t>Centrale Nantes</t>
        </is>
      </c>
      <c r="C220" t="inlineStr">
        <is>
          <t>FR</t>
        </is>
      </c>
      <c r="D220" t="inlineStr">
        <is>
          <t>France</t>
        </is>
      </c>
    </row>
    <row r="221">
      <c r="A221" t="inlineStr">
        <is>
          <t>U0220</t>
        </is>
      </c>
      <c r="B221" t="inlineStr">
        <is>
          <t>Centro Federal de Educação Tecnológica Celso Suckow da Fonseca (CEFET-RJ)</t>
        </is>
      </c>
      <c r="C221" t="inlineStr">
        <is>
          <t>BR</t>
        </is>
      </c>
      <c r="D221" t="inlineStr">
        <is>
          <t>Brazil</t>
        </is>
      </c>
    </row>
    <row r="222">
      <c r="A222" t="inlineStr">
        <is>
          <t>U0221</t>
        </is>
      </c>
      <c r="B222" t="inlineStr">
        <is>
          <t>CES University</t>
        </is>
      </c>
      <c r="C222" t="inlineStr">
        <is>
          <t>CO</t>
        </is>
      </c>
      <c r="D222" t="inlineStr">
        <is>
          <t>Colombia</t>
        </is>
      </c>
    </row>
    <row r="223">
      <c r="A223" t="inlineStr">
        <is>
          <t>U0222</t>
        </is>
      </c>
      <c r="B223" t="inlineStr">
        <is>
          <t>Chalmers University of Technology</t>
        </is>
      </c>
      <c r="C223" t="inlineStr">
        <is>
          <t>SW</t>
        </is>
      </c>
      <c r="D223" t="inlineStr">
        <is>
          <t>Sweden</t>
        </is>
      </c>
    </row>
    <row r="224">
      <c r="A224" t="inlineStr">
        <is>
          <t>U0223</t>
        </is>
      </c>
      <c r="B224" t="inlineStr">
        <is>
          <t>Chandigarh University</t>
        </is>
      </c>
      <c r="C224" t="inlineStr">
        <is>
          <t>IN</t>
        </is>
      </c>
      <c r="D224" t="inlineStr">
        <is>
          <t>India</t>
        </is>
      </c>
    </row>
    <row r="225">
      <c r="A225" t="inlineStr">
        <is>
          <t>U0224</t>
        </is>
      </c>
      <c r="B225" t="inlineStr">
        <is>
          <t>Chang Gung University</t>
        </is>
      </c>
      <c r="C225" t="inlineStr">
        <is>
          <t>TA</t>
        </is>
      </c>
      <c r="D225" t="inlineStr">
        <is>
          <t>Taiwan</t>
        </is>
      </c>
    </row>
    <row r="226">
      <c r="A226" t="inlineStr">
        <is>
          <t>U0225</t>
        </is>
      </c>
      <c r="B226" t="inlineStr">
        <is>
          <t>Chang Gung University of Science and Technology</t>
        </is>
      </c>
      <c r="C226" t="inlineStr">
        <is>
          <t>TA</t>
        </is>
      </c>
      <c r="D226" t="inlineStr">
        <is>
          <t>Taiwan</t>
        </is>
      </c>
    </row>
    <row r="227">
      <c r="A227" t="inlineStr">
        <is>
          <t>U0226</t>
        </is>
      </c>
      <c r="B227" t="inlineStr">
        <is>
          <t>Chang Jung Christian University</t>
        </is>
      </c>
      <c r="C227" t="inlineStr">
        <is>
          <t>TA</t>
        </is>
      </c>
      <c r="D227" t="inlineStr">
        <is>
          <t>Taiwan</t>
        </is>
      </c>
    </row>
    <row r="228">
      <c r="A228" t="inlineStr">
        <is>
          <t>U0227</t>
        </is>
      </c>
      <c r="B228" t="inlineStr">
        <is>
          <t>Changsha University of Science and Technology</t>
        </is>
      </c>
      <c r="C228" t="inlineStr">
        <is>
          <t>CH</t>
        </is>
      </c>
      <c r="D228" t="inlineStr">
        <is>
          <t>China</t>
        </is>
      </c>
    </row>
    <row r="229">
      <c r="A229" t="inlineStr">
        <is>
          <t>U0228</t>
        </is>
      </c>
      <c r="B229" t="inlineStr">
        <is>
          <t>Chaoyang University of Technology</t>
        </is>
      </c>
      <c r="C229" t="inlineStr">
        <is>
          <t>TA</t>
        </is>
      </c>
      <c r="D229" t="inlineStr">
        <is>
          <t>Taiwan</t>
        </is>
      </c>
    </row>
    <row r="230">
      <c r="A230" t="inlineStr">
        <is>
          <t>U0229</t>
        </is>
      </c>
      <c r="B230" t="inlineStr">
        <is>
          <t>Chapman University</t>
        </is>
      </c>
      <c r="C230" t="inlineStr">
        <is>
          <t>UN</t>
        </is>
      </c>
      <c r="D230" t="inlineStr">
        <is>
          <t>United States</t>
        </is>
      </c>
    </row>
    <row r="231">
      <c r="A231" t="inlineStr">
        <is>
          <t>U0230</t>
        </is>
      </c>
      <c r="B231" t="inlineStr">
        <is>
          <t>Charité - Universitätsmedizin Berlin</t>
        </is>
      </c>
      <c r="C231" t="inlineStr">
        <is>
          <t>GE</t>
        </is>
      </c>
      <c r="D231" t="inlineStr">
        <is>
          <t>Germany</t>
        </is>
      </c>
    </row>
    <row r="232">
      <c r="A232" t="inlineStr">
        <is>
          <t>U0231</t>
        </is>
      </c>
      <c r="B232" t="inlineStr">
        <is>
          <t xml:space="preserve">Charles Darwin University </t>
        </is>
      </c>
      <c r="C232" t="inlineStr">
        <is>
          <t>AU</t>
        </is>
      </c>
      <c r="D232" t="inlineStr">
        <is>
          <t>Australia</t>
        </is>
      </c>
    </row>
    <row r="233">
      <c r="A233" t="inlineStr">
        <is>
          <t>U0232</t>
        </is>
      </c>
      <c r="B233" t="inlineStr">
        <is>
          <t xml:space="preserve">Charles Sturt University </t>
        </is>
      </c>
      <c r="C233" t="inlineStr">
        <is>
          <t>AU</t>
        </is>
      </c>
      <c r="D233" t="inlineStr">
        <is>
          <t>Australia</t>
        </is>
      </c>
    </row>
    <row r="234">
      <c r="A234" t="inlineStr">
        <is>
          <t>U0233</t>
        </is>
      </c>
      <c r="B234" t="inlineStr">
        <is>
          <t>Charles University</t>
        </is>
      </c>
      <c r="C234" t="inlineStr">
        <is>
          <t>CZ</t>
        </is>
      </c>
      <c r="D234" t="inlineStr">
        <is>
          <t>Czech Republic</t>
        </is>
      </c>
    </row>
    <row r="235">
      <c r="A235" t="inlineStr">
        <is>
          <t>U0234</t>
        </is>
      </c>
      <c r="B235" t="inlineStr">
        <is>
          <t>Chelyabinsk State University</t>
        </is>
      </c>
      <c r="C235" t="inlineStr">
        <is>
          <t>RU</t>
        </is>
      </c>
      <c r="D235" t="inlineStr">
        <is>
          <t>Russian Federation</t>
        </is>
      </c>
    </row>
    <row r="236">
      <c r="A236" t="inlineStr">
        <is>
          <t>U0235</t>
        </is>
      </c>
      <c r="B236" t="inlineStr">
        <is>
          <t>Chengdu University</t>
        </is>
      </c>
      <c r="C236" t="inlineStr">
        <is>
          <t>CH</t>
        </is>
      </c>
      <c r="D236" t="inlineStr">
        <is>
          <t>China</t>
        </is>
      </c>
    </row>
    <row r="237">
      <c r="A237" t="inlineStr">
        <is>
          <t>U0236</t>
        </is>
      </c>
      <c r="B237" t="inlineStr">
        <is>
          <t>Chiang Mai University</t>
        </is>
      </c>
      <c r="C237" t="inlineStr">
        <is>
          <t>TH</t>
        </is>
      </c>
      <c r="D237" t="inlineStr">
        <is>
          <t>Thailand</t>
        </is>
      </c>
    </row>
    <row r="238">
      <c r="A238" t="inlineStr">
        <is>
          <t>U0237</t>
        </is>
      </c>
      <c r="B238" t="inlineStr">
        <is>
          <t>Chiba Institute of Technology</t>
        </is>
      </c>
      <c r="C238" t="inlineStr">
        <is>
          <t>JA</t>
        </is>
      </c>
      <c r="D238" t="inlineStr">
        <is>
          <t>Japan</t>
        </is>
      </c>
    </row>
    <row r="239">
      <c r="A239" t="inlineStr">
        <is>
          <t>U0238</t>
        </is>
      </c>
      <c r="B239" t="inlineStr">
        <is>
          <t>Chiba University</t>
        </is>
      </c>
      <c r="C239" t="inlineStr">
        <is>
          <t>JA</t>
        </is>
      </c>
      <c r="D239" t="inlineStr">
        <is>
          <t>Japan</t>
        </is>
      </c>
    </row>
    <row r="240">
      <c r="A240" t="inlineStr">
        <is>
          <t>U0239</t>
        </is>
      </c>
      <c r="B240" t="inlineStr">
        <is>
          <t xml:space="preserve">China Agricultural University </t>
        </is>
      </c>
      <c r="C240" t="inlineStr">
        <is>
          <t>CH</t>
        </is>
      </c>
      <c r="D240" t="inlineStr">
        <is>
          <t>China</t>
        </is>
      </c>
    </row>
    <row r="241">
      <c r="A241" t="inlineStr">
        <is>
          <t>U0240</t>
        </is>
      </c>
      <c r="B241" t="inlineStr">
        <is>
          <t>China Medical University, Taiwan</t>
        </is>
      </c>
      <c r="C241" t="inlineStr">
        <is>
          <t>TA</t>
        </is>
      </c>
      <c r="D241" t="inlineStr">
        <is>
          <t>Taiwan</t>
        </is>
      </c>
    </row>
    <row r="242">
      <c r="A242" t="inlineStr">
        <is>
          <t>U0241</t>
        </is>
      </c>
      <c r="B242" t="inlineStr">
        <is>
          <t>China Pharmaceutical University</t>
        </is>
      </c>
      <c r="C242" t="inlineStr">
        <is>
          <t>CH</t>
        </is>
      </c>
      <c r="D242" t="inlineStr">
        <is>
          <t>China</t>
        </is>
      </c>
    </row>
    <row r="243">
      <c r="A243" t="inlineStr">
        <is>
          <t>U0242</t>
        </is>
      </c>
      <c r="B243" t="inlineStr">
        <is>
          <t>China University of Geosciences</t>
        </is>
      </c>
      <c r="C243" t="inlineStr">
        <is>
          <t>CH</t>
        </is>
      </c>
      <c r="D243" t="inlineStr">
        <is>
          <t>China</t>
        </is>
      </c>
    </row>
    <row r="244">
      <c r="A244" t="inlineStr">
        <is>
          <t>U0243</t>
        </is>
      </c>
      <c r="B244" t="inlineStr">
        <is>
          <t>China University of Mining and Technology</t>
        </is>
      </c>
      <c r="C244" t="inlineStr">
        <is>
          <t>CH</t>
        </is>
      </c>
      <c r="D244" t="inlineStr">
        <is>
          <t>China</t>
        </is>
      </c>
    </row>
    <row r="245">
      <c r="A245" t="inlineStr">
        <is>
          <t>U0244</t>
        </is>
      </c>
      <c r="B245" t="inlineStr">
        <is>
          <t>China University of Petroleum</t>
        </is>
      </c>
      <c r="C245" t="inlineStr">
        <is>
          <t>CH</t>
        </is>
      </c>
      <c r="D245" t="inlineStr">
        <is>
          <t>China</t>
        </is>
      </c>
    </row>
    <row r="246">
      <c r="A246" t="inlineStr">
        <is>
          <t>U0245</t>
        </is>
      </c>
      <c r="B246" t="inlineStr">
        <is>
          <t>China University of Petroleum, Beijing</t>
        </is>
      </c>
      <c r="C246" t="inlineStr">
        <is>
          <t>CH</t>
        </is>
      </c>
      <c r="D246" t="inlineStr">
        <is>
          <t>China</t>
        </is>
      </c>
    </row>
    <row r="247">
      <c r="A247" t="inlineStr">
        <is>
          <t>U0246</t>
        </is>
      </c>
      <c r="B247" t="inlineStr">
        <is>
          <t>China University of Political Science and Law</t>
        </is>
      </c>
      <c r="C247" t="inlineStr">
        <is>
          <t>CH</t>
        </is>
      </c>
      <c r="D247" t="inlineStr">
        <is>
          <t>China</t>
        </is>
      </c>
    </row>
    <row r="248">
      <c r="A248" t="inlineStr">
        <is>
          <t>U0247</t>
        </is>
      </c>
      <c r="B248" t="inlineStr">
        <is>
          <t>Chinese Culture University</t>
        </is>
      </c>
      <c r="C248" t="inlineStr">
        <is>
          <t>TA</t>
        </is>
      </c>
      <c r="D248" t="inlineStr">
        <is>
          <t>Taiwan</t>
        </is>
      </c>
    </row>
    <row r="249">
      <c r="A249" t="inlineStr">
        <is>
          <t>U0248</t>
        </is>
      </c>
      <c r="B249" t="inlineStr">
        <is>
          <t>The Chinese University of Hong Kong (CUHK)</t>
        </is>
      </c>
      <c r="C249" t="inlineStr">
        <is>
          <t>HO</t>
        </is>
      </c>
      <c r="D249" t="inlineStr">
        <is>
          <t>Hong Kong</t>
        </is>
      </c>
    </row>
    <row r="250">
      <c r="A250" t="inlineStr">
        <is>
          <t>U0249</t>
        </is>
      </c>
      <c r="B250" t="inlineStr">
        <is>
          <t>Chitkara University</t>
        </is>
      </c>
      <c r="C250" t="inlineStr">
        <is>
          <t>IN</t>
        </is>
      </c>
      <c r="D250" t="inlineStr">
        <is>
          <t>India</t>
        </is>
      </c>
    </row>
    <row r="251">
      <c r="A251" t="inlineStr">
        <is>
          <t>U0250</t>
        </is>
      </c>
      <c r="B251" t="inlineStr">
        <is>
          <t>Chittagong University of Engineering and Technology</t>
        </is>
      </c>
      <c r="C251" t="inlineStr">
        <is>
          <t>BA</t>
        </is>
      </c>
      <c r="D251" t="inlineStr">
        <is>
          <t>Bangladesh</t>
        </is>
      </c>
    </row>
    <row r="252">
      <c r="A252" t="inlineStr">
        <is>
          <t>U0251</t>
        </is>
      </c>
      <c r="B252" t="inlineStr">
        <is>
          <t>Chongqing University</t>
        </is>
      </c>
      <c r="C252" t="inlineStr">
        <is>
          <t>CH</t>
        </is>
      </c>
      <c r="D252" t="inlineStr">
        <is>
          <t>China</t>
        </is>
      </c>
    </row>
    <row r="253">
      <c r="A253" t="inlineStr">
        <is>
          <t>U0252</t>
        </is>
      </c>
      <c r="B253" t="inlineStr">
        <is>
          <t>Chonnam National University</t>
        </is>
      </c>
      <c r="C253" t="inlineStr">
        <is>
          <t>SO</t>
        </is>
      </c>
      <c r="D253" t="inlineStr">
        <is>
          <t>South Korea</t>
        </is>
      </c>
    </row>
    <row r="254">
      <c r="A254" t="inlineStr">
        <is>
          <t>U0253</t>
        </is>
      </c>
      <c r="B254" t="inlineStr">
        <is>
          <t>Chosun University</t>
        </is>
      </c>
      <c r="C254" t="inlineStr">
        <is>
          <t>SO</t>
        </is>
      </c>
      <c r="D254" t="inlineStr">
        <is>
          <t>South Korea</t>
        </is>
      </c>
    </row>
    <row r="255">
      <c r="A255" t="inlineStr">
        <is>
          <t>U0254</t>
        </is>
      </c>
      <c r="B255" t="inlineStr">
        <is>
          <t>Christ University Bengaluru India</t>
        </is>
      </c>
      <c r="C255" t="inlineStr">
        <is>
          <t>IN</t>
        </is>
      </c>
      <c r="D255" t="inlineStr">
        <is>
          <t>India</t>
        </is>
      </c>
    </row>
    <row r="256">
      <c r="A256" t="inlineStr">
        <is>
          <t>U0255</t>
        </is>
      </c>
      <c r="B256" t="inlineStr">
        <is>
          <t>Christian-Albrechts-University zu Kiel</t>
        </is>
      </c>
      <c r="C256" t="inlineStr">
        <is>
          <t>GE</t>
        </is>
      </c>
      <c r="D256" t="inlineStr">
        <is>
          <t>Germany</t>
        </is>
      </c>
    </row>
    <row r="257">
      <c r="A257" t="inlineStr">
        <is>
          <t>U0256</t>
        </is>
      </c>
      <c r="B257" t="inlineStr">
        <is>
          <t>Chubu University</t>
        </is>
      </c>
      <c r="C257" t="inlineStr">
        <is>
          <t>JA</t>
        </is>
      </c>
      <c r="D257" t="inlineStr">
        <is>
          <t>Japan</t>
        </is>
      </c>
    </row>
    <row r="258">
      <c r="A258" t="inlineStr">
        <is>
          <t>U0257</t>
        </is>
      </c>
      <c r="B258" t="inlineStr">
        <is>
          <t>Chulalongkorn University</t>
        </is>
      </c>
      <c r="C258" t="inlineStr">
        <is>
          <t>TH</t>
        </is>
      </c>
      <c r="D258" t="inlineStr">
        <is>
          <t>Thailand</t>
        </is>
      </c>
    </row>
    <row r="259">
      <c r="A259" t="inlineStr">
        <is>
          <t>U0258</t>
        </is>
      </c>
      <c r="B259" t="inlineStr">
        <is>
          <t>Chung-Ang University (CAU)</t>
        </is>
      </c>
      <c r="C259" t="inlineStr">
        <is>
          <t>SO</t>
        </is>
      </c>
      <c r="D259" t="inlineStr">
        <is>
          <t>South Korea</t>
        </is>
      </c>
    </row>
    <row r="260">
      <c r="A260" t="inlineStr">
        <is>
          <t>U0259</t>
        </is>
      </c>
      <c r="B260" t="inlineStr">
        <is>
          <t>Chung Shan Medical University</t>
        </is>
      </c>
      <c r="C260" t="inlineStr">
        <is>
          <t>TA</t>
        </is>
      </c>
      <c r="D260" t="inlineStr">
        <is>
          <t>Taiwan</t>
        </is>
      </c>
    </row>
    <row r="261">
      <c r="A261" t="inlineStr">
        <is>
          <t>U0260</t>
        </is>
      </c>
      <c r="B261" t="inlineStr">
        <is>
          <t>Chung Yuan Christian University</t>
        </is>
      </c>
      <c r="C261" t="inlineStr">
        <is>
          <t>TA</t>
        </is>
      </c>
      <c r="D261" t="inlineStr">
        <is>
          <t>Taiwan</t>
        </is>
      </c>
    </row>
    <row r="262">
      <c r="A262" t="inlineStr">
        <is>
          <t>U0261</t>
        </is>
      </c>
      <c r="B262" t="inlineStr">
        <is>
          <t>Chungbuk National University</t>
        </is>
      </c>
      <c r="C262" t="inlineStr">
        <is>
          <t>SO</t>
        </is>
      </c>
      <c r="D262" t="inlineStr">
        <is>
          <t>South Korea</t>
        </is>
      </c>
    </row>
    <row r="263">
      <c r="A263" t="inlineStr">
        <is>
          <t>U0262</t>
        </is>
      </c>
      <c r="B263" t="inlineStr">
        <is>
          <t>Chungnam National University</t>
        </is>
      </c>
      <c r="C263" t="inlineStr">
        <is>
          <t>SO</t>
        </is>
      </c>
      <c r="D263" t="inlineStr">
        <is>
          <t>South Korea</t>
        </is>
      </c>
    </row>
    <row r="264">
      <c r="A264" t="inlineStr">
        <is>
          <t>U0263</t>
        </is>
      </c>
      <c r="B264" t="inlineStr">
        <is>
          <t>Chuo University</t>
        </is>
      </c>
      <c r="C264" t="inlineStr">
        <is>
          <t>JA</t>
        </is>
      </c>
      <c r="D264" t="inlineStr">
        <is>
          <t>Japan</t>
        </is>
      </c>
    </row>
    <row r="265">
      <c r="A265" t="inlineStr">
        <is>
          <t>U0264</t>
        </is>
      </c>
      <c r="B265" t="inlineStr">
        <is>
          <t>City University of Hong Kong</t>
        </is>
      </c>
      <c r="C265" t="inlineStr">
        <is>
          <t>HO</t>
        </is>
      </c>
      <c r="D265" t="inlineStr">
        <is>
          <t>Hong Kong</t>
        </is>
      </c>
    </row>
    <row r="266">
      <c r="A266" t="inlineStr">
        <is>
          <t>U0265</t>
        </is>
      </c>
      <c r="B266" t="inlineStr">
        <is>
          <t>City, University of London</t>
        </is>
      </c>
      <c r="C266" t="inlineStr">
        <is>
          <t>UN</t>
        </is>
      </c>
      <c r="D266" t="inlineStr">
        <is>
          <t>United Kingdom</t>
        </is>
      </c>
    </row>
    <row r="267">
      <c r="A267" t="inlineStr">
        <is>
          <t>U0266</t>
        </is>
      </c>
      <c r="B267" t="inlineStr">
        <is>
          <t>City University of New York</t>
        </is>
      </c>
      <c r="C267" t="inlineStr">
        <is>
          <t>UN</t>
        </is>
      </c>
      <c r="D267" t="inlineStr">
        <is>
          <t>United States</t>
        </is>
      </c>
    </row>
    <row r="268">
      <c r="A268" t="inlineStr">
        <is>
          <t>U0267</t>
        </is>
      </c>
      <c r="B268" t="inlineStr">
        <is>
          <t>Clark University</t>
        </is>
      </c>
      <c r="C268" t="inlineStr">
        <is>
          <t>UN</t>
        </is>
      </c>
      <c r="D268" t="inlineStr">
        <is>
          <t>United States</t>
        </is>
      </c>
    </row>
    <row r="269">
      <c r="A269" t="inlineStr">
        <is>
          <t>U0268</t>
        </is>
      </c>
      <c r="B269" t="inlineStr">
        <is>
          <t>Clarkson University</t>
        </is>
      </c>
      <c r="C269" t="inlineStr">
        <is>
          <t>UN</t>
        </is>
      </c>
      <c r="D269" t="inlineStr">
        <is>
          <t>United States</t>
        </is>
      </c>
    </row>
    <row r="270">
      <c r="A270" t="inlineStr">
        <is>
          <t>U0269</t>
        </is>
      </c>
      <c r="B270" t="inlineStr">
        <is>
          <t>Claude Bernard University Lyon 1</t>
        </is>
      </c>
      <c r="C270" t="inlineStr">
        <is>
          <t>FR</t>
        </is>
      </c>
      <c r="D270" t="inlineStr">
        <is>
          <t>France</t>
        </is>
      </c>
    </row>
    <row r="271">
      <c r="A271" t="inlineStr">
        <is>
          <t>U0270</t>
        </is>
      </c>
      <c r="B271" t="inlineStr">
        <is>
          <t>Clemson University</t>
        </is>
      </c>
      <c r="C271" t="inlineStr">
        <is>
          <t>UN</t>
        </is>
      </c>
      <c r="D271" t="inlineStr">
        <is>
          <t>United States</t>
        </is>
      </c>
    </row>
    <row r="272">
      <c r="A272" t="inlineStr">
        <is>
          <t>U0271</t>
        </is>
      </c>
      <c r="B272" t="inlineStr">
        <is>
          <t>Cleveland State University</t>
        </is>
      </c>
      <c r="C272" t="inlineStr">
        <is>
          <t>UN</t>
        </is>
      </c>
      <c r="D272" t="inlineStr">
        <is>
          <t>United States</t>
        </is>
      </c>
    </row>
    <row r="273">
      <c r="A273" t="inlineStr">
        <is>
          <t>U0272</t>
        </is>
      </c>
      <c r="B273" t="inlineStr">
        <is>
          <t>Cochin University of Science and Technology</t>
        </is>
      </c>
      <c r="C273" t="inlineStr">
        <is>
          <t>IN</t>
        </is>
      </c>
      <c r="D273" t="inlineStr">
        <is>
          <t>India</t>
        </is>
      </c>
    </row>
    <row r="274">
      <c r="A274" t="inlineStr">
        <is>
          <t>U0273</t>
        </is>
      </c>
      <c r="B274" t="inlineStr">
        <is>
          <t>École Centrale de Lyon</t>
        </is>
      </c>
      <c r="C274" t="inlineStr">
        <is>
          <t>FR</t>
        </is>
      </c>
      <c r="D274" t="inlineStr">
        <is>
          <t>France</t>
        </is>
      </c>
    </row>
    <row r="275">
      <c r="A275" t="inlineStr">
        <is>
          <t>U0274</t>
        </is>
      </c>
      <c r="B275" t="inlineStr">
        <is>
          <t>École des Mines de Saint-Étienne</t>
        </is>
      </c>
      <c r="C275" t="inlineStr">
        <is>
          <t>FR</t>
        </is>
      </c>
      <c r="D275" t="inlineStr">
        <is>
          <t>France</t>
        </is>
      </c>
    </row>
    <row r="276">
      <c r="A276" t="inlineStr">
        <is>
          <t>U0275</t>
        </is>
      </c>
      <c r="B276" t="inlineStr">
        <is>
          <t>École des Ponts ParisTech</t>
        </is>
      </c>
      <c r="C276" t="inlineStr">
        <is>
          <t>FR</t>
        </is>
      </c>
      <c r="D276" t="inlineStr">
        <is>
          <t>France</t>
        </is>
      </c>
    </row>
    <row r="277">
      <c r="A277" t="inlineStr">
        <is>
          <t>U0276</t>
        </is>
      </c>
      <c r="B277" t="inlineStr">
        <is>
          <t>École Nationale des Travaux Publics de l'État (ENTPE)</t>
        </is>
      </c>
      <c r="C277" t="inlineStr">
        <is>
          <t>FR</t>
        </is>
      </c>
      <c r="D277" t="inlineStr">
        <is>
          <t>France</t>
        </is>
      </c>
    </row>
    <row r="278">
      <c r="A278" t="inlineStr">
        <is>
          <t>U0277</t>
        </is>
      </c>
      <c r="B278" t="inlineStr">
        <is>
          <t>École Normale Supérieure de Lyon</t>
        </is>
      </c>
      <c r="C278" t="inlineStr">
        <is>
          <t>FR</t>
        </is>
      </c>
      <c r="D278" t="inlineStr">
        <is>
          <t>France</t>
        </is>
      </c>
    </row>
    <row r="279">
      <c r="A279" t="inlineStr">
        <is>
          <t>U0278</t>
        </is>
      </c>
      <c r="B279" t="inlineStr">
        <is>
          <t>École Polytechnique Fédérale de Lausanne</t>
        </is>
      </c>
      <c r="C279" t="inlineStr">
        <is>
          <t>SW</t>
        </is>
      </c>
      <c r="D279" t="inlineStr">
        <is>
          <t>Switzerland</t>
        </is>
      </c>
    </row>
    <row r="280">
      <c r="A280" t="inlineStr">
        <is>
          <t>U0279</t>
        </is>
      </c>
      <c r="B280" t="inlineStr">
        <is>
          <t>Colegio de México</t>
        </is>
      </c>
      <c r="C280" t="inlineStr">
        <is>
          <t>ME</t>
        </is>
      </c>
      <c r="D280" t="inlineStr">
        <is>
          <t>Mexico</t>
        </is>
      </c>
    </row>
    <row r="281">
      <c r="A281" t="inlineStr">
        <is>
          <t>U0280</t>
        </is>
      </c>
      <c r="B281" t="inlineStr">
        <is>
          <t>College of Charleston</t>
        </is>
      </c>
      <c r="C281" t="inlineStr">
        <is>
          <t>UN</t>
        </is>
      </c>
      <c r="D281" t="inlineStr">
        <is>
          <t>United States</t>
        </is>
      </c>
    </row>
    <row r="282">
      <c r="A282" t="inlineStr">
        <is>
          <t>U0281</t>
        </is>
      </c>
      <c r="B282" t="inlineStr">
        <is>
          <t>College of William and Mary</t>
        </is>
      </c>
      <c r="C282" t="inlineStr">
        <is>
          <t>UN</t>
        </is>
      </c>
      <c r="D282" t="inlineStr">
        <is>
          <t>United States</t>
        </is>
      </c>
    </row>
    <row r="283">
      <c r="A283" t="inlineStr">
        <is>
          <t>U0282</t>
        </is>
      </c>
      <c r="B283" t="inlineStr">
        <is>
          <t>Colorado School of Mines</t>
        </is>
      </c>
      <c r="C283" t="inlineStr">
        <is>
          <t>UN</t>
        </is>
      </c>
      <c r="D283" t="inlineStr">
        <is>
          <t>United States</t>
        </is>
      </c>
    </row>
    <row r="284">
      <c r="A284" t="inlineStr">
        <is>
          <t>U0283</t>
        </is>
      </c>
      <c r="B284" t="inlineStr">
        <is>
          <t>Colorado State University</t>
        </is>
      </c>
      <c r="C284" t="inlineStr">
        <is>
          <t>UN</t>
        </is>
      </c>
      <c r="D284" t="inlineStr">
        <is>
          <t>United States</t>
        </is>
      </c>
    </row>
    <row r="285">
      <c r="A285" t="inlineStr">
        <is>
          <t>U0284</t>
        </is>
      </c>
      <c r="B285" t="inlineStr">
        <is>
          <t>Colorado State University, Fort Collins</t>
        </is>
      </c>
      <c r="C285" t="inlineStr">
        <is>
          <t>UN</t>
        </is>
      </c>
      <c r="D285" t="inlineStr">
        <is>
          <t>United States</t>
        </is>
      </c>
    </row>
    <row r="286">
      <c r="A286" t="inlineStr">
        <is>
          <t>U0285</t>
        </is>
      </c>
      <c r="B286" t="inlineStr">
        <is>
          <t>Columbia University</t>
        </is>
      </c>
      <c r="C286" t="inlineStr">
        <is>
          <t>UN</t>
        </is>
      </c>
      <c r="D286" t="inlineStr">
        <is>
          <t>United States</t>
        </is>
      </c>
    </row>
    <row r="287">
      <c r="A287" t="inlineStr">
        <is>
          <t>U0286</t>
        </is>
      </c>
      <c r="B287" t="inlineStr">
        <is>
          <t>Comenius University Bratislava</t>
        </is>
      </c>
      <c r="C287" t="inlineStr">
        <is>
          <t>SL</t>
        </is>
      </c>
      <c r="D287" t="inlineStr">
        <is>
          <t>Slovakia</t>
        </is>
      </c>
    </row>
    <row r="288">
      <c r="A288" t="inlineStr">
        <is>
          <t>U0287</t>
        </is>
      </c>
      <c r="B288" t="inlineStr">
        <is>
          <t>Comenius University in Bratislava</t>
        </is>
      </c>
      <c r="C288" t="inlineStr">
        <is>
          <t>SL</t>
        </is>
      </c>
      <c r="D288" t="inlineStr">
        <is>
          <t>Slovakia</t>
        </is>
      </c>
    </row>
    <row r="289">
      <c r="A289" t="inlineStr">
        <is>
          <t>U0288</t>
        </is>
      </c>
      <c r="B289" t="inlineStr">
        <is>
          <t>Comillas Pontifical University</t>
        </is>
      </c>
      <c r="C289" t="inlineStr">
        <is>
          <t>SP</t>
        </is>
      </c>
      <c r="D289" t="inlineStr">
        <is>
          <t>Spain</t>
        </is>
      </c>
    </row>
    <row r="290">
      <c r="A290" t="inlineStr">
        <is>
          <t>U0289</t>
        </is>
      </c>
      <c r="B290" t="inlineStr">
        <is>
          <t>Communication University of China</t>
        </is>
      </c>
      <c r="C290" t="inlineStr">
        <is>
          <t>CH</t>
        </is>
      </c>
      <c r="D290" t="inlineStr">
        <is>
          <t>China</t>
        </is>
      </c>
    </row>
    <row r="291">
      <c r="A291" t="inlineStr">
        <is>
          <t>U0290</t>
        </is>
      </c>
      <c r="B291" t="inlineStr">
        <is>
          <t>Complutense University of Madrid</t>
        </is>
      </c>
      <c r="C291" t="inlineStr">
        <is>
          <t>SP</t>
        </is>
      </c>
      <c r="D291" t="inlineStr">
        <is>
          <t>Spain</t>
        </is>
      </c>
    </row>
    <row r="292">
      <c r="A292" t="inlineStr">
        <is>
          <t>U0291</t>
        </is>
      </c>
      <c r="B292" t="inlineStr">
        <is>
          <t>COMSATS University Islamabad</t>
        </is>
      </c>
      <c r="C292" t="inlineStr">
        <is>
          <t>PA</t>
        </is>
      </c>
      <c r="D292" t="inlineStr">
        <is>
          <t>Pakistan</t>
        </is>
      </c>
    </row>
    <row r="293">
      <c r="A293" t="inlineStr">
        <is>
          <t>U0292</t>
        </is>
      </c>
      <c r="B293" t="inlineStr">
        <is>
          <t>Concordia University</t>
        </is>
      </c>
      <c r="C293" t="inlineStr">
        <is>
          <t>CA</t>
        </is>
      </c>
      <c r="D293" t="inlineStr">
        <is>
          <t>Canada</t>
        </is>
      </c>
    </row>
    <row r="294">
      <c r="A294" t="inlineStr">
        <is>
          <t>U0293</t>
        </is>
      </c>
      <c r="B294" t="inlineStr">
        <is>
          <t>Constructor University Bremen</t>
        </is>
      </c>
      <c r="C294" t="inlineStr">
        <is>
          <t>GE</t>
        </is>
      </c>
      <c r="D294" t="inlineStr">
        <is>
          <t>Germany</t>
        </is>
      </c>
    </row>
    <row r="295">
      <c r="A295" t="inlineStr">
        <is>
          <t>U0294</t>
        </is>
      </c>
      <c r="B295" t="inlineStr">
        <is>
          <t>Copenhagen Business School</t>
        </is>
      </c>
      <c r="C295" t="inlineStr">
        <is>
          <t>DE</t>
        </is>
      </c>
      <c r="D295" t="inlineStr">
        <is>
          <t>Denmark</t>
        </is>
      </c>
    </row>
    <row r="296">
      <c r="A296" t="inlineStr">
        <is>
          <t>U0295</t>
        </is>
      </c>
      <c r="B296" t="inlineStr">
        <is>
          <t>Cornell University</t>
        </is>
      </c>
      <c r="C296" t="inlineStr">
        <is>
          <t>UN</t>
        </is>
      </c>
      <c r="D296" t="inlineStr">
        <is>
          <t>United States</t>
        </is>
      </c>
    </row>
    <row r="297">
      <c r="A297" t="inlineStr">
        <is>
          <t>U0296</t>
        </is>
      </c>
      <c r="B297" t="inlineStr">
        <is>
          <t>Corvinus University of Budapest</t>
        </is>
      </c>
      <c r="C297" t="inlineStr">
        <is>
          <t>HU</t>
        </is>
      </c>
      <c r="D297" t="inlineStr">
        <is>
          <t>Hungary</t>
        </is>
      </c>
    </row>
    <row r="298">
      <c r="A298" t="inlineStr">
        <is>
          <t>U0297</t>
        </is>
      </c>
      <c r="B298" t="inlineStr">
        <is>
          <t>Covenant University</t>
        </is>
      </c>
      <c r="C298" t="inlineStr">
        <is>
          <t>NI</t>
        </is>
      </c>
      <c r="D298" t="inlineStr">
        <is>
          <t>Nigeria</t>
        </is>
      </c>
    </row>
    <row r="299">
      <c r="A299" t="inlineStr">
        <is>
          <t>U0298</t>
        </is>
      </c>
      <c r="B299" t="inlineStr">
        <is>
          <t>Coventry University</t>
        </is>
      </c>
      <c r="C299" t="inlineStr">
        <is>
          <t>UN</t>
        </is>
      </c>
      <c r="D299" t="inlineStr">
        <is>
          <t>United Kingdom</t>
        </is>
      </c>
    </row>
    <row r="300">
      <c r="A300" t="inlineStr">
        <is>
          <t>U0299</t>
        </is>
      </c>
      <c r="B300" t="inlineStr">
        <is>
          <t>Cracow University of Technology (Politechnika Krakowska)</t>
        </is>
      </c>
      <c r="C300" t="inlineStr">
        <is>
          <t>PO</t>
        </is>
      </c>
      <c r="D300" t="inlineStr">
        <is>
          <t>Poland</t>
        </is>
      </c>
    </row>
    <row r="301">
      <c r="A301" t="inlineStr">
        <is>
          <t>U0300</t>
        </is>
      </c>
      <c r="B301" t="inlineStr">
        <is>
          <t>Cukurova University</t>
        </is>
      </c>
      <c r="C301" t="inlineStr">
        <is>
          <t>TU</t>
        </is>
      </c>
      <c r="D301" t="inlineStr">
        <is>
          <t>Turkey</t>
        </is>
      </c>
    </row>
    <row r="302">
      <c r="A302" t="inlineStr">
        <is>
          <t>U0301</t>
        </is>
      </c>
      <c r="B302" t="inlineStr">
        <is>
          <t>CUNY The City College of New York</t>
        </is>
      </c>
      <c r="C302" t="inlineStr">
        <is>
          <t>UN</t>
        </is>
      </c>
      <c r="D302" t="inlineStr">
        <is>
          <t>United States</t>
        </is>
      </c>
    </row>
    <row r="303">
      <c r="A303" t="inlineStr">
        <is>
          <t>U0302</t>
        </is>
      </c>
      <c r="B303" t="inlineStr">
        <is>
          <t>Curtin University</t>
        </is>
      </c>
      <c r="C303" t="inlineStr">
        <is>
          <t>AU</t>
        </is>
      </c>
      <c r="D303" t="inlineStr">
        <is>
          <t>Australia</t>
        </is>
      </c>
    </row>
    <row r="304">
      <c r="A304" t="inlineStr">
        <is>
          <t>U0303</t>
        </is>
      </c>
      <c r="B304" t="inlineStr">
        <is>
          <t>CY Cergy Paris University</t>
        </is>
      </c>
      <c r="C304" t="inlineStr">
        <is>
          <t>FR</t>
        </is>
      </c>
      <c r="D304" t="inlineStr">
        <is>
          <t>France</t>
        </is>
      </c>
    </row>
    <row r="305">
      <c r="A305" t="inlineStr">
        <is>
          <t>U0304</t>
        </is>
      </c>
      <c r="B305" t="inlineStr">
        <is>
          <t>Cyprus University of Technology</t>
        </is>
      </c>
      <c r="C305" t="inlineStr">
        <is>
          <t>CY</t>
        </is>
      </c>
      <c r="D305" t="inlineStr">
        <is>
          <t>Cyprus</t>
        </is>
      </c>
    </row>
    <row r="306">
      <c r="A306" t="inlineStr">
        <is>
          <t>U0305</t>
        </is>
      </c>
      <c r="B306" t="inlineStr">
        <is>
          <t>Czech Technical University in Prague</t>
        </is>
      </c>
      <c r="C306" t="inlineStr">
        <is>
          <t>CZ</t>
        </is>
      </c>
      <c r="D306" t="inlineStr">
        <is>
          <t>Czech Republic</t>
        </is>
      </c>
    </row>
    <row r="307">
      <c r="A307" t="inlineStr">
        <is>
          <t>U0306</t>
        </is>
      </c>
      <c r="B307" t="inlineStr">
        <is>
          <t>Czech University of Life Sciences in Prague</t>
        </is>
      </c>
      <c r="C307" t="inlineStr">
        <is>
          <t>CZ</t>
        </is>
      </c>
      <c r="D307" t="inlineStr">
        <is>
          <t>Czech Republic</t>
        </is>
      </c>
    </row>
    <row r="308">
      <c r="A308" t="inlineStr">
        <is>
          <t>U0307</t>
        </is>
      </c>
      <c r="B308" t="inlineStr">
        <is>
          <t>Czech University of Life Sciences Prague (CZU)</t>
        </is>
      </c>
      <c r="C308" t="inlineStr">
        <is>
          <t>CZ</t>
        </is>
      </c>
      <c r="D308" t="inlineStr">
        <is>
          <t>Czech Republic</t>
        </is>
      </c>
    </row>
    <row r="309">
      <c r="A309" t="inlineStr">
        <is>
          <t>U0308</t>
        </is>
      </c>
      <c r="B309" t="inlineStr">
        <is>
          <t>D. Serikbayev East Kazakhstan state technical university</t>
        </is>
      </c>
      <c r="C309" t="inlineStr">
        <is>
          <t>KA</t>
        </is>
      </c>
      <c r="D309" t="inlineStr">
        <is>
          <t>Kazakhstan</t>
        </is>
      </c>
    </row>
    <row r="310">
      <c r="A310" t="inlineStr">
        <is>
          <t>U0309</t>
        </is>
      </c>
      <c r="B310" t="inlineStr">
        <is>
          <t>Daegu Gyeongbuk Institute of Science and Technology (DGIST)</t>
        </is>
      </c>
      <c r="C310" t="inlineStr">
        <is>
          <t>SO</t>
        </is>
      </c>
      <c r="D310" t="inlineStr">
        <is>
          <t>South Korea</t>
        </is>
      </c>
    </row>
    <row r="311">
      <c r="A311" t="inlineStr">
        <is>
          <t>U0310</t>
        </is>
      </c>
      <c r="B311" t="inlineStr">
        <is>
          <t>Daffodil International University</t>
        </is>
      </c>
      <c r="C311" t="inlineStr">
        <is>
          <t>BA</t>
        </is>
      </c>
      <c r="D311" t="inlineStr">
        <is>
          <t>Bangladesh</t>
        </is>
      </c>
    </row>
    <row r="312">
      <c r="A312" t="inlineStr">
        <is>
          <t>U0311</t>
        </is>
      </c>
      <c r="B312" t="inlineStr">
        <is>
          <t>Dalhousie University</t>
        </is>
      </c>
      <c r="C312" t="inlineStr">
        <is>
          <t>CA</t>
        </is>
      </c>
      <c r="D312" t="inlineStr">
        <is>
          <t>Canada</t>
        </is>
      </c>
    </row>
    <row r="313">
      <c r="A313" t="inlineStr">
        <is>
          <t>U0312</t>
        </is>
      </c>
      <c r="B313" t="inlineStr">
        <is>
          <t>Dalian University of Technology</t>
        </is>
      </c>
      <c r="C313" t="inlineStr">
        <is>
          <t>CH</t>
        </is>
      </c>
      <c r="D313" t="inlineStr">
        <is>
          <t>China</t>
        </is>
      </c>
    </row>
    <row r="314">
      <c r="A314" t="inlineStr">
        <is>
          <t>U0313</t>
        </is>
      </c>
      <c r="B314" t="inlineStr">
        <is>
          <t>Damascus University</t>
        </is>
      </c>
      <c r="C314" t="inlineStr">
        <is>
          <t>SY</t>
        </is>
      </c>
      <c r="D314" t="inlineStr">
        <is>
          <t>Syria</t>
        </is>
      </c>
    </row>
    <row r="315">
      <c r="A315" t="inlineStr">
        <is>
          <t>U0314</t>
        </is>
      </c>
      <c r="B315" t="inlineStr">
        <is>
          <t>Damghan University</t>
        </is>
      </c>
      <c r="C315" t="inlineStr">
        <is>
          <t>IR</t>
        </is>
      </c>
      <c r="D315" t="inlineStr">
        <is>
          <t>Iran</t>
        </is>
      </c>
    </row>
    <row r="316">
      <c r="A316" t="inlineStr">
        <is>
          <t>U0315</t>
        </is>
      </c>
      <c r="B316" t="inlineStr">
        <is>
          <t>Damietta University</t>
        </is>
      </c>
      <c r="C316" t="inlineStr">
        <is>
          <t>EG</t>
        </is>
      </c>
      <c r="D316" t="inlineStr">
        <is>
          <t>Egypt</t>
        </is>
      </c>
    </row>
    <row r="317">
      <c r="A317" t="inlineStr">
        <is>
          <t>U0316</t>
        </is>
      </c>
      <c r="B317" t="inlineStr">
        <is>
          <t xml:space="preserve">Dankook University </t>
        </is>
      </c>
      <c r="C317" t="inlineStr">
        <is>
          <t>SO</t>
        </is>
      </c>
      <c r="D317" t="inlineStr">
        <is>
          <t>South Korea</t>
        </is>
      </c>
    </row>
    <row r="318">
      <c r="A318" t="inlineStr">
        <is>
          <t>U0317</t>
        </is>
      </c>
      <c r="B318" t="inlineStr">
        <is>
          <t>Dartmouth College</t>
        </is>
      </c>
      <c r="C318" t="inlineStr">
        <is>
          <t>UN</t>
        </is>
      </c>
      <c r="D318" t="inlineStr">
        <is>
          <t>United States</t>
        </is>
      </c>
    </row>
    <row r="319">
      <c r="A319" t="inlineStr">
        <is>
          <t>U0318</t>
        </is>
      </c>
      <c r="B319" t="inlineStr">
        <is>
          <t>De La Salle University</t>
        </is>
      </c>
      <c r="C319" t="inlineStr">
        <is>
          <t>PH</t>
        </is>
      </c>
      <c r="D319" t="inlineStr">
        <is>
          <t>Philippines</t>
        </is>
      </c>
    </row>
    <row r="320">
      <c r="A320" t="inlineStr">
        <is>
          <t>U0319</t>
        </is>
      </c>
      <c r="B320" t="inlineStr">
        <is>
          <t>De Montfort University</t>
        </is>
      </c>
      <c r="C320" t="inlineStr">
        <is>
          <t>UN</t>
        </is>
      </c>
      <c r="D320" t="inlineStr">
        <is>
          <t>United Kingdom</t>
        </is>
      </c>
    </row>
    <row r="321">
      <c r="A321" t="inlineStr">
        <is>
          <t>U0320</t>
        </is>
      </c>
      <c r="B321" t="inlineStr">
        <is>
          <t>Deakin University</t>
        </is>
      </c>
      <c r="C321" t="inlineStr">
        <is>
          <t>AU</t>
        </is>
      </c>
      <c r="D321" t="inlineStr">
        <is>
          <t>Australia</t>
        </is>
      </c>
    </row>
    <row r="322">
      <c r="A322" t="inlineStr">
        <is>
          <t>U0321</t>
        </is>
      </c>
      <c r="B322" t="inlineStr">
        <is>
          <t>Del Rosario University</t>
        </is>
      </c>
      <c r="C322" t="inlineStr">
        <is>
          <t>CO</t>
        </is>
      </c>
      <c r="D322" t="inlineStr">
        <is>
          <t>Colombia</t>
        </is>
      </c>
    </row>
    <row r="323">
      <c r="A323" t="inlineStr">
        <is>
          <t>U0322</t>
        </is>
      </c>
      <c r="B323" t="inlineStr">
        <is>
          <t>Delft University of Technology</t>
        </is>
      </c>
      <c r="C323" t="inlineStr">
        <is>
          <t>NE</t>
        </is>
      </c>
      <c r="D323" t="inlineStr">
        <is>
          <t>Netherlands</t>
        </is>
      </c>
    </row>
    <row r="324">
      <c r="A324" t="inlineStr">
        <is>
          <t>U0323</t>
        </is>
      </c>
      <c r="B324" t="inlineStr">
        <is>
          <t>Delhi Technological University</t>
        </is>
      </c>
      <c r="C324" t="inlineStr">
        <is>
          <t>IN</t>
        </is>
      </c>
      <c r="D324" t="inlineStr">
        <is>
          <t>India</t>
        </is>
      </c>
    </row>
    <row r="325">
      <c r="A325" t="inlineStr">
        <is>
          <t>U0324</t>
        </is>
      </c>
      <c r="B325" t="inlineStr">
        <is>
          <t>Democritus University of Thrace</t>
        </is>
      </c>
      <c r="C325" t="inlineStr">
        <is>
          <t>GR</t>
        </is>
      </c>
      <c r="D325" t="inlineStr">
        <is>
          <t>Greece</t>
        </is>
      </c>
    </row>
    <row r="326">
      <c r="A326" t="inlineStr">
        <is>
          <t>U0325</t>
        </is>
      </c>
      <c r="B326" t="inlineStr">
        <is>
          <t>Dicle University</t>
        </is>
      </c>
      <c r="C326" t="inlineStr">
        <is>
          <t>TU</t>
        </is>
      </c>
      <c r="D326" t="inlineStr">
        <is>
          <t>Turkey</t>
        </is>
      </c>
    </row>
    <row r="327">
      <c r="A327" t="inlineStr">
        <is>
          <t>U0326</t>
        </is>
      </c>
      <c r="B327" t="inlineStr">
        <is>
          <t>Diego Portales University</t>
        </is>
      </c>
      <c r="C327" t="inlineStr">
        <is>
          <t>CH</t>
        </is>
      </c>
      <c r="D327" t="inlineStr">
        <is>
          <t>Chile</t>
        </is>
      </c>
    </row>
    <row r="328">
      <c r="A328" t="inlineStr">
        <is>
          <t>U0327</t>
        </is>
      </c>
      <c r="B328" t="inlineStr">
        <is>
          <t>Diponegoro University</t>
        </is>
      </c>
      <c r="C328" t="inlineStr">
        <is>
          <t>IN</t>
        </is>
      </c>
      <c r="D328" t="inlineStr">
        <is>
          <t>Indonesia</t>
        </is>
      </c>
    </row>
    <row r="329">
      <c r="A329" t="inlineStr">
        <is>
          <t>U0328</t>
        </is>
      </c>
      <c r="B329" t="inlineStr">
        <is>
          <t>Dokkyo Medical University</t>
        </is>
      </c>
      <c r="C329" t="inlineStr">
        <is>
          <t>JA</t>
        </is>
      </c>
      <c r="D329" t="inlineStr">
        <is>
          <t>Japan</t>
        </is>
      </c>
    </row>
    <row r="330">
      <c r="A330" t="inlineStr">
        <is>
          <t>U0329</t>
        </is>
      </c>
      <c r="B330" t="inlineStr">
        <is>
          <t>Dokuz Eylül Üniversitesi</t>
        </is>
      </c>
      <c r="C330" t="inlineStr">
        <is>
          <t>TU</t>
        </is>
      </c>
      <c r="D330" t="inlineStr">
        <is>
          <t>Turkey</t>
        </is>
      </c>
    </row>
    <row r="331">
      <c r="A331" t="inlineStr">
        <is>
          <t>U0330</t>
        </is>
      </c>
      <c r="B331" t="inlineStr">
        <is>
          <t>Dokuz Eylül University</t>
        </is>
      </c>
      <c r="C331" t="inlineStr">
        <is>
          <t>TU</t>
        </is>
      </c>
      <c r="D331" t="inlineStr">
        <is>
          <t>Turkey</t>
        </is>
      </c>
    </row>
    <row r="332">
      <c r="A332" t="inlineStr">
        <is>
          <t>U0331</t>
        </is>
      </c>
      <c r="B332" t="inlineStr">
        <is>
          <t xml:space="preserve"> Don State Technical University</t>
        </is>
      </c>
      <c r="C332" t="inlineStr">
        <is>
          <t>RU</t>
        </is>
      </c>
      <c r="D332" t="inlineStr">
        <is>
          <t>Russian Federation</t>
        </is>
      </c>
    </row>
    <row r="333">
      <c r="A333" t="inlineStr">
        <is>
          <t>U0332</t>
        </is>
      </c>
      <c r="B333" t="inlineStr">
        <is>
          <t xml:space="preserve">Dongguk University </t>
        </is>
      </c>
      <c r="C333" t="inlineStr">
        <is>
          <t>SO</t>
        </is>
      </c>
      <c r="D333" t="inlineStr">
        <is>
          <t>South Korea</t>
        </is>
      </c>
    </row>
    <row r="334">
      <c r="A334" t="inlineStr">
        <is>
          <t>U0333</t>
        </is>
      </c>
      <c r="B334" t="inlineStr">
        <is>
          <t>Donghua University</t>
        </is>
      </c>
      <c r="C334" t="inlineStr">
        <is>
          <t>CH</t>
        </is>
      </c>
      <c r="D334" t="inlineStr">
        <is>
          <t>China</t>
        </is>
      </c>
    </row>
    <row r="335">
      <c r="A335" t="inlineStr">
        <is>
          <t>U0334</t>
        </is>
      </c>
      <c r="B335" t="inlineStr">
        <is>
          <t>Doshisha University</t>
        </is>
      </c>
      <c r="C335" t="inlineStr">
        <is>
          <t>JA</t>
        </is>
      </c>
      <c r="D335" t="inlineStr">
        <is>
          <t>Japan</t>
        </is>
      </c>
    </row>
    <row r="336">
      <c r="A336" t="inlineStr">
        <is>
          <t>U0335</t>
        </is>
      </c>
      <c r="B336" t="inlineStr">
        <is>
          <t>Dow University of Health Sciences</t>
        </is>
      </c>
      <c r="C336" t="inlineStr">
        <is>
          <t>PA</t>
        </is>
      </c>
      <c r="D336" t="inlineStr">
        <is>
          <t>Pakistan</t>
        </is>
      </c>
    </row>
    <row r="337">
      <c r="A337" t="inlineStr">
        <is>
          <t>U0336</t>
        </is>
      </c>
      <c r="B337" t="inlineStr">
        <is>
          <t>Dr B.R. Ambedkar National Institute of Technology Jalandhar</t>
        </is>
      </c>
      <c r="C337" t="inlineStr">
        <is>
          <t>IN</t>
        </is>
      </c>
      <c r="D337" t="inlineStr">
        <is>
          <t>India</t>
        </is>
      </c>
    </row>
    <row r="338">
      <c r="A338" t="inlineStr">
        <is>
          <t>U0337</t>
        </is>
      </c>
      <c r="B338" t="inlineStr">
        <is>
          <t>Drexel University</t>
        </is>
      </c>
      <c r="C338" t="inlineStr">
        <is>
          <t>UN</t>
        </is>
      </c>
      <c r="D338" t="inlineStr">
        <is>
          <t>United States</t>
        </is>
      </c>
    </row>
    <row r="339">
      <c r="A339" t="inlineStr">
        <is>
          <t>U0338</t>
        </is>
      </c>
      <c r="B339" t="inlineStr">
        <is>
          <t>Dublin City University</t>
        </is>
      </c>
      <c r="C339" t="inlineStr">
        <is>
          <t>IR</t>
        </is>
      </c>
      <c r="D339" t="inlineStr">
        <is>
          <t>Ireland</t>
        </is>
      </c>
    </row>
    <row r="340">
      <c r="A340" t="inlineStr">
        <is>
          <t>U0339</t>
        </is>
      </c>
      <c r="B340" t="inlineStr">
        <is>
          <t>Duke University</t>
        </is>
      </c>
      <c r="C340" t="inlineStr">
        <is>
          <t>UN</t>
        </is>
      </c>
      <c r="D340" t="inlineStr">
        <is>
          <t>United States</t>
        </is>
      </c>
    </row>
    <row r="341">
      <c r="A341" t="inlineStr">
        <is>
          <t>U0340</t>
        </is>
      </c>
      <c r="B341" t="inlineStr">
        <is>
          <t>Dumlupinar University</t>
        </is>
      </c>
      <c r="C341" t="inlineStr">
        <is>
          <t>TU</t>
        </is>
      </c>
      <c r="D341" t="inlineStr">
        <is>
          <t>Turkey</t>
        </is>
      </c>
    </row>
    <row r="342">
      <c r="A342" t="inlineStr">
        <is>
          <t>U0341</t>
        </is>
      </c>
      <c r="B342" t="inlineStr">
        <is>
          <t>Dunarea de Jos University of Galati</t>
        </is>
      </c>
      <c r="C342" t="inlineStr">
        <is>
          <t>RO</t>
        </is>
      </c>
      <c r="D342" t="inlineStr">
        <is>
          <t>Romania</t>
        </is>
      </c>
    </row>
    <row r="343">
      <c r="A343" t="inlineStr">
        <is>
          <t>U0342</t>
        </is>
      </c>
      <c r="B343" t="inlineStr">
        <is>
          <t>Durban University of Technology</t>
        </is>
      </c>
      <c r="C343" t="inlineStr">
        <is>
          <t>SO</t>
        </is>
      </c>
      <c r="D343" t="inlineStr">
        <is>
          <t>South Africa</t>
        </is>
      </c>
    </row>
    <row r="344">
      <c r="A344" t="inlineStr">
        <is>
          <t>U0343</t>
        </is>
      </c>
      <c r="B344" t="inlineStr">
        <is>
          <t>Durham University</t>
        </is>
      </c>
      <c r="C344" t="inlineStr">
        <is>
          <t>UN</t>
        </is>
      </c>
      <c r="D344" t="inlineStr">
        <is>
          <t>United Kingdom</t>
        </is>
      </c>
    </row>
    <row r="345">
      <c r="A345" t="inlineStr">
        <is>
          <t>U0344</t>
        </is>
      </c>
      <c r="B345" t="inlineStr">
        <is>
          <t>Duy Tan University</t>
        </is>
      </c>
      <c r="C345" t="inlineStr">
        <is>
          <t>VI</t>
        </is>
      </c>
      <c r="D345" t="inlineStr">
        <is>
          <t>Vietnam</t>
        </is>
      </c>
    </row>
    <row r="346">
      <c r="A346" t="inlineStr">
        <is>
          <t>U0345</t>
        </is>
      </c>
      <c r="B346" t="inlineStr">
        <is>
          <t>Duzce University</t>
        </is>
      </c>
      <c r="C346" t="inlineStr">
        <is>
          <t>TU</t>
        </is>
      </c>
      <c r="D346" t="inlineStr">
        <is>
          <t>Turkey</t>
        </is>
      </c>
    </row>
    <row r="347">
      <c r="A347" t="inlineStr">
        <is>
          <t>U0346</t>
        </is>
      </c>
      <c r="B347" t="inlineStr">
        <is>
          <t>Eötvös Loránd University</t>
        </is>
      </c>
      <c r="C347" t="inlineStr">
        <is>
          <t>HU</t>
        </is>
      </c>
      <c r="D347" t="inlineStr">
        <is>
          <t>Hungary</t>
        </is>
      </c>
    </row>
    <row r="348">
      <c r="A348" t="inlineStr">
        <is>
          <t>U0347</t>
        </is>
      </c>
      <c r="B348" t="inlineStr">
        <is>
          <t>EAFIT University</t>
        </is>
      </c>
      <c r="C348" t="inlineStr">
        <is>
          <t>CO</t>
        </is>
      </c>
      <c r="D348" t="inlineStr">
        <is>
          <t>Colombia</t>
        </is>
      </c>
    </row>
    <row r="349">
      <c r="A349" t="inlineStr">
        <is>
          <t>U0348</t>
        </is>
      </c>
      <c r="B349" t="inlineStr">
        <is>
          <t>East China Normal University</t>
        </is>
      </c>
      <c r="C349" t="inlineStr">
        <is>
          <t>CH</t>
        </is>
      </c>
      <c r="D349" t="inlineStr">
        <is>
          <t>China</t>
        </is>
      </c>
    </row>
    <row r="350">
      <c r="A350" t="inlineStr">
        <is>
          <t>U0349</t>
        </is>
      </c>
      <c r="B350" t="inlineStr">
        <is>
          <t>East China University of Science and Technology</t>
        </is>
      </c>
      <c r="C350" t="inlineStr">
        <is>
          <t>CH</t>
        </is>
      </c>
      <c r="D350" t="inlineStr">
        <is>
          <t>China</t>
        </is>
      </c>
    </row>
    <row r="351">
      <c r="A351" t="inlineStr">
        <is>
          <t>U0350</t>
        </is>
      </c>
      <c r="B351" t="inlineStr">
        <is>
          <t>East West University</t>
        </is>
      </c>
      <c r="C351" t="inlineStr">
        <is>
          <t>BA</t>
        </is>
      </c>
      <c r="D351" t="inlineStr">
        <is>
          <t>Bangladesh</t>
        </is>
      </c>
    </row>
    <row r="352">
      <c r="A352" t="inlineStr">
        <is>
          <t>U0351</t>
        </is>
      </c>
      <c r="B352" t="inlineStr">
        <is>
          <t>Eastern Mediterranean University</t>
        </is>
      </c>
      <c r="C352" t="inlineStr">
        <is>
          <t>NO</t>
        </is>
      </c>
      <c r="D352" t="inlineStr">
        <is>
          <t>Northern Cyprus</t>
        </is>
      </c>
    </row>
    <row r="353">
      <c r="A353" t="inlineStr">
        <is>
          <t>U0352</t>
        </is>
      </c>
      <c r="B353" t="inlineStr">
        <is>
          <t>Eberhard Karls Universität Tübingen</t>
        </is>
      </c>
      <c r="C353" t="inlineStr">
        <is>
          <t>GE</t>
        </is>
      </c>
      <c r="D353" t="inlineStr">
        <is>
          <t>Germany</t>
        </is>
      </c>
    </row>
    <row r="354">
      <c r="A354" t="inlineStr">
        <is>
          <t>U0353</t>
        </is>
      </c>
      <c r="B354" t="inlineStr">
        <is>
          <t>Ecole des Ponts ParisTech</t>
        </is>
      </c>
      <c r="C354" t="inlineStr">
        <is>
          <t>FR</t>
        </is>
      </c>
      <c r="D354" t="inlineStr">
        <is>
          <t>France</t>
        </is>
      </c>
    </row>
    <row r="355">
      <c r="A355" t="inlineStr">
        <is>
          <t>U0354</t>
        </is>
      </c>
      <c r="B355" t="inlineStr">
        <is>
          <t>Edge Hill University</t>
        </is>
      </c>
      <c r="C355" t="inlineStr">
        <is>
          <t>UN</t>
        </is>
      </c>
      <c r="D355" t="inlineStr">
        <is>
          <t>United Kingdom</t>
        </is>
      </c>
    </row>
    <row r="356">
      <c r="A356" t="inlineStr">
        <is>
          <t>U0355</t>
        </is>
      </c>
      <c r="B356" t="inlineStr">
        <is>
          <t>Edinburgh Napier University</t>
        </is>
      </c>
      <c r="C356" t="inlineStr">
        <is>
          <t>UN</t>
        </is>
      </c>
      <c r="D356" t="inlineStr">
        <is>
          <t>United Kingdom</t>
        </is>
      </c>
    </row>
    <row r="357">
      <c r="A357" t="inlineStr">
        <is>
          <t>U0356</t>
        </is>
      </c>
      <c r="B357" t="inlineStr">
        <is>
          <t xml:space="preserve">Edith Cowan University </t>
        </is>
      </c>
      <c r="C357" t="inlineStr">
        <is>
          <t>AU</t>
        </is>
      </c>
      <c r="D357" t="inlineStr">
        <is>
          <t>Australia</t>
        </is>
      </c>
    </row>
    <row r="358">
      <c r="A358" t="inlineStr">
        <is>
          <t>U0357</t>
        </is>
      </c>
      <c r="B358" t="inlineStr">
        <is>
          <t>Effat University</t>
        </is>
      </c>
      <c r="C358" t="inlineStr">
        <is>
          <t>SA</t>
        </is>
      </c>
      <c r="D358" t="inlineStr">
        <is>
          <t>Saudi Arabia</t>
        </is>
      </c>
    </row>
    <row r="359">
      <c r="A359" t="inlineStr">
        <is>
          <t>U0358</t>
        </is>
      </c>
      <c r="B359" t="inlineStr">
        <is>
          <t>EGE UNIVERSITY</t>
        </is>
      </c>
      <c r="C359" t="inlineStr">
        <is>
          <t>TU</t>
        </is>
      </c>
      <c r="D359" t="inlineStr">
        <is>
          <t>Turkey</t>
        </is>
      </c>
    </row>
    <row r="360">
      <c r="A360" t="inlineStr">
        <is>
          <t>U0359</t>
        </is>
      </c>
      <c r="B360" t="inlineStr">
        <is>
          <t>Egypt-Japan University of Science and Technology (E-JUST)</t>
        </is>
      </c>
      <c r="C360" t="inlineStr">
        <is>
          <t>EG</t>
        </is>
      </c>
      <c r="D360" t="inlineStr">
        <is>
          <t>Egypt</t>
        </is>
      </c>
    </row>
    <row r="361">
      <c r="A361" t="inlineStr">
        <is>
          <t>U0360</t>
        </is>
      </c>
      <c r="B361" t="inlineStr">
        <is>
          <t>Ehime University</t>
        </is>
      </c>
      <c r="C361" t="inlineStr">
        <is>
          <t>JA</t>
        </is>
      </c>
      <c r="D361" t="inlineStr">
        <is>
          <t>Japan</t>
        </is>
      </c>
    </row>
    <row r="362">
      <c r="A362" t="inlineStr">
        <is>
          <t>U0361</t>
        </is>
      </c>
      <c r="B362" t="inlineStr">
        <is>
          <t>Eindhoven University of Technology</t>
        </is>
      </c>
      <c r="C362" t="inlineStr">
        <is>
          <t>NE</t>
        </is>
      </c>
      <c r="D362" t="inlineStr">
        <is>
          <t>Netherlands</t>
        </is>
      </c>
    </row>
    <row r="363">
      <c r="A363" t="inlineStr">
        <is>
          <t>U0362</t>
        </is>
      </c>
      <c r="B363" t="inlineStr">
        <is>
          <t>El Bosque University</t>
        </is>
      </c>
      <c r="C363" t="inlineStr">
        <is>
          <t>CO</t>
        </is>
      </c>
      <c r="D363" t="inlineStr">
        <is>
          <t>Colombia</t>
        </is>
      </c>
    </row>
    <row r="364">
      <c r="A364" t="inlineStr">
        <is>
          <t>U0363</t>
        </is>
      </c>
      <c r="B364" t="inlineStr">
        <is>
          <t>Emory University</t>
        </is>
      </c>
      <c r="C364" t="inlineStr">
        <is>
          <t>UN</t>
        </is>
      </c>
      <c r="D364" t="inlineStr">
        <is>
          <t>United States</t>
        </is>
      </c>
    </row>
    <row r="365">
      <c r="A365" t="inlineStr">
        <is>
          <t>U0364</t>
        </is>
      </c>
      <c r="B365" t="inlineStr">
        <is>
          <t>ENSTA Bretagne</t>
        </is>
      </c>
      <c r="C365" t="inlineStr">
        <is>
          <t>FR</t>
        </is>
      </c>
      <c r="D365" t="inlineStr">
        <is>
          <t>France</t>
        </is>
      </c>
    </row>
    <row r="366">
      <c r="A366" t="inlineStr">
        <is>
          <t>U0365</t>
        </is>
      </c>
      <c r="B366" t="inlineStr">
        <is>
          <t>EPFL</t>
        </is>
      </c>
      <c r="C366" t="inlineStr">
        <is>
          <t>SW</t>
        </is>
      </c>
      <c r="D366" t="inlineStr">
        <is>
          <t>Switzerland</t>
        </is>
      </c>
    </row>
    <row r="367">
      <c r="A367" t="inlineStr">
        <is>
          <t>U0366</t>
        </is>
      </c>
      <c r="B367" t="inlineStr">
        <is>
          <t xml:space="preserve">Erasmus University Rotterdam </t>
        </is>
      </c>
      <c r="C367" t="inlineStr">
        <is>
          <t>NE</t>
        </is>
      </c>
      <c r="D367" t="inlineStr">
        <is>
          <t>Netherlands</t>
        </is>
      </c>
    </row>
    <row r="368">
      <c r="A368" t="inlineStr">
        <is>
          <t>U0367</t>
        </is>
      </c>
      <c r="B368" t="inlineStr">
        <is>
          <t>Erciyes Üniversitesi</t>
        </is>
      </c>
      <c r="C368" t="inlineStr">
        <is>
          <t>TU</t>
        </is>
      </c>
      <c r="D368" t="inlineStr">
        <is>
          <t>Turkey</t>
        </is>
      </c>
    </row>
    <row r="369">
      <c r="A369" t="inlineStr">
        <is>
          <t>U0368</t>
        </is>
      </c>
      <c r="B369" t="inlineStr">
        <is>
          <t>Erciyes University</t>
        </is>
      </c>
      <c r="C369" t="inlineStr">
        <is>
          <t>TU</t>
        </is>
      </c>
      <c r="D369" t="inlineStr">
        <is>
          <t>Turkey</t>
        </is>
      </c>
    </row>
    <row r="370">
      <c r="A370" t="inlineStr">
        <is>
          <t>U0369</t>
        </is>
      </c>
      <c r="B370" t="inlineStr">
        <is>
          <t>Erzincan Binali Yıldırım University</t>
        </is>
      </c>
      <c r="C370" t="inlineStr">
        <is>
          <t>TU</t>
        </is>
      </c>
      <c r="D370" t="inlineStr">
        <is>
          <t>Turkey</t>
        </is>
      </c>
    </row>
    <row r="371">
      <c r="A371" t="inlineStr">
        <is>
          <t>U0370</t>
        </is>
      </c>
      <c r="B371" t="inlineStr">
        <is>
          <t>Escuela Politécnica Nacional</t>
        </is>
      </c>
      <c r="C371" t="inlineStr">
        <is>
          <t>EC</t>
        </is>
      </c>
      <c r="D371" t="inlineStr">
        <is>
          <t>Ecuador</t>
        </is>
      </c>
    </row>
    <row r="372">
      <c r="A372" t="inlineStr">
        <is>
          <t>U0371</t>
        </is>
      </c>
      <c r="B372" t="inlineStr">
        <is>
          <t>Escuela Superior Politécnica del Litoral (ESPOL)</t>
        </is>
      </c>
      <c r="C372" t="inlineStr">
        <is>
          <t>EC</t>
        </is>
      </c>
      <c r="D372" t="inlineStr">
        <is>
          <t>Ecuador</t>
        </is>
      </c>
    </row>
    <row r="373">
      <c r="A373" t="inlineStr">
        <is>
          <t>U0372</t>
        </is>
      </c>
      <c r="B373" t="inlineStr">
        <is>
          <t>Eskişehir Osmangazi University</t>
        </is>
      </c>
      <c r="C373" t="inlineStr">
        <is>
          <t>TU</t>
        </is>
      </c>
      <c r="D373" t="inlineStr">
        <is>
          <t>Turkey</t>
        </is>
      </c>
    </row>
    <row r="374">
      <c r="A374" t="inlineStr">
        <is>
          <t>U0373</t>
        </is>
      </c>
      <c r="B374" t="inlineStr">
        <is>
          <t>Essex, University of</t>
        </is>
      </c>
      <c r="C374" t="inlineStr">
        <is>
          <t>UN</t>
        </is>
      </c>
      <c r="D374" t="inlineStr">
        <is>
          <t>United Kingdom</t>
        </is>
      </c>
    </row>
    <row r="375">
      <c r="A375" t="inlineStr">
        <is>
          <t>U0374</t>
        </is>
      </c>
      <c r="B375" t="inlineStr">
        <is>
          <t>ETH Zurich</t>
        </is>
      </c>
      <c r="C375" t="inlineStr">
        <is>
          <t>SW</t>
        </is>
      </c>
      <c r="D375" t="inlineStr">
        <is>
          <t>Switzerland</t>
        </is>
      </c>
    </row>
    <row r="376">
      <c r="A376" t="inlineStr">
        <is>
          <t>U0375</t>
        </is>
      </c>
      <c r="B376" t="inlineStr">
        <is>
          <t>ETH Zurich - Swiss Federal Institute of Technology</t>
        </is>
      </c>
      <c r="C376" t="inlineStr">
        <is>
          <t>SW</t>
        </is>
      </c>
      <c r="D376" t="inlineStr">
        <is>
          <t>Switzerland</t>
        </is>
      </c>
    </row>
    <row r="377">
      <c r="A377" t="inlineStr">
        <is>
          <t>U0376</t>
        </is>
      </c>
      <c r="B377" t="inlineStr">
        <is>
          <t>European University of Madrid</t>
        </is>
      </c>
      <c r="C377" t="inlineStr">
        <is>
          <t>SP</t>
        </is>
      </c>
      <c r="D377" t="inlineStr">
        <is>
          <t>Spain</t>
        </is>
      </c>
    </row>
    <row r="378">
      <c r="A378" t="inlineStr">
        <is>
          <t>U0377</t>
        </is>
      </c>
      <c r="B378" t="inlineStr">
        <is>
          <t>Ewha Womans University</t>
        </is>
      </c>
      <c r="C378" t="inlineStr">
        <is>
          <t>SO</t>
        </is>
      </c>
      <c r="D378" t="inlineStr">
        <is>
          <t>South Korea</t>
        </is>
      </c>
    </row>
    <row r="379">
      <c r="A379" t="inlineStr">
        <is>
          <t>U0378</t>
        </is>
      </c>
      <c r="B379" t="inlineStr">
        <is>
          <t>Far Eastern Federal University</t>
        </is>
      </c>
      <c r="C379" t="inlineStr">
        <is>
          <t>RU</t>
        </is>
      </c>
      <c r="D379" t="inlineStr">
        <is>
          <t>Russian Federation</t>
        </is>
      </c>
    </row>
    <row r="380">
      <c r="A380" t="inlineStr">
        <is>
          <t>U0379</t>
        </is>
      </c>
      <c r="B380" t="inlineStr">
        <is>
          <t>Fayoum University</t>
        </is>
      </c>
      <c r="C380" t="inlineStr">
        <is>
          <t>EG</t>
        </is>
      </c>
      <c r="D380" t="inlineStr">
        <is>
          <t>Egypt</t>
        </is>
      </c>
    </row>
    <row r="381">
      <c r="A381" t="inlineStr">
        <is>
          <t>U0380</t>
        </is>
      </c>
      <c r="B381" t="inlineStr">
        <is>
          <t>Federal Rural University of Pernambuco</t>
        </is>
      </c>
      <c r="C381" t="inlineStr">
        <is>
          <t>BR</t>
        </is>
      </c>
      <c r="D381" t="inlineStr">
        <is>
          <t>Brazil</t>
        </is>
      </c>
    </row>
    <row r="382">
      <c r="A382" t="inlineStr">
        <is>
          <t>U0381</t>
        </is>
      </c>
      <c r="B382" t="inlineStr">
        <is>
          <t>Federal University of Agriculture, Abeokuta</t>
        </is>
      </c>
      <c r="C382" t="inlineStr">
        <is>
          <t>NI</t>
        </is>
      </c>
      <c r="D382" t="inlineStr">
        <is>
          <t>Nigeria</t>
        </is>
      </c>
    </row>
    <row r="383">
      <c r="A383" t="inlineStr">
        <is>
          <t>U0382</t>
        </is>
      </c>
      <c r="B383" t="inlineStr">
        <is>
          <t>Federal University of Espírito Santo</t>
        </is>
      </c>
      <c r="C383" t="inlineStr">
        <is>
          <t>BR</t>
        </is>
      </c>
      <c r="D383" t="inlineStr">
        <is>
          <t>Brazil</t>
        </is>
      </c>
    </row>
    <row r="384">
      <c r="A384" t="inlineStr">
        <is>
          <t>U0383</t>
        </is>
      </c>
      <c r="B384" t="inlineStr">
        <is>
          <t>Federal University of Goiás</t>
        </is>
      </c>
      <c r="C384" t="inlineStr">
        <is>
          <t>BR</t>
        </is>
      </c>
      <c r="D384" t="inlineStr">
        <is>
          <t>Brazil</t>
        </is>
      </c>
    </row>
    <row r="385">
      <c r="A385" t="inlineStr">
        <is>
          <t>U0384</t>
        </is>
      </c>
      <c r="B385" t="inlineStr">
        <is>
          <t>Federal University of Itajubá</t>
        </is>
      </c>
      <c r="C385" t="inlineStr">
        <is>
          <t>BR</t>
        </is>
      </c>
      <c r="D385" t="inlineStr">
        <is>
          <t>Brazil</t>
        </is>
      </c>
    </row>
    <row r="386">
      <c r="A386" t="inlineStr">
        <is>
          <t>U0385</t>
        </is>
      </c>
      <c r="B386" t="inlineStr">
        <is>
          <t>Federal University of Lavras</t>
        </is>
      </c>
      <c r="C386" t="inlineStr">
        <is>
          <t>BR</t>
        </is>
      </c>
      <c r="D386" t="inlineStr">
        <is>
          <t>Brazil</t>
        </is>
      </c>
    </row>
    <row r="387">
      <c r="A387" t="inlineStr">
        <is>
          <t>U0386</t>
        </is>
      </c>
      <c r="B387" t="inlineStr">
        <is>
          <t>Federal University of Mato Grosso do Sul</t>
        </is>
      </c>
      <c r="C387" t="inlineStr">
        <is>
          <t>BR</t>
        </is>
      </c>
      <c r="D387" t="inlineStr">
        <is>
          <t>Brazil</t>
        </is>
      </c>
    </row>
    <row r="388">
      <c r="A388" t="inlineStr">
        <is>
          <t>U0387</t>
        </is>
      </c>
      <c r="B388" t="inlineStr">
        <is>
          <t>Federal University of Minas Gerais</t>
        </is>
      </c>
      <c r="C388" t="inlineStr">
        <is>
          <t>BR</t>
        </is>
      </c>
      <c r="D388" t="inlineStr">
        <is>
          <t>Brazil</t>
        </is>
      </c>
    </row>
    <row r="389">
      <c r="A389" t="inlineStr">
        <is>
          <t>U0388</t>
        </is>
      </c>
      <c r="B389" t="inlineStr">
        <is>
          <t>Federal University of Pará</t>
        </is>
      </c>
      <c r="C389" t="inlineStr">
        <is>
          <t>BR</t>
        </is>
      </c>
      <c r="D389" t="inlineStr">
        <is>
          <t>Brazil</t>
        </is>
      </c>
    </row>
    <row r="390">
      <c r="A390" t="inlineStr">
        <is>
          <t>U0389</t>
        </is>
      </c>
      <c r="B390" t="inlineStr">
        <is>
          <t>Federal University of Pernambuco</t>
        </is>
      </c>
      <c r="C390" t="inlineStr">
        <is>
          <t>BR</t>
        </is>
      </c>
      <c r="D390" t="inlineStr">
        <is>
          <t>Brazil</t>
        </is>
      </c>
    </row>
    <row r="391">
      <c r="A391" t="inlineStr">
        <is>
          <t>U0390</t>
        </is>
      </c>
      <c r="B391" t="inlineStr">
        <is>
          <t>Federal University of Rio de Janeiro</t>
        </is>
      </c>
      <c r="C391" t="inlineStr">
        <is>
          <t>BR</t>
        </is>
      </c>
      <c r="D391" t="inlineStr">
        <is>
          <t>Brazil</t>
        </is>
      </c>
    </row>
    <row r="392">
      <c r="A392" t="inlineStr">
        <is>
          <t>U0391</t>
        </is>
      </c>
      <c r="B392" t="inlineStr">
        <is>
          <t>Federal University of Rio Grande do Norte (UFRN)</t>
        </is>
      </c>
      <c r="C392" t="inlineStr">
        <is>
          <t>BR</t>
        </is>
      </c>
      <c r="D392" t="inlineStr">
        <is>
          <t>Brazil</t>
        </is>
      </c>
    </row>
    <row r="393">
      <c r="A393" t="inlineStr">
        <is>
          <t>U0392</t>
        </is>
      </c>
      <c r="B393" t="inlineStr">
        <is>
          <t>Federal University of São Carlos</t>
        </is>
      </c>
      <c r="C393" t="inlineStr">
        <is>
          <t>BR</t>
        </is>
      </c>
      <c r="D393" t="inlineStr">
        <is>
          <t>Brazil</t>
        </is>
      </c>
    </row>
    <row r="394">
      <c r="A394" t="inlineStr">
        <is>
          <t>U0393</t>
        </is>
      </c>
      <c r="B394" t="inlineStr">
        <is>
          <t>Federal University of Santa Maria</t>
        </is>
      </c>
      <c r="C394" t="inlineStr">
        <is>
          <t>BR</t>
        </is>
      </c>
      <c r="D394" t="inlineStr">
        <is>
          <t>Brazil</t>
        </is>
      </c>
    </row>
    <row r="395">
      <c r="A395" t="inlineStr">
        <is>
          <t>U0394</t>
        </is>
      </c>
      <c r="B395" t="inlineStr">
        <is>
          <t>Federal University of Technology Akure</t>
        </is>
      </c>
      <c r="C395" t="inlineStr">
        <is>
          <t>NI</t>
        </is>
      </c>
      <c r="D395" t="inlineStr">
        <is>
          <t>Nigeria</t>
        </is>
      </c>
    </row>
    <row r="396">
      <c r="A396" t="inlineStr">
        <is>
          <t>U0395</t>
        </is>
      </c>
      <c r="B396" t="inlineStr">
        <is>
          <t>Federal University of Toulouse Midi-Pyrénées</t>
        </is>
      </c>
      <c r="C396" t="inlineStr">
        <is>
          <t>FR</t>
        </is>
      </c>
      <c r="D396" t="inlineStr">
        <is>
          <t>France</t>
        </is>
      </c>
    </row>
    <row r="397">
      <c r="A397" t="inlineStr">
        <is>
          <t>U0396</t>
        </is>
      </c>
      <c r="B397" t="inlineStr">
        <is>
          <t>Federal University of Uberlândia</t>
        </is>
      </c>
      <c r="C397" t="inlineStr">
        <is>
          <t>BR</t>
        </is>
      </c>
      <c r="D397" t="inlineStr">
        <is>
          <t>Brazil</t>
        </is>
      </c>
    </row>
    <row r="398">
      <c r="A398" t="inlineStr">
        <is>
          <t>U0397</t>
        </is>
      </c>
      <c r="B398" t="inlineStr">
        <is>
          <t>Federal University of Viçosa</t>
        </is>
      </c>
      <c r="C398" t="inlineStr">
        <is>
          <t>BR</t>
        </is>
      </c>
      <c r="D398" t="inlineStr">
        <is>
          <t>Brazil</t>
        </is>
      </c>
    </row>
    <row r="399">
      <c r="A399" t="inlineStr">
        <is>
          <t>U0398</t>
        </is>
      </c>
      <c r="B399" t="inlineStr">
        <is>
          <t>Federation University Australia</t>
        </is>
      </c>
      <c r="C399" t="inlineStr">
        <is>
          <t>AU</t>
        </is>
      </c>
      <c r="D399" t="inlineStr">
        <is>
          <t>Australia</t>
        </is>
      </c>
    </row>
    <row r="400">
      <c r="A400" t="inlineStr">
        <is>
          <t>U0399</t>
        </is>
      </c>
      <c r="B400" t="inlineStr">
        <is>
          <t>Federico Santa María Technical University</t>
        </is>
      </c>
      <c r="C400" t="inlineStr">
        <is>
          <t>CH</t>
        </is>
      </c>
      <c r="D400" t="inlineStr">
        <is>
          <t>Chile</t>
        </is>
      </c>
    </row>
    <row r="401">
      <c r="A401" t="inlineStr">
        <is>
          <t>U0400</t>
        </is>
      </c>
      <c r="B401" t="inlineStr">
        <is>
          <t>Feng Chia University</t>
        </is>
      </c>
      <c r="C401" t="inlineStr">
        <is>
          <t>TA</t>
        </is>
      </c>
      <c r="D401" t="inlineStr">
        <is>
          <t>Taiwan</t>
        </is>
      </c>
    </row>
    <row r="402">
      <c r="A402" t="inlineStr">
        <is>
          <t>U0401</t>
        </is>
      </c>
      <c r="B402" t="inlineStr">
        <is>
          <t>Ferdowsi University of Mashhad</t>
        </is>
      </c>
      <c r="C402" t="inlineStr">
        <is>
          <t>IR</t>
        </is>
      </c>
      <c r="D402" t="inlineStr">
        <is>
          <t>Iran</t>
        </is>
      </c>
    </row>
    <row r="403">
      <c r="A403" t="inlineStr">
        <is>
          <t>U0402</t>
        </is>
      </c>
      <c r="B403" t="inlineStr">
        <is>
          <t>Ferhat Abbas Sétif University 1</t>
        </is>
      </c>
      <c r="C403" t="inlineStr">
        <is>
          <t>AL</t>
        </is>
      </c>
      <c r="D403" t="inlineStr">
        <is>
          <t>Algeria</t>
        </is>
      </c>
    </row>
    <row r="404">
      <c r="A404" t="inlineStr">
        <is>
          <t>U0403</t>
        </is>
      </c>
      <c r="B404" t="inlineStr">
        <is>
          <t>Financial University under the Government of the Russian Federation</t>
        </is>
      </c>
      <c r="C404" t="inlineStr">
        <is>
          <t>RU</t>
        </is>
      </c>
      <c r="D404" t="inlineStr">
        <is>
          <t>Russian Federation</t>
        </is>
      </c>
    </row>
    <row r="405">
      <c r="A405" t="inlineStr">
        <is>
          <t>U0404</t>
        </is>
      </c>
      <c r="B405" t="inlineStr">
        <is>
          <t>Firat University</t>
        </is>
      </c>
      <c r="C405" t="inlineStr">
        <is>
          <t>TU</t>
        </is>
      </c>
      <c r="D405" t="inlineStr">
        <is>
          <t>Turkey</t>
        </is>
      </c>
    </row>
    <row r="406">
      <c r="A406" t="inlineStr">
        <is>
          <t>U0405</t>
        </is>
      </c>
      <c r="B406" t="inlineStr">
        <is>
          <t>Flinders University</t>
        </is>
      </c>
      <c r="C406" t="inlineStr">
        <is>
          <t>AU</t>
        </is>
      </c>
      <c r="D406" t="inlineStr">
        <is>
          <t>Australia</t>
        </is>
      </c>
    </row>
    <row r="407">
      <c r="A407" t="inlineStr">
        <is>
          <t>U0406</t>
        </is>
      </c>
      <c r="B407" t="inlineStr">
        <is>
          <t>Florida Agricultural and Mechanical University</t>
        </is>
      </c>
      <c r="C407" t="inlineStr">
        <is>
          <t>UN</t>
        </is>
      </c>
      <c r="D407" t="inlineStr">
        <is>
          <t>United States</t>
        </is>
      </c>
    </row>
    <row r="408">
      <c r="A408" t="inlineStr">
        <is>
          <t>U0407</t>
        </is>
      </c>
      <c r="B408" t="inlineStr">
        <is>
          <t>Florida Atlantic University</t>
        </is>
      </c>
      <c r="C408" t="inlineStr">
        <is>
          <t>UN</t>
        </is>
      </c>
      <c r="D408" t="inlineStr">
        <is>
          <t>United States</t>
        </is>
      </c>
    </row>
    <row r="409">
      <c r="A409" t="inlineStr">
        <is>
          <t>U0408</t>
        </is>
      </c>
      <c r="B409" t="inlineStr">
        <is>
          <t>Florida Atlantic University - Boca Raton</t>
        </is>
      </c>
      <c r="C409" t="inlineStr">
        <is>
          <t>UN</t>
        </is>
      </c>
      <c r="D409" t="inlineStr">
        <is>
          <t>United States</t>
        </is>
      </c>
    </row>
    <row r="410">
      <c r="A410" t="inlineStr">
        <is>
          <t>U0409</t>
        </is>
      </c>
      <c r="B410" t="inlineStr">
        <is>
          <t>Florida Institute of Technology</t>
        </is>
      </c>
      <c r="C410" t="inlineStr">
        <is>
          <t>UN</t>
        </is>
      </c>
      <c r="D410" t="inlineStr">
        <is>
          <t>United States</t>
        </is>
      </c>
    </row>
    <row r="411">
      <c r="A411" t="inlineStr">
        <is>
          <t>U0410</t>
        </is>
      </c>
      <c r="B411" t="inlineStr">
        <is>
          <t>Florida International University</t>
        </is>
      </c>
      <c r="C411" t="inlineStr">
        <is>
          <t>UN</t>
        </is>
      </c>
      <c r="D411" t="inlineStr">
        <is>
          <t>United States</t>
        </is>
      </c>
    </row>
    <row r="412">
      <c r="A412" t="inlineStr">
        <is>
          <t>U0411</t>
        </is>
      </c>
      <c r="B412" t="inlineStr">
        <is>
          <t>Florida State University</t>
        </is>
      </c>
      <c r="C412" t="inlineStr">
        <is>
          <t>UN</t>
        </is>
      </c>
      <c r="D412" t="inlineStr">
        <is>
          <t>United States</t>
        </is>
      </c>
    </row>
    <row r="413">
      <c r="A413" t="inlineStr">
        <is>
          <t>U0412</t>
        </is>
      </c>
      <c r="B413" t="inlineStr">
        <is>
          <t>Fluminense Federal University</t>
        </is>
      </c>
      <c r="C413" t="inlineStr">
        <is>
          <t>BR</t>
        </is>
      </c>
      <c r="D413" t="inlineStr">
        <is>
          <t>Brazil</t>
        </is>
      </c>
    </row>
    <row r="414">
      <c r="A414" t="inlineStr">
        <is>
          <t>U0413</t>
        </is>
      </c>
      <c r="B414" t="inlineStr">
        <is>
          <t xml:space="preserve">Fordham University </t>
        </is>
      </c>
      <c r="C414" t="inlineStr">
        <is>
          <t>UN</t>
        </is>
      </c>
      <c r="D414" t="inlineStr">
        <is>
          <t>United States</t>
        </is>
      </c>
    </row>
    <row r="415">
      <c r="A415" t="inlineStr">
        <is>
          <t>U0414</t>
        </is>
      </c>
      <c r="B415" t="inlineStr">
        <is>
          <t>Free University of Berlin</t>
        </is>
      </c>
      <c r="C415" t="inlineStr">
        <is>
          <t>GE</t>
        </is>
      </c>
      <c r="D415" t="inlineStr">
        <is>
          <t>Germany</t>
        </is>
      </c>
    </row>
    <row r="416">
      <c r="A416" t="inlineStr">
        <is>
          <t>U0415</t>
        </is>
      </c>
      <c r="B416" t="inlineStr">
        <is>
          <t>Free University of Bozen-Bolzano</t>
        </is>
      </c>
      <c r="C416" t="inlineStr">
        <is>
          <t>IT</t>
        </is>
      </c>
      <c r="D416" t="inlineStr">
        <is>
          <t>Italy</t>
        </is>
      </c>
    </row>
    <row r="417">
      <c r="A417" t="inlineStr">
        <is>
          <t>U0416</t>
        </is>
      </c>
      <c r="B417" t="inlineStr">
        <is>
          <t>Freie Universitaet Berlin</t>
        </is>
      </c>
      <c r="C417" t="inlineStr">
        <is>
          <t>GE</t>
        </is>
      </c>
      <c r="D417" t="inlineStr">
        <is>
          <t>Germany</t>
        </is>
      </c>
    </row>
    <row r="418">
      <c r="A418" t="inlineStr">
        <is>
          <t>U0417</t>
        </is>
      </c>
      <c r="B418" t="inlineStr">
        <is>
          <t>Friedrich-Alexander-Universität Erlangen-Nürnberg</t>
        </is>
      </c>
      <c r="C418" t="inlineStr">
        <is>
          <t>GE</t>
        </is>
      </c>
      <c r="D418" t="inlineStr">
        <is>
          <t>Germany</t>
        </is>
      </c>
    </row>
    <row r="419">
      <c r="A419" t="inlineStr">
        <is>
          <t>U0418</t>
        </is>
      </c>
      <c r="B419" t="inlineStr">
        <is>
          <t>Friedrich Schiller University Jena</t>
        </is>
      </c>
      <c r="C419" t="inlineStr">
        <is>
          <t>GE</t>
        </is>
      </c>
      <c r="D419" t="inlineStr">
        <is>
          <t>Germany</t>
        </is>
      </c>
    </row>
    <row r="420">
      <c r="A420" t="inlineStr">
        <is>
          <t>U0419</t>
        </is>
      </c>
      <c r="B420" t="inlineStr">
        <is>
          <t>Fu Jen Catholic University</t>
        </is>
      </c>
      <c r="C420" t="inlineStr">
        <is>
          <t>TA</t>
        </is>
      </c>
      <c r="D420" t="inlineStr">
        <is>
          <t>Taiwan</t>
        </is>
      </c>
    </row>
    <row r="421">
      <c r="A421" t="inlineStr">
        <is>
          <t>U0420</t>
        </is>
      </c>
      <c r="B421" t="inlineStr">
        <is>
          <t>Fudan University</t>
        </is>
      </c>
      <c r="C421" t="inlineStr">
        <is>
          <t>CH</t>
        </is>
      </c>
      <c r="D421" t="inlineStr">
        <is>
          <t>China</t>
        </is>
      </c>
    </row>
    <row r="422">
      <c r="A422" t="inlineStr">
        <is>
          <t>U0421</t>
        </is>
      </c>
      <c r="B422" t="inlineStr">
        <is>
          <t>Fujian Agriculture and Forestry University</t>
        </is>
      </c>
      <c r="C422" t="inlineStr">
        <is>
          <t>CH</t>
        </is>
      </c>
      <c r="D422" t="inlineStr">
        <is>
          <t>China</t>
        </is>
      </c>
    </row>
    <row r="423">
      <c r="A423" t="inlineStr">
        <is>
          <t>U0422</t>
        </is>
      </c>
      <c r="B423" t="inlineStr">
        <is>
          <t>Fujita Health University</t>
        </is>
      </c>
      <c r="C423" t="inlineStr">
        <is>
          <t>JA</t>
        </is>
      </c>
      <c r="D423" t="inlineStr">
        <is>
          <t>Japan</t>
        </is>
      </c>
    </row>
    <row r="424">
      <c r="A424" t="inlineStr">
        <is>
          <t>U0423</t>
        </is>
      </c>
      <c r="B424" t="inlineStr">
        <is>
          <t>Fukuoka University</t>
        </is>
      </c>
      <c r="C424" t="inlineStr">
        <is>
          <t>JA</t>
        </is>
      </c>
      <c r="D424" t="inlineStr">
        <is>
          <t>Japan</t>
        </is>
      </c>
    </row>
    <row r="425">
      <c r="A425" t="inlineStr">
        <is>
          <t>U0424</t>
        </is>
      </c>
      <c r="B425" t="inlineStr">
        <is>
          <t>Fundación CEU San Pablo</t>
        </is>
      </c>
      <c r="C425" t="inlineStr">
        <is>
          <t>SP</t>
        </is>
      </c>
      <c r="D425" t="inlineStr">
        <is>
          <t>Spain</t>
        </is>
      </c>
    </row>
    <row r="426">
      <c r="A426" t="inlineStr">
        <is>
          <t>U0425</t>
        </is>
      </c>
      <c r="B426" t="inlineStr">
        <is>
          <t>Fundación Universidad De Bogotá-Jorge Tadeo Lozano</t>
        </is>
      </c>
      <c r="C426" t="inlineStr">
        <is>
          <t>CO</t>
        </is>
      </c>
      <c r="D426" t="inlineStr">
        <is>
          <t>Colombia</t>
        </is>
      </c>
    </row>
    <row r="427">
      <c r="A427" t="inlineStr">
        <is>
          <t>U0426</t>
        </is>
      </c>
      <c r="B427" t="inlineStr">
        <is>
          <t>Future University in Egypt</t>
        </is>
      </c>
      <c r="C427" t="inlineStr">
        <is>
          <t>EG</t>
        </is>
      </c>
      <c r="D427" t="inlineStr">
        <is>
          <t>Egypt</t>
        </is>
      </c>
    </row>
    <row r="428">
      <c r="A428" t="inlineStr">
        <is>
          <t>U0427</t>
        </is>
      </c>
      <c r="B428" t="inlineStr">
        <is>
          <t>Fuzhou University</t>
        </is>
      </c>
      <c r="C428" t="inlineStr">
        <is>
          <t>CH</t>
        </is>
      </c>
      <c r="D428" t="inlineStr">
        <is>
          <t>China</t>
        </is>
      </c>
    </row>
    <row r="429">
      <c r="A429" t="inlineStr">
        <is>
          <t>U0428</t>
        </is>
      </c>
      <c r="B429" t="inlineStr">
        <is>
          <t>Gabriele d‘Annunzio University</t>
        </is>
      </c>
      <c r="C429" t="inlineStr">
        <is>
          <t>IT</t>
        </is>
      </c>
      <c r="D429" t="inlineStr">
        <is>
          <t>Italy</t>
        </is>
      </c>
    </row>
    <row r="430">
      <c r="A430" t="inlineStr">
        <is>
          <t>U0429</t>
        </is>
      </c>
      <c r="B430" t="inlineStr">
        <is>
          <t>Gadjah Mada University</t>
        </is>
      </c>
      <c r="C430" t="inlineStr">
        <is>
          <t>IN</t>
        </is>
      </c>
      <c r="D430" t="inlineStr">
        <is>
          <t>Indonesia</t>
        </is>
      </c>
    </row>
    <row r="431">
      <c r="A431" t="inlineStr">
        <is>
          <t>U0430</t>
        </is>
      </c>
      <c r="B431" t="inlineStr">
        <is>
          <t>Gauhati University</t>
        </is>
      </c>
      <c r="C431" t="inlineStr">
        <is>
          <t>IN</t>
        </is>
      </c>
      <c r="D431" t="inlineStr">
        <is>
          <t>India</t>
        </is>
      </c>
    </row>
    <row r="432">
      <c r="A432" t="inlineStr">
        <is>
          <t>U0431</t>
        </is>
      </c>
      <c r="B432" t="inlineStr">
        <is>
          <t>Gazi Üniversitesi</t>
        </is>
      </c>
      <c r="C432" t="inlineStr">
        <is>
          <t>TU</t>
        </is>
      </c>
      <c r="D432" t="inlineStr">
        <is>
          <t>Turkey</t>
        </is>
      </c>
    </row>
    <row r="433">
      <c r="A433" t="inlineStr">
        <is>
          <t>U0432</t>
        </is>
      </c>
      <c r="B433" t="inlineStr">
        <is>
          <t>Gazi University</t>
        </is>
      </c>
      <c r="C433" t="inlineStr">
        <is>
          <t>TU</t>
        </is>
      </c>
      <c r="D433" t="inlineStr">
        <is>
          <t>Turkey</t>
        </is>
      </c>
    </row>
    <row r="434">
      <c r="A434" t="inlineStr">
        <is>
          <t>U0433</t>
        </is>
      </c>
      <c r="B434" t="inlineStr">
        <is>
          <t>Gaziantep University</t>
        </is>
      </c>
      <c r="C434" t="inlineStr">
        <is>
          <t>TU</t>
        </is>
      </c>
      <c r="D434" t="inlineStr">
        <is>
          <t>Turkey</t>
        </is>
      </c>
    </row>
    <row r="435">
      <c r="A435" t="inlineStr">
        <is>
          <t>U0434</t>
        </is>
      </c>
      <c r="B435" t="inlineStr">
        <is>
          <t>Gda?sk University of Technology</t>
        </is>
      </c>
      <c r="C435" t="inlineStr">
        <is>
          <t>PO</t>
        </is>
      </c>
      <c r="D435" t="inlineStr">
        <is>
          <t>Poland</t>
        </is>
      </c>
    </row>
    <row r="436">
      <c r="A436" t="inlineStr">
        <is>
          <t>U0435</t>
        </is>
      </c>
      <c r="B436" t="inlineStr">
        <is>
          <t>Gebze Technical University (GTU)</t>
        </is>
      </c>
      <c r="C436" t="inlineStr">
        <is>
          <t>TU</t>
        </is>
      </c>
      <c r="D436" t="inlineStr">
        <is>
          <t>Turkey</t>
        </is>
      </c>
    </row>
    <row r="437">
      <c r="A437" t="inlineStr">
        <is>
          <t>U0436</t>
        </is>
      </c>
      <c r="B437" t="inlineStr">
        <is>
          <t>George Emil Palade University of Medicine, Pharmacy, Science, and Technology of Targu Mures</t>
        </is>
      </c>
      <c r="C437" t="inlineStr">
        <is>
          <t>RO</t>
        </is>
      </c>
      <c r="D437" t="inlineStr">
        <is>
          <t>Romania</t>
        </is>
      </c>
    </row>
    <row r="438">
      <c r="A438" t="inlineStr">
        <is>
          <t>U0437</t>
        </is>
      </c>
      <c r="B438" t="inlineStr">
        <is>
          <t>George Mason University</t>
        </is>
      </c>
      <c r="C438" t="inlineStr">
        <is>
          <t>UN</t>
        </is>
      </c>
      <c r="D438" t="inlineStr">
        <is>
          <t>United States</t>
        </is>
      </c>
    </row>
    <row r="439">
      <c r="A439" t="inlineStr">
        <is>
          <t>U0438</t>
        </is>
      </c>
      <c r="B439" t="inlineStr">
        <is>
          <t>George Washington University</t>
        </is>
      </c>
      <c r="C439" t="inlineStr">
        <is>
          <t>UN</t>
        </is>
      </c>
      <c r="D439" t="inlineStr">
        <is>
          <t>United States</t>
        </is>
      </c>
    </row>
    <row r="440">
      <c r="A440" t="inlineStr">
        <is>
          <t>U0439</t>
        </is>
      </c>
      <c r="B440" t="inlineStr">
        <is>
          <t>Georgetown University</t>
        </is>
      </c>
      <c r="C440" t="inlineStr">
        <is>
          <t>UN</t>
        </is>
      </c>
      <c r="D440" t="inlineStr">
        <is>
          <t>United States</t>
        </is>
      </c>
    </row>
    <row r="441">
      <c r="A441" t="inlineStr">
        <is>
          <t>U0440</t>
        </is>
      </c>
      <c r="B441" t="inlineStr">
        <is>
          <t>Georgia Institute of Technology</t>
        </is>
      </c>
      <c r="C441" t="inlineStr">
        <is>
          <t>UN</t>
        </is>
      </c>
      <c r="D441" t="inlineStr">
        <is>
          <t>United States</t>
        </is>
      </c>
    </row>
    <row r="442">
      <c r="A442" t="inlineStr">
        <is>
          <t>U0441</t>
        </is>
      </c>
      <c r="B442" t="inlineStr">
        <is>
          <t>Georgia Southern University</t>
        </is>
      </c>
      <c r="C442" t="inlineStr">
        <is>
          <t>UN</t>
        </is>
      </c>
      <c r="D442" t="inlineStr">
        <is>
          <t>United States</t>
        </is>
      </c>
    </row>
    <row r="443">
      <c r="A443" t="inlineStr">
        <is>
          <t>U0442</t>
        </is>
      </c>
      <c r="B443" t="inlineStr">
        <is>
          <t>Georgia State University</t>
        </is>
      </c>
      <c r="C443" t="inlineStr">
        <is>
          <t>UN</t>
        </is>
      </c>
      <c r="D443" t="inlineStr">
        <is>
          <t>United States</t>
        </is>
      </c>
    </row>
    <row r="444">
      <c r="A444" t="inlineStr">
        <is>
          <t>U0443</t>
        </is>
      </c>
      <c r="B444" t="inlineStr">
        <is>
          <t>Georgian Technical University</t>
        </is>
      </c>
      <c r="C444" t="inlineStr">
        <is>
          <t>GE</t>
        </is>
      </c>
      <c r="D444" t="inlineStr">
        <is>
          <t>Georgia</t>
        </is>
      </c>
    </row>
    <row r="445">
      <c r="A445" t="inlineStr">
        <is>
          <t>U0444</t>
        </is>
      </c>
      <c r="B445" t="inlineStr">
        <is>
          <t>German Jordanian University</t>
        </is>
      </c>
      <c r="C445" t="inlineStr">
        <is>
          <t>JO</t>
        </is>
      </c>
      <c r="D445" t="inlineStr">
        <is>
          <t>Jordan</t>
        </is>
      </c>
    </row>
    <row r="446">
      <c r="A446" t="inlineStr">
        <is>
          <t>U0445</t>
        </is>
      </c>
      <c r="B446" t="inlineStr">
        <is>
          <t>German University in Cairo</t>
        </is>
      </c>
      <c r="C446" t="inlineStr">
        <is>
          <t>EG</t>
        </is>
      </c>
      <c r="D446" t="inlineStr">
        <is>
          <t>Egypt</t>
        </is>
      </c>
    </row>
    <row r="447">
      <c r="A447" t="inlineStr">
        <is>
          <t>U0446</t>
        </is>
      </c>
      <c r="B447" t="inlineStr">
        <is>
          <t>Ghent University</t>
        </is>
      </c>
      <c r="C447" t="inlineStr">
        <is>
          <t>BE</t>
        </is>
      </c>
      <c r="D447" t="inlineStr">
        <is>
          <t>Belgium</t>
        </is>
      </c>
    </row>
    <row r="448">
      <c r="A448" t="inlineStr">
        <is>
          <t>U0447</t>
        </is>
      </c>
      <c r="B448" t="inlineStr">
        <is>
          <t>Gheorghe Asachi Technical University of Iaşi</t>
        </is>
      </c>
      <c r="C448" t="inlineStr">
        <is>
          <t>RO</t>
        </is>
      </c>
      <c r="D448" t="inlineStr">
        <is>
          <t>Romania</t>
        </is>
      </c>
    </row>
    <row r="449">
      <c r="A449" t="inlineStr">
        <is>
          <t>U0448</t>
        </is>
      </c>
      <c r="B449" t="inlineStr">
        <is>
          <t>The "Gheorghe Asachi" Technical University of Iasi</t>
        </is>
      </c>
      <c r="C449" t="inlineStr">
        <is>
          <t>RO</t>
        </is>
      </c>
      <c r="D449" t="inlineStr">
        <is>
          <t>Romania</t>
        </is>
      </c>
    </row>
    <row r="450">
      <c r="A450" t="inlineStr">
        <is>
          <t>U0449</t>
        </is>
      </c>
      <c r="B450" t="inlineStr">
        <is>
          <t>Gifu University</t>
        </is>
      </c>
      <c r="C450" t="inlineStr">
        <is>
          <t>JA</t>
        </is>
      </c>
      <c r="D450" t="inlineStr">
        <is>
          <t>Japan</t>
        </is>
      </c>
    </row>
    <row r="451">
      <c r="A451" t="inlineStr">
        <is>
          <t>U0450</t>
        </is>
      </c>
      <c r="B451" t="inlineStr">
        <is>
          <t>GITAM University</t>
        </is>
      </c>
      <c r="C451" t="inlineStr">
        <is>
          <t>IN</t>
        </is>
      </c>
      <c r="D451" t="inlineStr">
        <is>
          <t>India</t>
        </is>
      </c>
    </row>
    <row r="452">
      <c r="A452" t="inlineStr">
        <is>
          <t>U0451</t>
        </is>
      </c>
      <c r="B452" t="inlineStr">
        <is>
          <t>GLA University</t>
        </is>
      </c>
      <c r="C452" t="inlineStr">
        <is>
          <t>IN</t>
        </is>
      </c>
      <c r="D452" t="inlineStr">
        <is>
          <t>India</t>
        </is>
      </c>
    </row>
    <row r="453">
      <c r="A453" t="inlineStr">
        <is>
          <t>U0452</t>
        </is>
      </c>
      <c r="B453" t="inlineStr">
        <is>
          <t>Glasgow Caledonian University</t>
        </is>
      </c>
      <c r="C453" t="inlineStr">
        <is>
          <t>UN</t>
        </is>
      </c>
      <c r="D453" t="inlineStr">
        <is>
          <t>United Kingdom</t>
        </is>
      </c>
    </row>
    <row r="454">
      <c r="A454" t="inlineStr">
        <is>
          <t>U0453</t>
        </is>
      </c>
      <c r="B454" t="inlineStr">
        <is>
          <t>Goa University</t>
        </is>
      </c>
      <c r="C454" t="inlineStr">
        <is>
          <t>IN</t>
        </is>
      </c>
      <c r="D454" t="inlineStr">
        <is>
          <t>India</t>
        </is>
      </c>
    </row>
    <row r="455">
      <c r="A455" t="inlineStr">
        <is>
          <t>U0454</t>
        </is>
      </c>
      <c r="B455" t="inlineStr">
        <is>
          <t>Goethe University Frankfurt</t>
        </is>
      </c>
      <c r="C455" t="inlineStr">
        <is>
          <t>GE</t>
        </is>
      </c>
      <c r="D455" t="inlineStr">
        <is>
          <t>Germany</t>
        </is>
      </c>
    </row>
    <row r="456">
      <c r="A456" t="inlineStr">
        <is>
          <t>U0455</t>
        </is>
      </c>
      <c r="B456" t="inlineStr">
        <is>
          <t>Goethe-University Frankfurt am Main</t>
        </is>
      </c>
      <c r="C456" t="inlineStr">
        <is>
          <t>GE</t>
        </is>
      </c>
      <c r="D456" t="inlineStr">
        <is>
          <t>Germany</t>
        </is>
      </c>
    </row>
    <row r="457">
      <c r="A457" t="inlineStr">
        <is>
          <t>U0456</t>
        </is>
      </c>
      <c r="B457" t="inlineStr">
        <is>
          <t>Goldsmiths, University of London</t>
        </is>
      </c>
      <c r="C457" t="inlineStr">
        <is>
          <t>UN</t>
        </is>
      </c>
      <c r="D457" t="inlineStr">
        <is>
          <t>United Kingdom</t>
        </is>
      </c>
    </row>
    <row r="458">
      <c r="A458" t="inlineStr">
        <is>
          <t>U0457</t>
        </is>
      </c>
      <c r="B458" t="inlineStr">
        <is>
          <t>Gorgan University of Agricultural Sciences and Natural Resources</t>
        </is>
      </c>
      <c r="C458" t="inlineStr">
        <is>
          <t>IR</t>
        </is>
      </c>
      <c r="D458" t="inlineStr">
        <is>
          <t>Iran</t>
        </is>
      </c>
    </row>
    <row r="459">
      <c r="A459" t="inlineStr">
        <is>
          <t>U0458</t>
        </is>
      </c>
      <c r="B459" t="inlineStr">
        <is>
          <t>Government College University Faisalabad</t>
        </is>
      </c>
      <c r="C459" t="inlineStr">
        <is>
          <t>PA</t>
        </is>
      </c>
      <c r="D459" t="inlineStr">
        <is>
          <t>Pakistan</t>
        </is>
      </c>
    </row>
    <row r="460">
      <c r="A460" t="inlineStr">
        <is>
          <t>U0459</t>
        </is>
      </c>
      <c r="B460" t="inlineStr">
        <is>
          <t>Government College University Lahore</t>
        </is>
      </c>
      <c r="C460" t="inlineStr">
        <is>
          <t>PA</t>
        </is>
      </c>
      <c r="D460" t="inlineStr">
        <is>
          <t>Pakistan</t>
        </is>
      </c>
    </row>
    <row r="461">
      <c r="A461" t="inlineStr">
        <is>
          <t>U0460</t>
        </is>
      </c>
      <c r="B461" t="inlineStr">
        <is>
          <t>Graz University of Technology</t>
        </is>
      </c>
      <c r="C461" t="inlineStr">
        <is>
          <t>AU</t>
        </is>
      </c>
      <c r="D461" t="inlineStr">
        <is>
          <t>Austria</t>
        </is>
      </c>
    </row>
    <row r="462">
      <c r="A462" t="inlineStr">
        <is>
          <t>U0461</t>
        </is>
      </c>
      <c r="B462" t="inlineStr">
        <is>
          <t>Griffith University</t>
        </is>
      </c>
      <c r="C462" t="inlineStr">
        <is>
          <t>AU</t>
        </is>
      </c>
      <c r="D462" t="inlineStr">
        <is>
          <t>Australia</t>
        </is>
      </c>
    </row>
    <row r="463">
      <c r="A463" t="inlineStr">
        <is>
          <t>U0462</t>
        </is>
      </c>
      <c r="B463" t="inlineStr">
        <is>
          <t>Grigore T. Popa University of Medicine and Pharmacy</t>
        </is>
      </c>
      <c r="C463" t="inlineStr">
        <is>
          <t>RO</t>
        </is>
      </c>
      <c r="D463" t="inlineStr">
        <is>
          <t>Romania</t>
        </is>
      </c>
    </row>
    <row r="464">
      <c r="A464" t="inlineStr">
        <is>
          <t>U0463</t>
        </is>
      </c>
      <c r="B464" t="inlineStr">
        <is>
          <t>Guangdong University of Technology</t>
        </is>
      </c>
      <c r="C464" t="inlineStr">
        <is>
          <t>CH</t>
        </is>
      </c>
      <c r="D464" t="inlineStr">
        <is>
          <t>China</t>
        </is>
      </c>
    </row>
    <row r="465">
      <c r="A465" t="inlineStr">
        <is>
          <t>U0464</t>
        </is>
      </c>
      <c r="B465" t="inlineStr">
        <is>
          <t>Guangzhou Medical University</t>
        </is>
      </c>
      <c r="C465" t="inlineStr">
        <is>
          <t>CH</t>
        </is>
      </c>
      <c r="D465" t="inlineStr">
        <is>
          <t>China</t>
        </is>
      </c>
    </row>
    <row r="466">
      <c r="A466" t="inlineStr">
        <is>
          <t>U0465</t>
        </is>
      </c>
      <c r="B466" t="inlineStr">
        <is>
          <t>Guangzhou University</t>
        </is>
      </c>
      <c r="C466" t="inlineStr">
        <is>
          <t>CH</t>
        </is>
      </c>
      <c r="D466" t="inlineStr">
        <is>
          <t>China</t>
        </is>
      </c>
    </row>
    <row r="467">
      <c r="A467" t="inlineStr">
        <is>
          <t>U0466</t>
        </is>
      </c>
      <c r="B467" t="inlineStr">
        <is>
          <t>Gubkin Russian State University of Oil and Gas</t>
        </is>
      </c>
      <c r="C467" t="inlineStr">
        <is>
          <t>RU</t>
        </is>
      </c>
      <c r="D467" t="inlineStr">
        <is>
          <t>Russian Federation</t>
        </is>
      </c>
    </row>
    <row r="468">
      <c r="A468" t="inlineStr">
        <is>
          <t>U0467</t>
        </is>
      </c>
      <c r="B468" t="inlineStr">
        <is>
          <t>Guilan University of Medical Sciences</t>
        </is>
      </c>
      <c r="C468" t="inlineStr">
        <is>
          <t>IR</t>
        </is>
      </c>
      <c r="D468" t="inlineStr">
        <is>
          <t>Iran</t>
        </is>
      </c>
    </row>
    <row r="469">
      <c r="A469" t="inlineStr">
        <is>
          <t>U0468</t>
        </is>
      </c>
      <c r="B469" t="inlineStr">
        <is>
          <t>Gulf University for Science and Technology</t>
        </is>
      </c>
      <c r="C469" t="inlineStr">
        <is>
          <t>KU</t>
        </is>
      </c>
      <c r="D469" t="inlineStr">
        <is>
          <t>Kuwait</t>
        </is>
      </c>
    </row>
    <row r="470">
      <c r="A470" t="inlineStr">
        <is>
          <t>U0469</t>
        </is>
      </c>
      <c r="B470" t="inlineStr">
        <is>
          <t>Gunma University</t>
        </is>
      </c>
      <c r="C470" t="inlineStr">
        <is>
          <t>JA</t>
        </is>
      </c>
      <c r="D470" t="inlineStr">
        <is>
          <t>Japan</t>
        </is>
      </c>
    </row>
    <row r="471">
      <c r="A471" t="inlineStr">
        <is>
          <t>U0470</t>
        </is>
      </c>
      <c r="B471" t="inlineStr">
        <is>
          <t>Guru Ghasidas Vishwavidyalaya</t>
        </is>
      </c>
      <c r="C471" t="inlineStr">
        <is>
          <t>IN</t>
        </is>
      </c>
      <c r="D471" t="inlineStr">
        <is>
          <t>India</t>
        </is>
      </c>
    </row>
    <row r="472">
      <c r="A472" t="inlineStr">
        <is>
          <t>U0471</t>
        </is>
      </c>
      <c r="B472" t="inlineStr">
        <is>
          <t>Guru Gobind Singh Indraprastha University</t>
        </is>
      </c>
      <c r="C472" t="inlineStr">
        <is>
          <t>IN</t>
        </is>
      </c>
      <c r="D472" t="inlineStr">
        <is>
          <t>India</t>
        </is>
      </c>
    </row>
    <row r="473">
      <c r="A473" t="inlineStr">
        <is>
          <t>U0472</t>
        </is>
      </c>
      <c r="B473" t="inlineStr">
        <is>
          <t>Guru Jambheshwar University of Science and Technology</t>
        </is>
      </c>
      <c r="C473" t="inlineStr">
        <is>
          <t>IN</t>
        </is>
      </c>
      <c r="D473" t="inlineStr">
        <is>
          <t>India</t>
        </is>
      </c>
    </row>
    <row r="474">
      <c r="A474" t="inlineStr">
        <is>
          <t>U0473</t>
        </is>
      </c>
      <c r="B474" t="inlineStr">
        <is>
          <t>Gwangju Institute of Science and Technology (GIST)</t>
        </is>
      </c>
      <c r="C474" t="inlineStr">
        <is>
          <t>SO</t>
        </is>
      </c>
      <c r="D474" t="inlineStr">
        <is>
          <t>South Korea</t>
        </is>
      </c>
    </row>
    <row r="475">
      <c r="A475" t="inlineStr">
        <is>
          <t>U0474</t>
        </is>
      </c>
      <c r="B475" t="inlineStr">
        <is>
          <t>Gyeongsang National University</t>
        </is>
      </c>
      <c r="C475" t="inlineStr">
        <is>
          <t>SO</t>
        </is>
      </c>
      <c r="D475" t="inlineStr">
        <is>
          <t>South Korea</t>
        </is>
      </c>
    </row>
    <row r="476">
      <c r="A476" t="inlineStr">
        <is>
          <t>U0475</t>
        </is>
      </c>
      <c r="B476" t="inlineStr">
        <is>
          <t xml:space="preserve">Hacettepe University </t>
        </is>
      </c>
      <c r="C476" t="inlineStr">
        <is>
          <t>TU</t>
        </is>
      </c>
      <c r="D476" t="inlineStr">
        <is>
          <t>Turkey</t>
        </is>
      </c>
    </row>
    <row r="477">
      <c r="A477" t="inlineStr">
        <is>
          <t>U0476</t>
        </is>
      </c>
      <c r="B477" t="inlineStr">
        <is>
          <t>Hakim Sabzevari University</t>
        </is>
      </c>
      <c r="C477" t="inlineStr">
        <is>
          <t>IR</t>
        </is>
      </c>
      <c r="D477" t="inlineStr">
        <is>
          <t>Iran</t>
        </is>
      </c>
    </row>
    <row r="478">
      <c r="A478" t="inlineStr">
        <is>
          <t>U0477</t>
        </is>
      </c>
      <c r="B478" t="inlineStr">
        <is>
          <t xml:space="preserve">Hallym University </t>
        </is>
      </c>
      <c r="C478" t="inlineStr">
        <is>
          <t>SO</t>
        </is>
      </c>
      <c r="D478" t="inlineStr">
        <is>
          <t>South Korea</t>
        </is>
      </c>
    </row>
    <row r="479">
      <c r="A479" t="inlineStr">
        <is>
          <t>U0478</t>
        </is>
      </c>
      <c r="B479" t="inlineStr">
        <is>
          <t>Halmstad University</t>
        </is>
      </c>
      <c r="C479" t="inlineStr">
        <is>
          <t>SW</t>
        </is>
      </c>
      <c r="D479" t="inlineStr">
        <is>
          <t>Sweden</t>
        </is>
      </c>
    </row>
    <row r="480">
      <c r="A480" t="inlineStr">
        <is>
          <t>U0479</t>
        </is>
      </c>
      <c r="B480" t="inlineStr">
        <is>
          <t>Hamad Bin Khalifa University</t>
        </is>
      </c>
      <c r="C480" t="inlineStr">
        <is>
          <t>QA</t>
        </is>
      </c>
      <c r="D480" t="inlineStr">
        <is>
          <t>Qatar</t>
        </is>
      </c>
    </row>
    <row r="481">
      <c r="A481" t="inlineStr">
        <is>
          <t>U0480</t>
        </is>
      </c>
      <c r="B481" t="inlineStr">
        <is>
          <t>Hamamatsu University School of Medicine</t>
        </is>
      </c>
      <c r="C481" t="inlineStr">
        <is>
          <t>JA</t>
        </is>
      </c>
      <c r="D481" t="inlineStr">
        <is>
          <t>Japan</t>
        </is>
      </c>
    </row>
    <row r="482">
      <c r="A482" t="inlineStr">
        <is>
          <t>U0481</t>
        </is>
      </c>
      <c r="B482" t="inlineStr">
        <is>
          <t>Hamburg University of Technology</t>
        </is>
      </c>
      <c r="C482" t="inlineStr">
        <is>
          <t>GE</t>
        </is>
      </c>
      <c r="D482" t="inlineStr">
        <is>
          <t>Germany</t>
        </is>
      </c>
    </row>
    <row r="483">
      <c r="A483" t="inlineStr">
        <is>
          <t>U0482</t>
        </is>
      </c>
      <c r="B483" t="inlineStr">
        <is>
          <t>Hanoi University of Science and Technology</t>
        </is>
      </c>
      <c r="C483" t="inlineStr">
        <is>
          <t>VI</t>
        </is>
      </c>
      <c r="D483" t="inlineStr">
        <is>
          <t>Vietnam</t>
        </is>
      </c>
    </row>
    <row r="484">
      <c r="A484" t="inlineStr">
        <is>
          <t>U0483</t>
        </is>
      </c>
      <c r="B484" t="inlineStr">
        <is>
          <t>Hanyang University</t>
        </is>
      </c>
      <c r="C484" t="inlineStr">
        <is>
          <t>SO</t>
        </is>
      </c>
      <c r="D484" t="inlineStr">
        <is>
          <t>South Korea</t>
        </is>
      </c>
    </row>
    <row r="485">
      <c r="A485" t="inlineStr">
        <is>
          <t>U0484</t>
        </is>
      </c>
      <c r="B485" t="inlineStr">
        <is>
          <t>Harbin Engineering University</t>
        </is>
      </c>
      <c r="C485" t="inlineStr">
        <is>
          <t>CH</t>
        </is>
      </c>
      <c r="D485" t="inlineStr">
        <is>
          <t>China</t>
        </is>
      </c>
    </row>
    <row r="486">
      <c r="A486" t="inlineStr">
        <is>
          <t>U0485</t>
        </is>
      </c>
      <c r="B486" t="inlineStr">
        <is>
          <t>Harbin Institute of Technology</t>
        </is>
      </c>
      <c r="C486" t="inlineStr">
        <is>
          <t>CH</t>
        </is>
      </c>
      <c r="D486" t="inlineStr">
        <is>
          <t>China</t>
        </is>
      </c>
    </row>
    <row r="487">
      <c r="A487" t="inlineStr">
        <is>
          <t>U0486</t>
        </is>
      </c>
      <c r="B487" t="inlineStr">
        <is>
          <t>Harokopio University of Athens</t>
        </is>
      </c>
      <c r="C487" t="inlineStr">
        <is>
          <t>GR</t>
        </is>
      </c>
      <c r="D487" t="inlineStr">
        <is>
          <t>Greece</t>
        </is>
      </c>
    </row>
    <row r="488">
      <c r="A488" t="inlineStr">
        <is>
          <t>U0487</t>
        </is>
      </c>
      <c r="B488" t="inlineStr">
        <is>
          <t>Harper Adams University</t>
        </is>
      </c>
      <c r="C488" t="inlineStr">
        <is>
          <t>UN</t>
        </is>
      </c>
      <c r="D488" t="inlineStr">
        <is>
          <t>United Kingdom</t>
        </is>
      </c>
    </row>
    <row r="489">
      <c r="A489" t="inlineStr">
        <is>
          <t>U0488</t>
        </is>
      </c>
      <c r="B489" t="inlineStr">
        <is>
          <t>Harvard University</t>
        </is>
      </c>
      <c r="C489" t="inlineStr">
        <is>
          <t>UN</t>
        </is>
      </c>
      <c r="D489" t="inlineStr">
        <is>
          <t>United States</t>
        </is>
      </c>
    </row>
    <row r="490">
      <c r="A490" t="inlineStr">
        <is>
          <t>U0489</t>
        </is>
      </c>
      <c r="B490" t="inlineStr">
        <is>
          <t>Hasanuddin University</t>
        </is>
      </c>
      <c r="C490" t="inlineStr">
        <is>
          <t>IN</t>
        </is>
      </c>
      <c r="D490" t="inlineStr">
        <is>
          <t>Indonesia</t>
        </is>
      </c>
    </row>
    <row r="491">
      <c r="A491" t="inlineStr">
        <is>
          <t>U0490</t>
        </is>
      </c>
      <c r="B491" t="inlineStr">
        <is>
          <t>The Hashemite University</t>
        </is>
      </c>
      <c r="C491" t="inlineStr">
        <is>
          <t>JO</t>
        </is>
      </c>
      <c r="D491" t="inlineStr">
        <is>
          <t>Jordan</t>
        </is>
      </c>
    </row>
    <row r="492">
      <c r="A492" t="inlineStr">
        <is>
          <t>U0491</t>
        </is>
      </c>
      <c r="B492" t="inlineStr">
        <is>
          <t xml:space="preserve">Hasselt University </t>
        </is>
      </c>
      <c r="C492" t="inlineStr">
        <is>
          <t>BE</t>
        </is>
      </c>
      <c r="D492" t="inlineStr">
        <is>
          <t>Belgium</t>
        </is>
      </c>
    </row>
    <row r="493">
      <c r="A493" t="inlineStr">
        <is>
          <t>U0492</t>
        </is>
      </c>
      <c r="B493" t="inlineStr">
        <is>
          <t>Hassiba Benbouali University of Chlef</t>
        </is>
      </c>
      <c r="C493" t="inlineStr">
        <is>
          <t>AL</t>
        </is>
      </c>
      <c r="D493" t="inlineStr">
        <is>
          <t>Algeria</t>
        </is>
      </c>
    </row>
    <row r="494">
      <c r="A494" t="inlineStr">
        <is>
          <t>U0493</t>
        </is>
      </c>
      <c r="B494" t="inlineStr">
        <is>
          <t>Hazara University Mansehra</t>
        </is>
      </c>
      <c r="C494" t="inlineStr">
        <is>
          <t>PA</t>
        </is>
      </c>
      <c r="D494" t="inlineStr">
        <is>
          <t>Pakistan</t>
        </is>
      </c>
    </row>
    <row r="495">
      <c r="A495" t="inlineStr">
        <is>
          <t>U0494</t>
        </is>
      </c>
      <c r="B495" t="inlineStr">
        <is>
          <t>The Hebrew University of Jerusalem</t>
        </is>
      </c>
      <c r="C495" t="inlineStr">
        <is>
          <t>IS</t>
        </is>
      </c>
      <c r="D495" t="inlineStr">
        <is>
          <t>Israel</t>
        </is>
      </c>
    </row>
    <row r="496">
      <c r="A496" t="inlineStr">
        <is>
          <t>U0495</t>
        </is>
      </c>
      <c r="B496" t="inlineStr">
        <is>
          <t>Heinrich Heine University Düsseldorf</t>
        </is>
      </c>
      <c r="C496" t="inlineStr">
        <is>
          <t>GE</t>
        </is>
      </c>
      <c r="D496" t="inlineStr">
        <is>
          <t>Germany</t>
        </is>
      </c>
    </row>
    <row r="497">
      <c r="A497" t="inlineStr">
        <is>
          <t>U0496</t>
        </is>
      </c>
      <c r="B497" t="inlineStr">
        <is>
          <t>Hellenic Open University</t>
        </is>
      </c>
      <c r="C497" t="inlineStr">
        <is>
          <t>GR</t>
        </is>
      </c>
      <c r="D497" t="inlineStr">
        <is>
          <t>Greece</t>
        </is>
      </c>
    </row>
    <row r="498">
      <c r="A498" t="inlineStr">
        <is>
          <t>U0497</t>
        </is>
      </c>
      <c r="B498" t="inlineStr">
        <is>
          <t xml:space="preserve">Helwan University </t>
        </is>
      </c>
      <c r="C498" t="inlineStr">
        <is>
          <t>EG</t>
        </is>
      </c>
      <c r="D498" t="inlineStr">
        <is>
          <t>Egypt</t>
        </is>
      </c>
    </row>
    <row r="499">
      <c r="A499" t="inlineStr">
        <is>
          <t>U0498</t>
        </is>
      </c>
      <c r="B499" t="inlineStr">
        <is>
          <t>Heriot-Watt University</t>
        </is>
      </c>
      <c r="C499" t="inlineStr">
        <is>
          <t>UN</t>
        </is>
      </c>
      <c r="D499" t="inlineStr">
        <is>
          <t>United Kingdom</t>
        </is>
      </c>
    </row>
    <row r="500">
      <c r="A500" t="inlineStr">
        <is>
          <t>U0499</t>
        </is>
      </c>
      <c r="B500" t="inlineStr">
        <is>
          <t>The Herzen State Pedagogical University of Russia</t>
        </is>
      </c>
      <c r="C500" t="inlineStr">
        <is>
          <t>RU</t>
        </is>
      </c>
      <c r="D500" t="inlineStr">
        <is>
          <t>Russian Federation</t>
        </is>
      </c>
    </row>
    <row r="501">
      <c r="A501" t="inlineStr">
        <is>
          <t>U0500</t>
        </is>
      </c>
      <c r="B501" t="inlineStr">
        <is>
          <t>Hindustan Institute of Technology and Science</t>
        </is>
      </c>
      <c r="C501" t="inlineStr">
        <is>
          <t>IN</t>
        </is>
      </c>
      <c r="D501" t="inlineStr">
        <is>
          <t>India</t>
        </is>
      </c>
    </row>
    <row r="502">
      <c r="A502" t="inlineStr">
        <is>
          <t>U0501</t>
        </is>
      </c>
      <c r="B502" t="inlineStr">
        <is>
          <t>Hiroshima University</t>
        </is>
      </c>
      <c r="C502" t="inlineStr">
        <is>
          <t>JA</t>
        </is>
      </c>
      <c r="D502" t="inlineStr">
        <is>
          <t>Japan</t>
        </is>
      </c>
    </row>
    <row r="503">
      <c r="A503" t="inlineStr">
        <is>
          <t>U0502</t>
        </is>
      </c>
      <c r="B503" t="inlineStr">
        <is>
          <t>Hitit University</t>
        </is>
      </c>
      <c r="C503" t="inlineStr">
        <is>
          <t>TU</t>
        </is>
      </c>
      <c r="D503" t="inlineStr">
        <is>
          <t>Turkey</t>
        </is>
      </c>
    </row>
    <row r="504">
      <c r="A504" t="inlineStr">
        <is>
          <t>U0503</t>
        </is>
      </c>
      <c r="B504" t="inlineStr">
        <is>
          <t>Hitotsubashi University</t>
        </is>
      </c>
      <c r="C504" t="inlineStr">
        <is>
          <t>JA</t>
        </is>
      </c>
      <c r="D504" t="inlineStr">
        <is>
          <t>Japan</t>
        </is>
      </c>
    </row>
    <row r="505">
      <c r="A505" t="inlineStr">
        <is>
          <t>U0504</t>
        </is>
      </c>
      <c r="B505" t="inlineStr">
        <is>
          <t>Hohai University</t>
        </is>
      </c>
      <c r="C505" t="inlineStr">
        <is>
          <t>CH</t>
        </is>
      </c>
      <c r="D505" t="inlineStr">
        <is>
          <t>China</t>
        </is>
      </c>
    </row>
    <row r="506">
      <c r="A506" t="inlineStr">
        <is>
          <t>U0505</t>
        </is>
      </c>
      <c r="B506" t="inlineStr">
        <is>
          <t>Hokkaido University</t>
        </is>
      </c>
      <c r="C506" t="inlineStr">
        <is>
          <t>JA</t>
        </is>
      </c>
      <c r="D506" t="inlineStr">
        <is>
          <t>Japan</t>
        </is>
      </c>
    </row>
    <row r="507">
      <c r="A507" t="inlineStr">
        <is>
          <t>U0506</t>
        </is>
      </c>
      <c r="B507" t="inlineStr">
        <is>
          <t xml:space="preserve">Holy Spirit University of Kaslik </t>
        </is>
      </c>
      <c r="C507" t="inlineStr">
        <is>
          <t>LE</t>
        </is>
      </c>
      <c r="D507" t="inlineStr">
        <is>
          <t>Lebanon</t>
        </is>
      </c>
    </row>
    <row r="508">
      <c r="A508" t="inlineStr">
        <is>
          <t>U0507</t>
        </is>
      </c>
      <c r="B508" t="inlineStr">
        <is>
          <t>Hong Kong Baptist University</t>
        </is>
      </c>
      <c r="C508" t="inlineStr">
        <is>
          <t>HO</t>
        </is>
      </c>
      <c r="D508" t="inlineStr">
        <is>
          <t>Hong Kong</t>
        </is>
      </c>
    </row>
    <row r="509">
      <c r="A509" t="inlineStr">
        <is>
          <t>U0508</t>
        </is>
      </c>
      <c r="B509" t="inlineStr">
        <is>
          <t>The Hong Kong Polytechnic University</t>
        </is>
      </c>
      <c r="C509" t="inlineStr">
        <is>
          <t>HO</t>
        </is>
      </c>
      <c r="D509" t="inlineStr">
        <is>
          <t>Hong Kong</t>
        </is>
      </c>
    </row>
    <row r="510">
      <c r="A510" t="inlineStr">
        <is>
          <t>U0509</t>
        </is>
      </c>
      <c r="B510" t="inlineStr">
        <is>
          <t>The Hong Kong University of Science and Technology</t>
        </is>
      </c>
      <c r="C510" t="inlineStr">
        <is>
          <t>HO</t>
        </is>
      </c>
      <c r="D510" t="inlineStr">
        <is>
          <t>Hong Kong</t>
        </is>
      </c>
    </row>
    <row r="511">
      <c r="A511" t="inlineStr">
        <is>
          <t>U0510</t>
        </is>
      </c>
      <c r="B511" t="inlineStr">
        <is>
          <t xml:space="preserve">Hongik University </t>
        </is>
      </c>
      <c r="C511" t="inlineStr">
        <is>
          <t>SO</t>
        </is>
      </c>
      <c r="D511" t="inlineStr">
        <is>
          <t>South Korea</t>
        </is>
      </c>
    </row>
    <row r="512">
      <c r="A512" t="inlineStr">
        <is>
          <t>U0511</t>
        </is>
      </c>
      <c r="B512" t="inlineStr">
        <is>
          <t>Hosei University</t>
        </is>
      </c>
      <c r="C512" t="inlineStr">
        <is>
          <t>JA</t>
        </is>
      </c>
      <c r="D512" t="inlineStr">
        <is>
          <t>Japan</t>
        </is>
      </c>
    </row>
    <row r="513">
      <c r="A513" t="inlineStr">
        <is>
          <t>U0512</t>
        </is>
      </c>
      <c r="B513" t="inlineStr">
        <is>
          <t>Howard University</t>
        </is>
      </c>
      <c r="C513" t="inlineStr">
        <is>
          <t>UN</t>
        </is>
      </c>
      <c r="D513" t="inlineStr">
        <is>
          <t>United States</t>
        </is>
      </c>
    </row>
    <row r="514">
      <c r="A514" t="inlineStr">
        <is>
          <t>U0513</t>
        </is>
      </c>
      <c r="B514" t="inlineStr">
        <is>
          <t>HSE University</t>
        </is>
      </c>
      <c r="C514" t="inlineStr">
        <is>
          <t>RU</t>
        </is>
      </c>
      <c r="D514" t="inlineStr">
        <is>
          <t>Russian Federation</t>
        </is>
      </c>
    </row>
    <row r="515">
      <c r="A515" t="inlineStr">
        <is>
          <t>U0514</t>
        </is>
      </c>
      <c r="B515" t="inlineStr">
        <is>
          <t>Huaqiao University</t>
        </is>
      </c>
      <c r="C515" t="inlineStr">
        <is>
          <t>CH</t>
        </is>
      </c>
      <c r="D515" t="inlineStr">
        <is>
          <t>China</t>
        </is>
      </c>
    </row>
    <row r="516">
      <c r="A516" t="inlineStr">
        <is>
          <t>U0515</t>
        </is>
      </c>
      <c r="B516" t="inlineStr">
        <is>
          <t>Huazhong Agricultural University</t>
        </is>
      </c>
      <c r="C516" t="inlineStr">
        <is>
          <t>CH</t>
        </is>
      </c>
      <c r="D516" t="inlineStr">
        <is>
          <t>China</t>
        </is>
      </c>
    </row>
    <row r="517">
      <c r="A517" t="inlineStr">
        <is>
          <t>U0516</t>
        </is>
      </c>
      <c r="B517" t="inlineStr">
        <is>
          <t>Huazhong University of Science and Technology</t>
        </is>
      </c>
      <c r="C517" t="inlineStr">
        <is>
          <t>CH</t>
        </is>
      </c>
      <c r="D517" t="inlineStr">
        <is>
          <t>China</t>
        </is>
      </c>
    </row>
    <row r="518">
      <c r="A518" t="inlineStr">
        <is>
          <t>U0517</t>
        </is>
      </c>
      <c r="B518" t="inlineStr">
        <is>
          <t>Hue University</t>
        </is>
      </c>
      <c r="C518" t="inlineStr">
        <is>
          <t>VI</t>
        </is>
      </c>
      <c r="D518" t="inlineStr">
        <is>
          <t>Vietnam</t>
        </is>
      </c>
    </row>
    <row r="519">
      <c r="A519" t="inlineStr">
        <is>
          <t>U0518</t>
        </is>
      </c>
      <c r="B519" t="inlineStr">
        <is>
          <t xml:space="preserve">HUFS - Hankuk (Korea) University of Foreign Studies </t>
        </is>
      </c>
      <c r="C519" t="inlineStr">
        <is>
          <t>SO</t>
        </is>
      </c>
      <c r="D519" t="inlineStr">
        <is>
          <t>South Korea</t>
        </is>
      </c>
    </row>
    <row r="520">
      <c r="A520" t="inlineStr">
        <is>
          <t>U0519</t>
        </is>
      </c>
      <c r="B520" t="inlineStr">
        <is>
          <t>Humanitas University</t>
        </is>
      </c>
      <c r="C520" t="inlineStr">
        <is>
          <t>IT</t>
        </is>
      </c>
      <c r="D520" t="inlineStr">
        <is>
          <t>Italy</t>
        </is>
      </c>
    </row>
    <row r="521">
      <c r="A521" t="inlineStr">
        <is>
          <t>U0520</t>
        </is>
      </c>
      <c r="B521" t="inlineStr">
        <is>
          <t>Humboldt State University</t>
        </is>
      </c>
      <c r="C521" t="inlineStr">
        <is>
          <t>UN</t>
        </is>
      </c>
      <c r="D521" t="inlineStr">
        <is>
          <t>United States</t>
        </is>
      </c>
    </row>
    <row r="522">
      <c r="A522" t="inlineStr">
        <is>
          <t>U0521</t>
        </is>
      </c>
      <c r="B522" t="inlineStr">
        <is>
          <t>Humboldt-Universität zu Berlin</t>
        </is>
      </c>
      <c r="C522" t="inlineStr">
        <is>
          <t>GE</t>
        </is>
      </c>
      <c r="D522" t="inlineStr">
        <is>
          <t>Germany</t>
        </is>
      </c>
    </row>
    <row r="523">
      <c r="A523" t="inlineStr">
        <is>
          <t>U0522</t>
        </is>
      </c>
      <c r="B523" t="inlineStr">
        <is>
          <t>Humboldt University of Berlin</t>
        </is>
      </c>
      <c r="C523" t="inlineStr">
        <is>
          <t>GE</t>
        </is>
      </c>
      <c r="D523" t="inlineStr">
        <is>
          <t>Germany</t>
        </is>
      </c>
    </row>
    <row r="524">
      <c r="A524" t="inlineStr">
        <is>
          <t>U0523</t>
        </is>
      </c>
      <c r="B524" t="inlineStr">
        <is>
          <t xml:space="preserve">Hunan University </t>
        </is>
      </c>
      <c r="C524" t="inlineStr">
        <is>
          <t>CH</t>
        </is>
      </c>
      <c r="D524" t="inlineStr">
        <is>
          <t>China</t>
        </is>
      </c>
    </row>
    <row r="525">
      <c r="A525" t="inlineStr">
        <is>
          <t>U0524</t>
        </is>
      </c>
      <c r="B525" t="inlineStr">
        <is>
          <t>Hungarian University of Agriculture and Life Sciences</t>
        </is>
      </c>
      <c r="C525" t="inlineStr">
        <is>
          <t>HU</t>
        </is>
      </c>
      <c r="D525" t="inlineStr">
        <is>
          <t>Hungary</t>
        </is>
      </c>
    </row>
    <row r="526">
      <c r="A526" t="inlineStr">
        <is>
          <t>U0525</t>
        </is>
      </c>
      <c r="B526" t="inlineStr">
        <is>
          <t>Hyogo Medical University</t>
        </is>
      </c>
      <c r="C526" t="inlineStr">
        <is>
          <t>JA</t>
        </is>
      </c>
      <c r="D526" t="inlineStr">
        <is>
          <t>Japan</t>
        </is>
      </c>
    </row>
    <row r="527">
      <c r="A527" t="inlineStr">
        <is>
          <t>U0526</t>
        </is>
      </c>
      <c r="B527" t="inlineStr">
        <is>
          <t>I-Shou University</t>
        </is>
      </c>
      <c r="C527" t="inlineStr">
        <is>
          <t>TA</t>
        </is>
      </c>
      <c r="D527" t="inlineStr">
        <is>
          <t>Taiwan</t>
        </is>
      </c>
    </row>
    <row r="528">
      <c r="A528" t="inlineStr">
        <is>
          <t>U0527</t>
        </is>
      </c>
      <c r="B528" t="inlineStr">
        <is>
          <t>Ibaraki University</t>
        </is>
      </c>
      <c r="C528" t="inlineStr">
        <is>
          <t>JA</t>
        </is>
      </c>
      <c r="D528" t="inlineStr">
        <is>
          <t>Japan</t>
        </is>
      </c>
    </row>
    <row r="529">
      <c r="A529" t="inlineStr">
        <is>
          <t>U0528</t>
        </is>
      </c>
      <c r="B529" t="inlineStr">
        <is>
          <t>Ibn Tofaïl University</t>
        </is>
      </c>
      <c r="C529" t="inlineStr">
        <is>
          <t>MO</t>
        </is>
      </c>
      <c r="D529" t="inlineStr">
        <is>
          <t>Morocco</t>
        </is>
      </c>
    </row>
    <row r="530">
      <c r="A530" t="inlineStr">
        <is>
          <t>U0529</t>
        </is>
      </c>
      <c r="B530" t="inlineStr">
        <is>
          <t>Icesi University</t>
        </is>
      </c>
      <c r="C530" t="inlineStr">
        <is>
          <t>CO</t>
        </is>
      </c>
      <c r="D530" t="inlineStr">
        <is>
          <t>Colombia</t>
        </is>
      </c>
    </row>
    <row r="531">
      <c r="A531" t="inlineStr">
        <is>
          <t>U0530</t>
        </is>
      </c>
      <c r="B531" t="inlineStr">
        <is>
          <t>IE University</t>
        </is>
      </c>
      <c r="C531" t="inlineStr">
        <is>
          <t>SP</t>
        </is>
      </c>
      <c r="D531" t="inlineStr">
        <is>
          <t>Spain</t>
        </is>
      </c>
    </row>
    <row r="532">
      <c r="A532" t="inlineStr">
        <is>
          <t>U0531</t>
        </is>
      </c>
      <c r="B532" t="inlineStr">
        <is>
          <t>Ilam University</t>
        </is>
      </c>
      <c r="C532" t="inlineStr">
        <is>
          <t>IR</t>
        </is>
      </c>
      <c r="D532" t="inlineStr">
        <is>
          <t>Iran</t>
        </is>
      </c>
    </row>
    <row r="533">
      <c r="A533" t="inlineStr">
        <is>
          <t>U0532</t>
        </is>
      </c>
      <c r="B533" t="inlineStr">
        <is>
          <t>Ilam University of Medical Sciences</t>
        </is>
      </c>
      <c r="C533" t="inlineStr">
        <is>
          <t>IR</t>
        </is>
      </c>
      <c r="D533" t="inlineStr">
        <is>
          <t>Iran</t>
        </is>
      </c>
    </row>
    <row r="534">
      <c r="A534" t="inlineStr">
        <is>
          <t>U0533</t>
        </is>
      </c>
      <c r="B534" t="inlineStr">
        <is>
          <t>Ilia State University</t>
        </is>
      </c>
      <c r="C534" t="inlineStr">
        <is>
          <t>GE</t>
        </is>
      </c>
      <c r="D534" t="inlineStr">
        <is>
          <t>Georgia</t>
        </is>
      </c>
    </row>
    <row r="535">
      <c r="A535" t="inlineStr">
        <is>
          <t>U0534</t>
        </is>
      </c>
      <c r="B535" t="inlineStr">
        <is>
          <t>Illinois Institute of Technology</t>
        </is>
      </c>
      <c r="C535" t="inlineStr">
        <is>
          <t>UN</t>
        </is>
      </c>
      <c r="D535" t="inlineStr">
        <is>
          <t>United States</t>
        </is>
      </c>
    </row>
    <row r="536">
      <c r="A536" t="inlineStr">
        <is>
          <t>U0535</t>
        </is>
      </c>
      <c r="B536" t="inlineStr">
        <is>
          <t>Illinois State University</t>
        </is>
      </c>
      <c r="C536" t="inlineStr">
        <is>
          <t>UN</t>
        </is>
      </c>
      <c r="D536" t="inlineStr">
        <is>
          <t>United States</t>
        </is>
      </c>
    </row>
    <row r="537">
      <c r="A537" t="inlineStr">
        <is>
          <t>U0536</t>
        </is>
      </c>
      <c r="B537" t="inlineStr">
        <is>
          <t>Ilmenau University of Technology</t>
        </is>
      </c>
      <c r="C537" t="inlineStr">
        <is>
          <t>GE</t>
        </is>
      </c>
      <c r="D537" t="inlineStr">
        <is>
          <t>Germany</t>
        </is>
      </c>
    </row>
    <row r="538">
      <c r="A538" t="inlineStr">
        <is>
          <t>U0537</t>
        </is>
      </c>
      <c r="B538" t="inlineStr">
        <is>
          <t>Imam Abdulrahman Bin Faisal University (IAU) (formerly UNIVERSITY OF DAMMAM)</t>
        </is>
      </c>
      <c r="C538" t="inlineStr">
        <is>
          <t>SA</t>
        </is>
      </c>
      <c r="D538" t="inlineStr">
        <is>
          <t>Saudi Arabia</t>
        </is>
      </c>
    </row>
    <row r="539">
      <c r="A539" t="inlineStr">
        <is>
          <t>U0538</t>
        </is>
      </c>
      <c r="B539" t="inlineStr">
        <is>
          <t>Imam Khomeini International University</t>
        </is>
      </c>
      <c r="C539" t="inlineStr">
        <is>
          <t>IR</t>
        </is>
      </c>
      <c r="D539" t="inlineStr">
        <is>
          <t>Iran</t>
        </is>
      </c>
    </row>
    <row r="540">
      <c r="A540" t="inlineStr">
        <is>
          <t>U0539</t>
        </is>
      </c>
      <c r="B540" t="inlineStr">
        <is>
          <t>Imam Mohammad Ibn Saud Islamic University</t>
        </is>
      </c>
      <c r="C540" t="inlineStr">
        <is>
          <t>SA</t>
        </is>
      </c>
      <c r="D540" t="inlineStr">
        <is>
          <t>Saudi Arabia</t>
        </is>
      </c>
    </row>
    <row r="541">
      <c r="A541" t="inlineStr">
        <is>
          <t>U0540</t>
        </is>
      </c>
      <c r="B541" t="inlineStr">
        <is>
          <t>Imam Mohammad Ibn Saud Islamic University – IMSIU</t>
        </is>
      </c>
      <c r="C541" t="inlineStr">
        <is>
          <t>SA</t>
        </is>
      </c>
      <c r="D541" t="inlineStr">
        <is>
          <t>Saudi Arabia</t>
        </is>
      </c>
    </row>
    <row r="542">
      <c r="A542" t="inlineStr">
        <is>
          <t>U0541</t>
        </is>
      </c>
      <c r="B542" t="inlineStr">
        <is>
          <t>Immanuel Kant Baltic Federal University</t>
        </is>
      </c>
      <c r="C542" t="inlineStr">
        <is>
          <t>RU</t>
        </is>
      </c>
      <c r="D542" t="inlineStr">
        <is>
          <t>Russian Federation</t>
        </is>
      </c>
    </row>
    <row r="543">
      <c r="A543" t="inlineStr">
        <is>
          <t>U0542</t>
        </is>
      </c>
      <c r="B543" t="inlineStr">
        <is>
          <t>Imperial College London</t>
        </is>
      </c>
      <c r="C543" t="inlineStr">
        <is>
          <t>UN</t>
        </is>
      </c>
      <c r="D543" t="inlineStr">
        <is>
          <t>United Kingdom</t>
        </is>
      </c>
    </row>
    <row r="544">
      <c r="A544" t="inlineStr">
        <is>
          <t>U0543</t>
        </is>
      </c>
      <c r="B544" t="inlineStr">
        <is>
          <t>IMT Atlantique</t>
        </is>
      </c>
      <c r="C544" t="inlineStr">
        <is>
          <t>FR</t>
        </is>
      </c>
      <c r="D544" t="inlineStr">
        <is>
          <t>France</t>
        </is>
      </c>
    </row>
    <row r="545">
      <c r="A545" t="inlineStr">
        <is>
          <t>U0544</t>
        </is>
      </c>
      <c r="B545" t="inlineStr">
        <is>
          <t>IMT Nord Europe</t>
        </is>
      </c>
      <c r="C545" t="inlineStr">
        <is>
          <t>FR</t>
        </is>
      </c>
      <c r="D545" t="inlineStr">
        <is>
          <t>France</t>
        </is>
      </c>
    </row>
    <row r="546">
      <c r="A546" t="inlineStr">
        <is>
          <t>U0545</t>
        </is>
      </c>
      <c r="B546" t="inlineStr">
        <is>
          <t>Inönü University</t>
        </is>
      </c>
      <c r="C546" t="inlineStr">
        <is>
          <t>TU</t>
        </is>
      </c>
      <c r="D546" t="inlineStr">
        <is>
          <t>Turkey</t>
        </is>
      </c>
    </row>
    <row r="547">
      <c r="A547" t="inlineStr">
        <is>
          <t>U0546</t>
        </is>
      </c>
      <c r="B547" t="inlineStr">
        <is>
          <t>Incheon National University</t>
        </is>
      </c>
      <c r="C547" t="inlineStr">
        <is>
          <t>SO</t>
        </is>
      </c>
      <c r="D547" t="inlineStr">
        <is>
          <t>South Korea</t>
        </is>
      </c>
    </row>
    <row r="548">
      <c r="A548" t="inlineStr">
        <is>
          <t>U0547</t>
        </is>
      </c>
      <c r="B548" t="inlineStr">
        <is>
          <t>Indian Institute of Information Technology, Allahabad</t>
        </is>
      </c>
      <c r="C548" t="inlineStr">
        <is>
          <t>IN</t>
        </is>
      </c>
      <c r="D548" t="inlineStr">
        <is>
          <t>India</t>
        </is>
      </c>
    </row>
    <row r="549">
      <c r="A549" t="inlineStr">
        <is>
          <t>U0548</t>
        </is>
      </c>
      <c r="B549" t="inlineStr">
        <is>
          <t>Indian Institute of Science</t>
        </is>
      </c>
      <c r="C549" t="inlineStr">
        <is>
          <t>IN</t>
        </is>
      </c>
      <c r="D549" t="inlineStr">
        <is>
          <t>India</t>
        </is>
      </c>
    </row>
    <row r="550">
      <c r="A550" t="inlineStr">
        <is>
          <t>U0549</t>
        </is>
      </c>
      <c r="B550" t="inlineStr">
        <is>
          <t>Indian Institute of Science Education and Research Bhopal</t>
        </is>
      </c>
      <c r="C550" t="inlineStr">
        <is>
          <t>IN</t>
        </is>
      </c>
      <c r="D550" t="inlineStr">
        <is>
          <t>India</t>
        </is>
      </c>
    </row>
    <row r="551">
      <c r="A551" t="inlineStr">
        <is>
          <t>U0550</t>
        </is>
      </c>
      <c r="B551" t="inlineStr">
        <is>
          <t>Indian Institute of Science Education and Research Kolkata</t>
        </is>
      </c>
      <c r="C551" t="inlineStr">
        <is>
          <t>IN</t>
        </is>
      </c>
      <c r="D551" t="inlineStr">
        <is>
          <t>India</t>
        </is>
      </c>
    </row>
    <row r="552">
      <c r="A552" t="inlineStr">
        <is>
          <t>U0551</t>
        </is>
      </c>
      <c r="B552" t="inlineStr">
        <is>
          <t>Indian Institute of Science Education and Research, Pune</t>
        </is>
      </c>
      <c r="C552" t="inlineStr">
        <is>
          <t>IN</t>
        </is>
      </c>
      <c r="D552" t="inlineStr">
        <is>
          <t>India</t>
        </is>
      </c>
    </row>
    <row r="553">
      <c r="A553" t="inlineStr">
        <is>
          <t>U0552</t>
        </is>
      </c>
      <c r="B553" t="inlineStr">
        <is>
          <t>Indian Institute of Technology Bhubaneswar</t>
        </is>
      </c>
      <c r="C553" t="inlineStr">
        <is>
          <t>IN</t>
        </is>
      </c>
      <c r="D553" t="inlineStr">
        <is>
          <t>India</t>
        </is>
      </c>
    </row>
    <row r="554">
      <c r="A554" t="inlineStr">
        <is>
          <t>U0553</t>
        </is>
      </c>
      <c r="B554" t="inlineStr">
        <is>
          <t>Indian Institute of Technology Bombay (IITB)</t>
        </is>
      </c>
      <c r="C554" t="inlineStr">
        <is>
          <t>IN</t>
        </is>
      </c>
      <c r="D554" t="inlineStr">
        <is>
          <t>India</t>
        </is>
      </c>
    </row>
    <row r="555">
      <c r="A555" t="inlineStr">
        <is>
          <t>U0554</t>
        </is>
      </c>
      <c r="B555" t="inlineStr">
        <is>
          <t>Indian Institute of Technology Delhi (IITD)</t>
        </is>
      </c>
      <c r="C555" t="inlineStr">
        <is>
          <t>IN</t>
        </is>
      </c>
      <c r="D555" t="inlineStr">
        <is>
          <t>India</t>
        </is>
      </c>
    </row>
    <row r="556">
      <c r="A556" t="inlineStr">
        <is>
          <t>U0555</t>
        </is>
      </c>
      <c r="B556" t="inlineStr">
        <is>
          <t>Indian Institute of Technology (Indian School of Mines) Dhanbad</t>
        </is>
      </c>
      <c r="C556" t="inlineStr">
        <is>
          <t>IN</t>
        </is>
      </c>
      <c r="D556" t="inlineStr">
        <is>
          <t>India</t>
        </is>
      </c>
    </row>
    <row r="557">
      <c r="A557" t="inlineStr">
        <is>
          <t>U0556</t>
        </is>
      </c>
      <c r="B557" t="inlineStr">
        <is>
          <t>Indian Institute of Technology Gandhinagar</t>
        </is>
      </c>
      <c r="C557" t="inlineStr">
        <is>
          <t>IN</t>
        </is>
      </c>
      <c r="D557" t="inlineStr">
        <is>
          <t>India</t>
        </is>
      </c>
    </row>
    <row r="558">
      <c r="A558" t="inlineStr">
        <is>
          <t>U0557</t>
        </is>
      </c>
      <c r="B558" t="inlineStr">
        <is>
          <t>Indian Institute of Technology Guwahati (IITG)</t>
        </is>
      </c>
      <c r="C558" t="inlineStr">
        <is>
          <t>IN</t>
        </is>
      </c>
      <c r="D558" t="inlineStr">
        <is>
          <t>India</t>
        </is>
      </c>
    </row>
    <row r="559">
      <c r="A559" t="inlineStr">
        <is>
          <t>U0558</t>
        </is>
      </c>
      <c r="B559" t="inlineStr">
        <is>
          <t>Indian Institute of Technology Hyderabad</t>
        </is>
      </c>
      <c r="C559" t="inlineStr">
        <is>
          <t>IN</t>
        </is>
      </c>
      <c r="D559" t="inlineStr">
        <is>
          <t>India</t>
        </is>
      </c>
    </row>
    <row r="560">
      <c r="A560" t="inlineStr">
        <is>
          <t>U0559</t>
        </is>
      </c>
      <c r="B560" t="inlineStr">
        <is>
          <t>Indian Institute of Technology Indore (IIT Indore)</t>
        </is>
      </c>
      <c r="C560" t="inlineStr">
        <is>
          <t>IN</t>
        </is>
      </c>
      <c r="D560" t="inlineStr">
        <is>
          <t>India</t>
        </is>
      </c>
    </row>
    <row r="561">
      <c r="A561" t="inlineStr">
        <is>
          <t>U0560</t>
        </is>
      </c>
      <c r="B561" t="inlineStr">
        <is>
          <t>Indian Institute of Technology Kanpur (IITK)</t>
        </is>
      </c>
      <c r="C561" t="inlineStr">
        <is>
          <t>IN</t>
        </is>
      </c>
      <c r="D561" t="inlineStr">
        <is>
          <t>India</t>
        </is>
      </c>
    </row>
    <row r="562">
      <c r="A562" t="inlineStr">
        <is>
          <t>U0561</t>
        </is>
      </c>
      <c r="B562" t="inlineStr">
        <is>
          <t>Indian Institute of Technology Kharagpur (IIT-KGP)</t>
        </is>
      </c>
      <c r="C562" t="inlineStr">
        <is>
          <t>IN</t>
        </is>
      </c>
      <c r="D562" t="inlineStr">
        <is>
          <t>India</t>
        </is>
      </c>
    </row>
    <row r="563">
      <c r="A563" t="inlineStr">
        <is>
          <t>U0562</t>
        </is>
      </c>
      <c r="B563" t="inlineStr">
        <is>
          <t>Indian Institute of Technology Madras (IITM)</t>
        </is>
      </c>
      <c r="C563" t="inlineStr">
        <is>
          <t>IN</t>
        </is>
      </c>
      <c r="D563" t="inlineStr">
        <is>
          <t>India</t>
        </is>
      </c>
    </row>
    <row r="564">
      <c r="A564" t="inlineStr">
        <is>
          <t>U0563</t>
        </is>
      </c>
      <c r="B564" t="inlineStr">
        <is>
          <t>Indian Institute of Technology Mandi</t>
        </is>
      </c>
      <c r="C564" t="inlineStr">
        <is>
          <t>IN</t>
        </is>
      </c>
      <c r="D564" t="inlineStr">
        <is>
          <t>India</t>
        </is>
      </c>
    </row>
    <row r="565">
      <c r="A565" t="inlineStr">
        <is>
          <t>U0564</t>
        </is>
      </c>
      <c r="B565" t="inlineStr">
        <is>
          <t>Indian Institute of Technology Patna</t>
        </is>
      </c>
      <c r="C565" t="inlineStr">
        <is>
          <t>IN</t>
        </is>
      </c>
      <c r="D565" t="inlineStr">
        <is>
          <t>India</t>
        </is>
      </c>
    </row>
    <row r="566">
      <c r="A566" t="inlineStr">
        <is>
          <t>U0565</t>
        </is>
      </c>
      <c r="B566" t="inlineStr">
        <is>
          <t>Indian Institute of Technology Roorkee (IITR)</t>
        </is>
      </c>
      <c r="C566" t="inlineStr">
        <is>
          <t>IN</t>
        </is>
      </c>
      <c r="D566" t="inlineStr">
        <is>
          <t>India</t>
        </is>
      </c>
    </row>
    <row r="567">
      <c r="A567" t="inlineStr">
        <is>
          <t>U0566</t>
        </is>
      </c>
      <c r="B567" t="inlineStr">
        <is>
          <t>Indian Institute of Technology Ropar</t>
        </is>
      </c>
      <c r="C567" t="inlineStr">
        <is>
          <t>IN</t>
        </is>
      </c>
      <c r="D567" t="inlineStr">
        <is>
          <t>India</t>
        </is>
      </c>
    </row>
    <row r="568">
      <c r="A568" t="inlineStr">
        <is>
          <t>U0567</t>
        </is>
      </c>
      <c r="B568" t="inlineStr">
        <is>
          <t>Indian Institute of Technology (BHU) Varanasi</t>
        </is>
      </c>
      <c r="C568" t="inlineStr">
        <is>
          <t>IN</t>
        </is>
      </c>
      <c r="D568" t="inlineStr">
        <is>
          <t>India</t>
        </is>
      </c>
    </row>
    <row r="569">
      <c r="A569" t="inlineStr">
        <is>
          <t>U0568</t>
        </is>
      </c>
      <c r="B569" t="inlineStr">
        <is>
          <t>Indiana State University</t>
        </is>
      </c>
      <c r="C569" t="inlineStr">
        <is>
          <t>UN</t>
        </is>
      </c>
      <c r="D569" t="inlineStr">
        <is>
          <t>United States</t>
        </is>
      </c>
    </row>
    <row r="570">
      <c r="A570" t="inlineStr">
        <is>
          <t>U0569</t>
        </is>
      </c>
      <c r="B570" t="inlineStr">
        <is>
          <t>Indiana University</t>
        </is>
      </c>
      <c r="C570" t="inlineStr">
        <is>
          <t>UN</t>
        </is>
      </c>
      <c r="D570" t="inlineStr">
        <is>
          <t>United States</t>
        </is>
      </c>
    </row>
    <row r="571">
      <c r="A571" t="inlineStr">
        <is>
          <t>U0570</t>
        </is>
      </c>
      <c r="B571" t="inlineStr">
        <is>
          <t>Indiana University Bloomington</t>
        </is>
      </c>
      <c r="C571" t="inlineStr">
        <is>
          <t>UN</t>
        </is>
      </c>
      <c r="D571" t="inlineStr">
        <is>
          <t>United States</t>
        </is>
      </c>
    </row>
    <row r="572">
      <c r="A572" t="inlineStr">
        <is>
          <t>U0571</t>
        </is>
      </c>
      <c r="B572" t="inlineStr">
        <is>
          <t>Indiana University–Purdue University Indianapolis</t>
        </is>
      </c>
      <c r="C572" t="inlineStr">
        <is>
          <t>UN</t>
        </is>
      </c>
      <c r="D572" t="inlineStr">
        <is>
          <t>United States</t>
        </is>
      </c>
    </row>
    <row r="573">
      <c r="A573" t="inlineStr">
        <is>
          <t>U0572</t>
        </is>
      </c>
      <c r="B573" t="inlineStr">
        <is>
          <t>Indraprastha Institute of Information Technology Delhi</t>
        </is>
      </c>
      <c r="C573" t="inlineStr">
        <is>
          <t>IN</t>
        </is>
      </c>
      <c r="D573" t="inlineStr">
        <is>
          <t>India</t>
        </is>
      </c>
    </row>
    <row r="574">
      <c r="A574" t="inlineStr">
        <is>
          <t>U0573</t>
        </is>
      </c>
      <c r="B574" t="inlineStr">
        <is>
          <t>Industrial University of Tyumen</t>
        </is>
      </c>
      <c r="C574" t="inlineStr">
        <is>
          <t>RU</t>
        </is>
      </c>
      <c r="D574" t="inlineStr">
        <is>
          <t>Russian Federation</t>
        </is>
      </c>
    </row>
    <row r="575">
      <c r="A575" t="inlineStr">
        <is>
          <t>U0574</t>
        </is>
      </c>
      <c r="B575" t="inlineStr">
        <is>
          <t>Inha University</t>
        </is>
      </c>
      <c r="C575" t="inlineStr">
        <is>
          <t>SO</t>
        </is>
      </c>
      <c r="D575" t="inlineStr">
        <is>
          <t>South Korea</t>
        </is>
      </c>
    </row>
    <row r="576">
      <c r="A576" t="inlineStr">
        <is>
          <t>U0575</t>
        </is>
      </c>
      <c r="B576" t="inlineStr">
        <is>
          <t>Institut Agro</t>
        </is>
      </c>
      <c r="C576" t="inlineStr">
        <is>
          <t>FR</t>
        </is>
      </c>
      <c r="D576" t="inlineStr">
        <is>
          <t>France</t>
        </is>
      </c>
    </row>
    <row r="577">
      <c r="A577" t="inlineStr">
        <is>
          <t>U0576</t>
        </is>
      </c>
      <c r="B577" t="inlineStr">
        <is>
          <t>Institut National des Sciences Appliquées de Lyon (INSA)</t>
        </is>
      </c>
      <c r="C577" t="inlineStr">
        <is>
          <t>FR</t>
        </is>
      </c>
      <c r="D577" t="inlineStr">
        <is>
          <t>France</t>
        </is>
      </c>
    </row>
    <row r="578">
      <c r="A578" t="inlineStr">
        <is>
          <t>U0577</t>
        </is>
      </c>
      <c r="B578" t="inlineStr">
        <is>
          <t>Institut Polytechnique de Paris</t>
        </is>
      </c>
      <c r="C578" t="inlineStr">
        <is>
          <t>FR</t>
        </is>
      </c>
      <c r="D578" t="inlineStr">
        <is>
          <t>France</t>
        </is>
      </c>
    </row>
    <row r="579">
      <c r="A579" t="inlineStr">
        <is>
          <t>U0578</t>
        </is>
      </c>
      <c r="B579" t="inlineStr">
        <is>
          <t>Institut Teknologi Sepuluh Nopember (ITS Surabaya)</t>
        </is>
      </c>
      <c r="C579" t="inlineStr">
        <is>
          <t>IN</t>
        </is>
      </c>
      <c r="D579" t="inlineStr">
        <is>
          <t>Indonesia</t>
        </is>
      </c>
    </row>
    <row r="580">
      <c r="A580" t="inlineStr">
        <is>
          <t>U0579</t>
        </is>
      </c>
      <c r="B580" t="inlineStr">
        <is>
          <t>Institute of Chemical Technology</t>
        </is>
      </c>
      <c r="C580" t="inlineStr">
        <is>
          <t>IN</t>
        </is>
      </c>
      <c r="D580" t="inlineStr">
        <is>
          <t>India</t>
        </is>
      </c>
    </row>
    <row r="581">
      <c r="A581" t="inlineStr">
        <is>
          <t>U0580</t>
        </is>
      </c>
      <c r="B581" t="inlineStr">
        <is>
          <t>Institute of Space Technology</t>
        </is>
      </c>
      <c r="C581" t="inlineStr">
        <is>
          <t>PA</t>
        </is>
      </c>
      <c r="D581" t="inlineStr">
        <is>
          <t>Pakistan</t>
        </is>
      </c>
    </row>
    <row r="582">
      <c r="A582" t="inlineStr">
        <is>
          <t>U0581</t>
        </is>
      </c>
      <c r="B582" t="inlineStr">
        <is>
          <t>Instituto Politécnico de Bragança</t>
        </is>
      </c>
      <c r="C582" t="inlineStr">
        <is>
          <t>PO</t>
        </is>
      </c>
      <c r="D582" t="inlineStr">
        <is>
          <t>Portugal</t>
        </is>
      </c>
    </row>
    <row r="583">
      <c r="A583" t="inlineStr">
        <is>
          <t>U0582</t>
        </is>
      </c>
      <c r="B583" t="inlineStr">
        <is>
          <t>Instituto Politécnico de Viana do Castelo</t>
        </is>
      </c>
      <c r="C583" t="inlineStr">
        <is>
          <t>PO</t>
        </is>
      </c>
      <c r="D583" t="inlineStr">
        <is>
          <t>Portugal</t>
        </is>
      </c>
    </row>
    <row r="584">
      <c r="A584" t="inlineStr">
        <is>
          <t>U0583</t>
        </is>
      </c>
      <c r="B584" t="inlineStr">
        <is>
          <t>Instituto Politécnico Nacional (IPN)</t>
        </is>
      </c>
      <c r="C584" t="inlineStr">
        <is>
          <t>ME</t>
        </is>
      </c>
      <c r="D584" t="inlineStr">
        <is>
          <t>Mexico</t>
        </is>
      </c>
    </row>
    <row r="585">
      <c r="A585" t="inlineStr">
        <is>
          <t>U0584</t>
        </is>
      </c>
      <c r="B585" t="inlineStr">
        <is>
          <t>Instituto Tecnológico Autónomo de México (ITAM)</t>
        </is>
      </c>
      <c r="C585" t="inlineStr">
        <is>
          <t>ME</t>
        </is>
      </c>
      <c r="D585" t="inlineStr">
        <is>
          <t>Mexico</t>
        </is>
      </c>
    </row>
    <row r="586">
      <c r="A586" t="inlineStr">
        <is>
          <t>U0585</t>
        </is>
      </c>
      <c r="B586" t="inlineStr">
        <is>
          <t>Instituto Tecnológico de Buenos Aires (ITBA)</t>
        </is>
      </c>
      <c r="C586" t="inlineStr">
        <is>
          <t>AR</t>
        </is>
      </c>
      <c r="D586" t="inlineStr">
        <is>
          <t>Argentina</t>
        </is>
      </c>
    </row>
    <row r="587">
      <c r="A587" t="inlineStr">
        <is>
          <t>U0586</t>
        </is>
      </c>
      <c r="B587" t="inlineStr">
        <is>
          <t>Instituto Tecnológico de Santo Domingo (INTEC)</t>
        </is>
      </c>
      <c r="C587" t="inlineStr">
        <is>
          <t>DO</t>
        </is>
      </c>
      <c r="D587" t="inlineStr">
        <is>
          <t>Dominican Republic</t>
        </is>
      </c>
    </row>
    <row r="588">
      <c r="A588" t="inlineStr">
        <is>
          <t>U0587</t>
        </is>
      </c>
      <c r="B588" t="inlineStr">
        <is>
          <t>International Christian University</t>
        </is>
      </c>
      <c r="C588" t="inlineStr">
        <is>
          <t>JA</t>
        </is>
      </c>
      <c r="D588" t="inlineStr">
        <is>
          <t>Japan</t>
        </is>
      </c>
    </row>
    <row r="589">
      <c r="A589" t="inlineStr">
        <is>
          <t>U0588</t>
        </is>
      </c>
      <c r="B589" t="inlineStr">
        <is>
          <t>International Hellenic University</t>
        </is>
      </c>
      <c r="C589" t="inlineStr">
        <is>
          <t>GR</t>
        </is>
      </c>
      <c r="D589" t="inlineStr">
        <is>
          <t>Greece</t>
        </is>
      </c>
    </row>
    <row r="590">
      <c r="A590" t="inlineStr">
        <is>
          <t>U0589</t>
        </is>
      </c>
      <c r="B590" t="inlineStr">
        <is>
          <t>International Institute of Information Technology, Hyderabad</t>
        </is>
      </c>
      <c r="C590" t="inlineStr">
        <is>
          <t>IN</t>
        </is>
      </c>
      <c r="D590" t="inlineStr">
        <is>
          <t>India</t>
        </is>
      </c>
    </row>
    <row r="591">
      <c r="A591" t="inlineStr">
        <is>
          <t>U0590</t>
        </is>
      </c>
      <c r="B591" t="inlineStr">
        <is>
          <t>International Islamic University Islamabad (IIU)</t>
        </is>
      </c>
      <c r="C591" t="inlineStr">
        <is>
          <t>PA</t>
        </is>
      </c>
      <c r="D591" t="inlineStr">
        <is>
          <t>Pakistan</t>
        </is>
      </c>
    </row>
    <row r="592">
      <c r="A592" t="inlineStr">
        <is>
          <t>U0591</t>
        </is>
      </c>
      <c r="B592" t="inlineStr">
        <is>
          <t>International Islamic University Malaysia (IIUM)</t>
        </is>
      </c>
      <c r="C592" t="inlineStr">
        <is>
          <t>MA</t>
        </is>
      </c>
      <c r="D592" t="inlineStr">
        <is>
          <t>Malaysia</t>
        </is>
      </c>
    </row>
    <row r="593">
      <c r="A593" t="inlineStr">
        <is>
          <t>U0592</t>
        </is>
      </c>
      <c r="B593" t="inlineStr">
        <is>
          <t>International University of Business, Agriculture and Technology (IUBAT)</t>
        </is>
      </c>
      <c r="C593" t="inlineStr">
        <is>
          <t>BA</t>
        </is>
      </c>
      <c r="D593" t="inlineStr">
        <is>
          <t>Bangladesh</t>
        </is>
      </c>
    </row>
    <row r="594">
      <c r="A594" t="inlineStr">
        <is>
          <t>U0593</t>
        </is>
      </c>
      <c r="B594" t="inlineStr">
        <is>
          <t>INTI International University</t>
        </is>
      </c>
      <c r="C594" t="inlineStr">
        <is>
          <t>MA</t>
        </is>
      </c>
      <c r="D594" t="inlineStr">
        <is>
          <t>Malaysia</t>
        </is>
      </c>
    </row>
    <row r="595">
      <c r="A595" t="inlineStr">
        <is>
          <t>U0594</t>
        </is>
      </c>
      <c r="B595" t="inlineStr">
        <is>
          <t>Iowa State University</t>
        </is>
      </c>
      <c r="C595" t="inlineStr">
        <is>
          <t>UN</t>
        </is>
      </c>
      <c r="D595" t="inlineStr">
        <is>
          <t>United States</t>
        </is>
      </c>
    </row>
    <row r="596">
      <c r="A596" t="inlineStr">
        <is>
          <t>U0595</t>
        </is>
      </c>
      <c r="B596" t="inlineStr">
        <is>
          <t>IPB University (a.k.a. Bogor Agricultural University)</t>
        </is>
      </c>
      <c r="C596" t="inlineStr">
        <is>
          <t>IN</t>
        </is>
      </c>
      <c r="D596" t="inlineStr">
        <is>
          <t>Indonesia</t>
        </is>
      </c>
    </row>
    <row r="597">
      <c r="A597" t="inlineStr">
        <is>
          <t>U0596</t>
        </is>
      </c>
      <c r="B597" t="inlineStr">
        <is>
          <t>Iran University of Medical Sciences</t>
        </is>
      </c>
      <c r="C597" t="inlineStr">
        <is>
          <t>IR</t>
        </is>
      </c>
      <c r="D597" t="inlineStr">
        <is>
          <t>Iran</t>
        </is>
      </c>
    </row>
    <row r="598">
      <c r="A598" t="inlineStr">
        <is>
          <t>U0597</t>
        </is>
      </c>
      <c r="B598" t="inlineStr">
        <is>
          <t>Iran University of Science and Technology</t>
        </is>
      </c>
      <c r="C598" t="inlineStr">
        <is>
          <t>IR</t>
        </is>
      </c>
      <c r="D598" t="inlineStr">
        <is>
          <t>Iran</t>
        </is>
      </c>
    </row>
    <row r="599">
      <c r="A599" t="inlineStr">
        <is>
          <t>U0598</t>
        </is>
      </c>
      <c r="B599" t="inlineStr">
        <is>
          <t>Irkutsk National Research Technical University</t>
        </is>
      </c>
      <c r="C599" t="inlineStr">
        <is>
          <t>RU</t>
        </is>
      </c>
      <c r="D599" t="inlineStr">
        <is>
          <t>Russian Federation</t>
        </is>
      </c>
    </row>
    <row r="600">
      <c r="A600" t="inlineStr">
        <is>
          <t>U0599</t>
        </is>
      </c>
      <c r="B600" t="inlineStr">
        <is>
          <t>Irkutsk State University</t>
        </is>
      </c>
      <c r="C600" t="inlineStr">
        <is>
          <t>RU</t>
        </is>
      </c>
      <c r="D600" t="inlineStr">
        <is>
          <t>Russian Federation</t>
        </is>
      </c>
    </row>
    <row r="601">
      <c r="A601" t="inlineStr">
        <is>
          <t>U0600</t>
        </is>
      </c>
      <c r="B601" t="inlineStr">
        <is>
          <t>ISCTE - Instituto Universitario de Lisboa</t>
        </is>
      </c>
      <c r="C601" t="inlineStr">
        <is>
          <t>PO</t>
        </is>
      </c>
      <c r="D601" t="inlineStr">
        <is>
          <t>Portugal</t>
        </is>
      </c>
    </row>
    <row r="602">
      <c r="A602" t="inlineStr">
        <is>
          <t>U0601</t>
        </is>
      </c>
      <c r="B602" t="inlineStr">
        <is>
          <t>ISCTE-University Institute of Lisbon</t>
        </is>
      </c>
      <c r="C602" t="inlineStr">
        <is>
          <t>PO</t>
        </is>
      </c>
      <c r="D602" t="inlineStr">
        <is>
          <t>Portugal</t>
        </is>
      </c>
    </row>
    <row r="603">
      <c r="A603" t="inlineStr">
        <is>
          <t>U0602</t>
        </is>
      </c>
      <c r="B603" t="inlineStr">
        <is>
          <t>Isfahan University of Medical Sciences</t>
        </is>
      </c>
      <c r="C603" t="inlineStr">
        <is>
          <t>IR</t>
        </is>
      </c>
      <c r="D603" t="inlineStr">
        <is>
          <t>Iran</t>
        </is>
      </c>
    </row>
    <row r="604">
      <c r="A604" t="inlineStr">
        <is>
          <t>U0603</t>
        </is>
      </c>
      <c r="B604" t="inlineStr">
        <is>
          <t>Isfahan University of Technology</t>
        </is>
      </c>
      <c r="C604" t="inlineStr">
        <is>
          <t>IR</t>
        </is>
      </c>
      <c r="D604" t="inlineStr">
        <is>
          <t>Iran</t>
        </is>
      </c>
    </row>
    <row r="605">
      <c r="A605" t="inlineStr">
        <is>
          <t>U0604</t>
        </is>
      </c>
      <c r="B605" t="inlineStr">
        <is>
          <t>Islamia College Peshawar</t>
        </is>
      </c>
      <c r="C605" t="inlineStr">
        <is>
          <t>PA</t>
        </is>
      </c>
      <c r="D605" t="inlineStr">
        <is>
          <t>Pakistan</t>
        </is>
      </c>
    </row>
    <row r="606">
      <c r="A606" t="inlineStr">
        <is>
          <t>U0605</t>
        </is>
      </c>
      <c r="B606" t="inlineStr">
        <is>
          <t>The Islamia University of Bahawalpur</t>
        </is>
      </c>
      <c r="C606" t="inlineStr">
        <is>
          <t>PA</t>
        </is>
      </c>
      <c r="D606" t="inlineStr">
        <is>
          <t>Pakistan</t>
        </is>
      </c>
    </row>
    <row r="607">
      <c r="A607" t="inlineStr">
        <is>
          <t>U0606</t>
        </is>
      </c>
      <c r="B607" t="inlineStr">
        <is>
          <t>Islamic University of Indonesia</t>
        </is>
      </c>
      <c r="C607" t="inlineStr">
        <is>
          <t>IN</t>
        </is>
      </c>
      <c r="D607" t="inlineStr">
        <is>
          <t>Indonesia</t>
        </is>
      </c>
    </row>
    <row r="608">
      <c r="A608" t="inlineStr">
        <is>
          <t>U0607</t>
        </is>
      </c>
      <c r="B608" t="inlineStr">
        <is>
          <t>Islamic University of Madinah</t>
        </is>
      </c>
      <c r="C608" t="inlineStr">
        <is>
          <t>SA</t>
        </is>
      </c>
      <c r="D608" t="inlineStr">
        <is>
          <t>Saudi Arabia</t>
        </is>
      </c>
    </row>
    <row r="609">
      <c r="A609" t="inlineStr">
        <is>
          <t>U0608</t>
        </is>
      </c>
      <c r="B609" t="inlineStr">
        <is>
          <t>Istanbul Aydın University</t>
        </is>
      </c>
      <c r="C609" t="inlineStr">
        <is>
          <t>TU</t>
        </is>
      </c>
      <c r="D609" t="inlineStr">
        <is>
          <t>Turkey</t>
        </is>
      </c>
    </row>
    <row r="610">
      <c r="A610" t="inlineStr">
        <is>
          <t>U0609</t>
        </is>
      </c>
      <c r="B610" t="inlineStr">
        <is>
          <t xml:space="preserve">Istanbul Aydin University  </t>
        </is>
      </c>
      <c r="C610" t="inlineStr">
        <is>
          <t>TU</t>
        </is>
      </c>
      <c r="D610" t="inlineStr">
        <is>
          <t>Turkey</t>
        </is>
      </c>
    </row>
    <row r="611">
      <c r="A611" t="inlineStr">
        <is>
          <t>U0610</t>
        </is>
      </c>
      <c r="B611" t="inlineStr">
        <is>
          <t>Istanbul Bilgi Üniversitesi</t>
        </is>
      </c>
      <c r="C611" t="inlineStr">
        <is>
          <t>TU</t>
        </is>
      </c>
      <c r="D611" t="inlineStr">
        <is>
          <t>Turkey</t>
        </is>
      </c>
    </row>
    <row r="612">
      <c r="A612" t="inlineStr">
        <is>
          <t>U0611</t>
        </is>
      </c>
      <c r="B612" t="inlineStr">
        <is>
          <t>Istanbul Bilgi University</t>
        </is>
      </c>
      <c r="C612" t="inlineStr">
        <is>
          <t>TU</t>
        </is>
      </c>
      <c r="D612" t="inlineStr">
        <is>
          <t>Turkey</t>
        </is>
      </c>
    </row>
    <row r="613">
      <c r="A613" t="inlineStr">
        <is>
          <t>U0612</t>
        </is>
      </c>
      <c r="B613" t="inlineStr">
        <is>
          <t>Istanbul Medeniyet University</t>
        </is>
      </c>
      <c r="C613" t="inlineStr">
        <is>
          <t>TU</t>
        </is>
      </c>
      <c r="D613" t="inlineStr">
        <is>
          <t>Turkey</t>
        </is>
      </c>
    </row>
    <row r="614">
      <c r="A614" t="inlineStr">
        <is>
          <t>U0613</t>
        </is>
      </c>
      <c r="B614" t="inlineStr">
        <is>
          <t>Istanbul Medipol University</t>
        </is>
      </c>
      <c r="C614" t="inlineStr">
        <is>
          <t>TU</t>
        </is>
      </c>
      <c r="D614" t="inlineStr">
        <is>
          <t>Turkey</t>
        </is>
      </c>
    </row>
    <row r="615">
      <c r="A615" t="inlineStr">
        <is>
          <t>U0614</t>
        </is>
      </c>
      <c r="B615" t="inlineStr">
        <is>
          <t>Istanbul Technical University</t>
        </is>
      </c>
      <c r="C615" t="inlineStr">
        <is>
          <t>TU</t>
        </is>
      </c>
      <c r="D615" t="inlineStr">
        <is>
          <t>Turkey</t>
        </is>
      </c>
    </row>
    <row r="616">
      <c r="A616" t="inlineStr">
        <is>
          <t>U0615</t>
        </is>
      </c>
      <c r="B616" t="inlineStr">
        <is>
          <t>Istanbul University</t>
        </is>
      </c>
      <c r="C616" t="inlineStr">
        <is>
          <t>TU</t>
        </is>
      </c>
      <c r="D616" t="inlineStr">
        <is>
          <t>Turkey</t>
        </is>
      </c>
    </row>
    <row r="617">
      <c r="A617" t="inlineStr">
        <is>
          <t>U0616</t>
        </is>
      </c>
      <c r="B617" t="inlineStr">
        <is>
          <t>Istanbul University-Cerrahpaşa</t>
        </is>
      </c>
      <c r="C617" t="inlineStr">
        <is>
          <t>TU</t>
        </is>
      </c>
      <c r="D617" t="inlineStr">
        <is>
          <t>Turkey</t>
        </is>
      </c>
    </row>
    <row r="618">
      <c r="A618" t="inlineStr">
        <is>
          <t>U0617</t>
        </is>
      </c>
      <c r="B618" t="inlineStr">
        <is>
          <t>ITESO, Universidad Jesuita de Guadalajara</t>
        </is>
      </c>
      <c r="C618" t="inlineStr">
        <is>
          <t>ME</t>
        </is>
      </c>
      <c r="D618" t="inlineStr">
        <is>
          <t>Mexico</t>
        </is>
      </c>
    </row>
    <row r="619">
      <c r="A619" t="inlineStr">
        <is>
          <t>U0618</t>
        </is>
      </c>
      <c r="B619" t="inlineStr">
        <is>
          <t>ITMO University</t>
        </is>
      </c>
      <c r="C619" t="inlineStr">
        <is>
          <t>RU</t>
        </is>
      </c>
      <c r="D619" t="inlineStr">
        <is>
          <t>Russian Federation</t>
        </is>
      </c>
    </row>
    <row r="620">
      <c r="A620" t="inlineStr">
        <is>
          <t>U0619</t>
        </is>
      </c>
      <c r="B620" t="inlineStr">
        <is>
          <t>Iuliu Haţieganu University of Medicine and Pharmacy Cluj-Napoca</t>
        </is>
      </c>
      <c r="C620" t="inlineStr">
        <is>
          <t>RO</t>
        </is>
      </c>
      <c r="D620" t="inlineStr">
        <is>
          <t>Romania</t>
        </is>
      </c>
    </row>
    <row r="621">
      <c r="A621" t="inlineStr">
        <is>
          <t>U0620</t>
        </is>
      </c>
      <c r="B621" t="inlineStr">
        <is>
          <t>Ivan Franko National University of Lviv</t>
        </is>
      </c>
      <c r="C621" t="inlineStr">
        <is>
          <t>UK</t>
        </is>
      </c>
      <c r="D621" t="inlineStr">
        <is>
          <t>Ukraine</t>
        </is>
      </c>
    </row>
    <row r="622">
      <c r="A622" t="inlineStr">
        <is>
          <t>U0621</t>
        </is>
      </c>
      <c r="B622" t="inlineStr">
        <is>
          <t>Ivane Javakhishvili Tbilisi State University</t>
        </is>
      </c>
      <c r="C622" t="inlineStr">
        <is>
          <t>GE</t>
        </is>
      </c>
      <c r="D622" t="inlineStr">
        <is>
          <t>Georgia</t>
        </is>
      </c>
    </row>
    <row r="623">
      <c r="A623" t="inlineStr">
        <is>
          <t>U0622</t>
        </is>
      </c>
      <c r="B623" t="inlineStr">
        <is>
          <t>Ivanovo State University of Chemistry and Technology</t>
        </is>
      </c>
      <c r="C623" t="inlineStr">
        <is>
          <t>RU</t>
        </is>
      </c>
      <c r="D623" t="inlineStr">
        <is>
          <t>Russian Federation</t>
        </is>
      </c>
    </row>
    <row r="624">
      <c r="A624" t="inlineStr">
        <is>
          <t>U0623</t>
        </is>
      </c>
      <c r="B624" t="inlineStr">
        <is>
          <t>Iwate University</t>
        </is>
      </c>
      <c r="C624" t="inlineStr">
        <is>
          <t>JA</t>
        </is>
      </c>
      <c r="D624" t="inlineStr">
        <is>
          <t>Japan</t>
        </is>
      </c>
    </row>
    <row r="625">
      <c r="A625" t="inlineStr">
        <is>
          <t>U0624</t>
        </is>
      </c>
      <c r="B625" t="inlineStr">
        <is>
          <t>Izmir Institute of Technology (IZTECH)</t>
        </is>
      </c>
      <c r="C625" t="inlineStr">
        <is>
          <t>TU</t>
        </is>
      </c>
      <c r="D625" t="inlineStr">
        <is>
          <t>Turkey</t>
        </is>
      </c>
    </row>
    <row r="626">
      <c r="A626" t="inlineStr">
        <is>
          <t>U0625</t>
        </is>
      </c>
      <c r="B626" t="inlineStr">
        <is>
          <t>Izmir University of Economics</t>
        </is>
      </c>
      <c r="C626" t="inlineStr">
        <is>
          <t>TU</t>
        </is>
      </c>
      <c r="D626" t="inlineStr">
        <is>
          <t>Turkey</t>
        </is>
      </c>
    </row>
    <row r="627">
      <c r="A627" t="inlineStr">
        <is>
          <t>U0626</t>
        </is>
      </c>
      <c r="B627" t="inlineStr">
        <is>
          <t>Jönköping University</t>
        </is>
      </c>
      <c r="C627" t="inlineStr">
        <is>
          <t>SW</t>
        </is>
      </c>
      <c r="D627" t="inlineStr">
        <is>
          <t>Sweden</t>
        </is>
      </c>
    </row>
    <row r="628">
      <c r="A628" t="inlineStr">
        <is>
          <t>U0627</t>
        </is>
      </c>
      <c r="B628" t="inlineStr">
        <is>
          <t>Jadavpur University</t>
        </is>
      </c>
      <c r="C628" t="inlineStr">
        <is>
          <t>IN</t>
        </is>
      </c>
      <c r="D628" t="inlineStr">
        <is>
          <t>India</t>
        </is>
      </c>
    </row>
    <row r="629">
      <c r="A629" t="inlineStr">
        <is>
          <t>U0628</t>
        </is>
      </c>
      <c r="B629" t="inlineStr">
        <is>
          <t>Jagiellonian University</t>
        </is>
      </c>
      <c r="C629" t="inlineStr">
        <is>
          <t>PO</t>
        </is>
      </c>
      <c r="D629" t="inlineStr">
        <is>
          <t>Poland</t>
        </is>
      </c>
    </row>
    <row r="630">
      <c r="A630" t="inlineStr">
        <is>
          <t>U0629</t>
        </is>
      </c>
      <c r="B630" t="inlineStr">
        <is>
          <t>Jahangirnagar University</t>
        </is>
      </c>
      <c r="C630" t="inlineStr">
        <is>
          <t>BA</t>
        </is>
      </c>
      <c r="D630" t="inlineStr">
        <is>
          <t>Bangladesh</t>
        </is>
      </c>
    </row>
    <row r="631">
      <c r="A631" t="inlineStr">
        <is>
          <t>U0630</t>
        </is>
      </c>
      <c r="B631" t="inlineStr">
        <is>
          <t>James Cook University</t>
        </is>
      </c>
      <c r="C631" t="inlineStr">
        <is>
          <t>AU</t>
        </is>
      </c>
      <c r="D631" t="inlineStr">
        <is>
          <t>Australia</t>
        </is>
      </c>
    </row>
    <row r="632">
      <c r="A632" t="inlineStr">
        <is>
          <t>U0631</t>
        </is>
      </c>
      <c r="B632" t="inlineStr">
        <is>
          <t>Jamia Hamdard</t>
        </is>
      </c>
      <c r="C632" t="inlineStr">
        <is>
          <t>IN</t>
        </is>
      </c>
      <c r="D632" t="inlineStr">
        <is>
          <t>India</t>
        </is>
      </c>
    </row>
    <row r="633">
      <c r="A633" t="inlineStr">
        <is>
          <t>U0632</t>
        </is>
      </c>
      <c r="B633" t="inlineStr">
        <is>
          <t>Jamia Hamdard University</t>
        </is>
      </c>
      <c r="C633" t="inlineStr">
        <is>
          <t>IN</t>
        </is>
      </c>
      <c r="D633" t="inlineStr">
        <is>
          <t>India</t>
        </is>
      </c>
    </row>
    <row r="634">
      <c r="A634" t="inlineStr">
        <is>
          <t>U0633</t>
        </is>
      </c>
      <c r="B634" t="inlineStr">
        <is>
          <t>Jamia Millia Islamia</t>
        </is>
      </c>
      <c r="C634" t="inlineStr">
        <is>
          <t>IN</t>
        </is>
      </c>
      <c r="D634" t="inlineStr">
        <is>
          <t>India</t>
        </is>
      </c>
    </row>
    <row r="635">
      <c r="A635" t="inlineStr">
        <is>
          <t>U0634</t>
        </is>
      </c>
      <c r="B635" t="inlineStr">
        <is>
          <t>Jan Evangelista Purkyně University</t>
        </is>
      </c>
      <c r="C635" t="inlineStr">
        <is>
          <t>CZ</t>
        </is>
      </c>
      <c r="D635" t="inlineStr">
        <is>
          <t>Czech Republic</t>
        </is>
      </c>
    </row>
    <row r="636">
      <c r="A636" t="inlineStr">
        <is>
          <t>U0635</t>
        </is>
      </c>
      <c r="B636" t="inlineStr">
        <is>
          <t>Jan Kochanowski University in Kielce</t>
        </is>
      </c>
      <c r="C636" t="inlineStr">
        <is>
          <t>PO</t>
        </is>
      </c>
      <c r="D636" t="inlineStr">
        <is>
          <t>Poland</t>
        </is>
      </c>
    </row>
    <row r="637">
      <c r="A637" t="inlineStr">
        <is>
          <t>U0636</t>
        </is>
      </c>
      <c r="B637" t="inlineStr">
        <is>
          <t>Jaume I University</t>
        </is>
      </c>
      <c r="C637" t="inlineStr">
        <is>
          <t>SP</t>
        </is>
      </c>
      <c r="D637" t="inlineStr">
        <is>
          <t>Spain</t>
        </is>
      </c>
    </row>
    <row r="638">
      <c r="A638" t="inlineStr">
        <is>
          <t>U0637</t>
        </is>
      </c>
      <c r="B638" t="inlineStr">
        <is>
          <t>Jawaharlal Nehru Technological University Anantapur (JNTUA)</t>
        </is>
      </c>
      <c r="C638" t="inlineStr">
        <is>
          <t>IN</t>
        </is>
      </c>
      <c r="D638" t="inlineStr">
        <is>
          <t>India</t>
        </is>
      </c>
    </row>
    <row r="639">
      <c r="A639" t="inlineStr">
        <is>
          <t>U0638</t>
        </is>
      </c>
      <c r="B639" t="inlineStr">
        <is>
          <t>Jawaharlal Nehru University</t>
        </is>
      </c>
      <c r="C639" t="inlineStr">
        <is>
          <t>IN</t>
        </is>
      </c>
      <c r="D639" t="inlineStr">
        <is>
          <t>India</t>
        </is>
      </c>
    </row>
    <row r="640">
      <c r="A640" t="inlineStr">
        <is>
          <t>U0639</t>
        </is>
      </c>
      <c r="B640" t="inlineStr">
        <is>
          <t>Jaypee University of Information Technology</t>
        </is>
      </c>
      <c r="C640" t="inlineStr">
        <is>
          <t>IN</t>
        </is>
      </c>
      <c r="D640" t="inlineStr">
        <is>
          <t>India</t>
        </is>
      </c>
    </row>
    <row r="641">
      <c r="A641" t="inlineStr">
        <is>
          <t>U0640</t>
        </is>
      </c>
      <c r="B641" t="inlineStr">
        <is>
          <t>Jazan University</t>
        </is>
      </c>
      <c r="C641" t="inlineStr">
        <is>
          <t>SA</t>
        </is>
      </c>
      <c r="D641" t="inlineStr">
        <is>
          <t>Saudi Arabia</t>
        </is>
      </c>
    </row>
    <row r="642">
      <c r="A642" t="inlineStr">
        <is>
          <t>U0641</t>
        </is>
      </c>
      <c r="B642" t="inlineStr">
        <is>
          <t>Jean Moulin University – Lyon 3</t>
        </is>
      </c>
      <c r="C642" t="inlineStr">
        <is>
          <t>FR</t>
        </is>
      </c>
      <c r="D642" t="inlineStr">
        <is>
          <t>France</t>
        </is>
      </c>
    </row>
    <row r="643">
      <c r="A643" t="inlineStr">
        <is>
          <t>U0642</t>
        </is>
      </c>
      <c r="B643" t="inlineStr">
        <is>
          <t xml:space="preserve">Jeju National University </t>
        </is>
      </c>
      <c r="C643" t="inlineStr">
        <is>
          <t>SO</t>
        </is>
      </c>
      <c r="D643" t="inlineStr">
        <is>
          <t>South Korea</t>
        </is>
      </c>
    </row>
    <row r="644">
      <c r="A644" t="inlineStr">
        <is>
          <t>U0643</t>
        </is>
      </c>
      <c r="B644" t="inlineStr">
        <is>
          <t>Jember University</t>
        </is>
      </c>
      <c r="C644" t="inlineStr">
        <is>
          <t>IN</t>
        </is>
      </c>
      <c r="D644" t="inlineStr">
        <is>
          <t>Indonesia</t>
        </is>
      </c>
    </row>
    <row r="645">
      <c r="A645" t="inlineStr">
        <is>
          <t>U0644</t>
        </is>
      </c>
      <c r="B645" t="inlineStr">
        <is>
          <t>Jeonbuk National University</t>
        </is>
      </c>
      <c r="C645" t="inlineStr">
        <is>
          <t>SO</t>
        </is>
      </c>
      <c r="D645" t="inlineStr">
        <is>
          <t>South Korea</t>
        </is>
      </c>
    </row>
    <row r="646">
      <c r="A646" t="inlineStr">
        <is>
          <t>U0645</t>
        </is>
      </c>
      <c r="B646" t="inlineStr">
        <is>
          <t>Jianghan University</t>
        </is>
      </c>
      <c r="C646" t="inlineStr">
        <is>
          <t>CH</t>
        </is>
      </c>
      <c r="D646" t="inlineStr">
        <is>
          <t>China</t>
        </is>
      </c>
    </row>
    <row r="647">
      <c r="A647" t="inlineStr">
        <is>
          <t>U0646</t>
        </is>
      </c>
      <c r="B647" t="inlineStr">
        <is>
          <t>Jiangnan University</t>
        </is>
      </c>
      <c r="C647" t="inlineStr">
        <is>
          <t>CH</t>
        </is>
      </c>
      <c r="D647" t="inlineStr">
        <is>
          <t>China</t>
        </is>
      </c>
    </row>
    <row r="648">
      <c r="A648" t="inlineStr">
        <is>
          <t>U0647</t>
        </is>
      </c>
      <c r="B648" t="inlineStr">
        <is>
          <t>Jiangsu Normal University</t>
        </is>
      </c>
      <c r="C648" t="inlineStr">
        <is>
          <t>CH</t>
        </is>
      </c>
      <c r="D648" t="inlineStr">
        <is>
          <t>China</t>
        </is>
      </c>
    </row>
    <row r="649">
      <c r="A649" t="inlineStr">
        <is>
          <t>U0648</t>
        </is>
      </c>
      <c r="B649" t="inlineStr">
        <is>
          <t>Jiangsu University</t>
        </is>
      </c>
      <c r="C649" t="inlineStr">
        <is>
          <t>CH</t>
        </is>
      </c>
      <c r="D649" t="inlineStr">
        <is>
          <t>China</t>
        </is>
      </c>
    </row>
    <row r="650">
      <c r="A650" t="inlineStr">
        <is>
          <t>U0649</t>
        </is>
      </c>
      <c r="B650" t="inlineStr">
        <is>
          <t>The Jikei University School of Medicine</t>
        </is>
      </c>
      <c r="C650" t="inlineStr">
        <is>
          <t>JA</t>
        </is>
      </c>
      <c r="D650" t="inlineStr">
        <is>
          <t>Japan</t>
        </is>
      </c>
    </row>
    <row r="651">
      <c r="A651" t="inlineStr">
        <is>
          <t>U0650</t>
        </is>
      </c>
      <c r="B651" t="inlineStr">
        <is>
          <t>Jilin University</t>
        </is>
      </c>
      <c r="C651" t="inlineStr">
        <is>
          <t>CH</t>
        </is>
      </c>
      <c r="D651" t="inlineStr">
        <is>
          <t>China</t>
        </is>
      </c>
    </row>
    <row r="652">
      <c r="A652" t="inlineStr">
        <is>
          <t>U0651</t>
        </is>
      </c>
      <c r="B652" t="inlineStr">
        <is>
          <t>Jimma University</t>
        </is>
      </c>
      <c r="C652" t="inlineStr">
        <is>
          <t>ET</t>
        </is>
      </c>
      <c r="D652" t="inlineStr">
        <is>
          <t>Ethiopia</t>
        </is>
      </c>
    </row>
    <row r="653">
      <c r="A653" t="inlineStr">
        <is>
          <t>U0652</t>
        </is>
      </c>
      <c r="B653" t="inlineStr">
        <is>
          <t>Jinan University (China)</t>
        </is>
      </c>
      <c r="C653" t="inlineStr">
        <is>
          <t>CH</t>
        </is>
      </c>
      <c r="D653" t="inlineStr">
        <is>
          <t>China</t>
        </is>
      </c>
    </row>
    <row r="654">
      <c r="A654" t="inlineStr">
        <is>
          <t>U0653</t>
        </is>
      </c>
      <c r="B654" t="inlineStr">
        <is>
          <t>Johannes Gutenberg Universität Mainz</t>
        </is>
      </c>
      <c r="C654" t="inlineStr">
        <is>
          <t>GE</t>
        </is>
      </c>
      <c r="D654" t="inlineStr">
        <is>
          <t>Germany</t>
        </is>
      </c>
    </row>
    <row r="655">
      <c r="A655" t="inlineStr">
        <is>
          <t>U0654</t>
        </is>
      </c>
      <c r="B655" t="inlineStr">
        <is>
          <t>Johannes Gutenberg University of Mainz</t>
        </is>
      </c>
      <c r="C655" t="inlineStr">
        <is>
          <t>GE</t>
        </is>
      </c>
      <c r="D655" t="inlineStr">
        <is>
          <t>Germany</t>
        </is>
      </c>
    </row>
    <row r="656">
      <c r="A656" t="inlineStr">
        <is>
          <t>U0655</t>
        </is>
      </c>
      <c r="B656" t="inlineStr">
        <is>
          <t>Johannes Kepler University Linz</t>
        </is>
      </c>
      <c r="C656" t="inlineStr">
        <is>
          <t>AU</t>
        </is>
      </c>
      <c r="D656" t="inlineStr">
        <is>
          <t>Austria</t>
        </is>
      </c>
    </row>
    <row r="657">
      <c r="A657" t="inlineStr">
        <is>
          <t>U0656</t>
        </is>
      </c>
      <c r="B657" t="inlineStr">
        <is>
          <t>Johannes Kepler University of Linz</t>
        </is>
      </c>
      <c r="C657" t="inlineStr">
        <is>
          <t>AU</t>
        </is>
      </c>
      <c r="D657" t="inlineStr">
        <is>
          <t>Austria</t>
        </is>
      </c>
    </row>
    <row r="658">
      <c r="A658" t="inlineStr">
        <is>
          <t>U0657</t>
        </is>
      </c>
      <c r="B658" t="inlineStr">
        <is>
          <t>The John Paul II Catholic University of Lublin</t>
        </is>
      </c>
      <c r="C658" t="inlineStr">
        <is>
          <t>PO</t>
        </is>
      </c>
      <c r="D658" t="inlineStr">
        <is>
          <t>Poland</t>
        </is>
      </c>
    </row>
    <row r="659">
      <c r="A659" t="inlineStr">
        <is>
          <t>U0658</t>
        </is>
      </c>
      <c r="B659" t="inlineStr">
        <is>
          <t>Johns Hopkins University</t>
        </is>
      </c>
      <c r="C659" t="inlineStr">
        <is>
          <t>UN</t>
        </is>
      </c>
      <c r="D659" t="inlineStr">
        <is>
          <t>United States</t>
        </is>
      </c>
    </row>
    <row r="660">
      <c r="A660" t="inlineStr">
        <is>
          <t>U0659</t>
        </is>
      </c>
      <c r="B660" t="inlineStr">
        <is>
          <t>Jordan University of Science &amp; Technology</t>
        </is>
      </c>
      <c r="C660" t="inlineStr">
        <is>
          <t>JO</t>
        </is>
      </c>
      <c r="D660" t="inlineStr">
        <is>
          <t>Jordan</t>
        </is>
      </c>
    </row>
    <row r="661">
      <c r="A661" t="inlineStr">
        <is>
          <t>U0660</t>
        </is>
      </c>
      <c r="B661" t="inlineStr">
        <is>
          <t>The Josip Juraj Strossmayer University of Osijek</t>
        </is>
      </c>
      <c r="C661" t="inlineStr">
        <is>
          <t>CR</t>
        </is>
      </c>
      <c r="D661" t="inlineStr">
        <is>
          <t>Croatia</t>
        </is>
      </c>
    </row>
    <row r="662">
      <c r="A662" t="inlineStr">
        <is>
          <t>U0661</t>
        </is>
      </c>
      <c r="B662" t="inlineStr">
        <is>
          <t>Jouf University</t>
        </is>
      </c>
      <c r="C662" t="inlineStr">
        <is>
          <t>SA</t>
        </is>
      </c>
      <c r="D662" t="inlineStr">
        <is>
          <t>Saudi Arabia</t>
        </is>
      </c>
    </row>
    <row r="663">
      <c r="A663" t="inlineStr">
        <is>
          <t>U0662</t>
        </is>
      </c>
      <c r="B663" t="inlineStr">
        <is>
          <t>JSS Academy of Higher Education and Research</t>
        </is>
      </c>
      <c r="C663" t="inlineStr">
        <is>
          <t>IN</t>
        </is>
      </c>
      <c r="D663" t="inlineStr">
        <is>
          <t>India</t>
        </is>
      </c>
    </row>
    <row r="664">
      <c r="A664" t="inlineStr">
        <is>
          <t>U0663</t>
        </is>
      </c>
      <c r="B664" t="inlineStr">
        <is>
          <t>Julius-Maximilians-Universität Würzburg</t>
        </is>
      </c>
      <c r="C664" t="inlineStr">
        <is>
          <t>GE</t>
        </is>
      </c>
      <c r="D664" t="inlineStr">
        <is>
          <t>Germany</t>
        </is>
      </c>
    </row>
    <row r="665">
      <c r="A665" t="inlineStr">
        <is>
          <t>U0664</t>
        </is>
      </c>
      <c r="B665" t="inlineStr">
        <is>
          <t>Juntendo University</t>
        </is>
      </c>
      <c r="C665" t="inlineStr">
        <is>
          <t>JA</t>
        </is>
      </c>
      <c r="D665" t="inlineStr">
        <is>
          <t>Japan</t>
        </is>
      </c>
    </row>
    <row r="666">
      <c r="A666" t="inlineStr">
        <is>
          <t>U0665</t>
        </is>
      </c>
      <c r="B666" t="inlineStr">
        <is>
          <t>Justus-Liebig-University Giessen</t>
        </is>
      </c>
      <c r="C666" t="inlineStr">
        <is>
          <t>GE</t>
        </is>
      </c>
      <c r="D666" t="inlineStr">
        <is>
          <t>Germany</t>
        </is>
      </c>
    </row>
    <row r="667">
      <c r="A667" t="inlineStr">
        <is>
          <t>U0666</t>
        </is>
      </c>
      <c r="B667" t="inlineStr">
        <is>
          <t>K.N. Toosi University of Technology</t>
        </is>
      </c>
      <c r="C667" t="inlineStr">
        <is>
          <t>IR</t>
        </is>
      </c>
      <c r="D667" t="inlineStr">
        <is>
          <t>Iran</t>
        </is>
      </c>
    </row>
    <row r="668">
      <c r="A668" t="inlineStr">
        <is>
          <t>U0667</t>
        </is>
      </c>
      <c r="B668" t="inlineStr">
        <is>
          <t>Kırşehir Ahi Evran University</t>
        </is>
      </c>
      <c r="C668" t="inlineStr">
        <is>
          <t>TU</t>
        </is>
      </c>
      <c r="D668" t="inlineStr">
        <is>
          <t>Turkey</t>
        </is>
      </c>
    </row>
    <row r="669">
      <c r="A669" t="inlineStr">
        <is>
          <t>U0668</t>
        </is>
      </c>
      <c r="B669" t="inlineStr">
        <is>
          <t>Kafrelsheikh University</t>
        </is>
      </c>
      <c r="C669" t="inlineStr">
        <is>
          <t>EG</t>
        </is>
      </c>
      <c r="D669" t="inlineStr">
        <is>
          <t>Egypt</t>
        </is>
      </c>
    </row>
    <row r="670">
      <c r="A670" t="inlineStr">
        <is>
          <t>U0669</t>
        </is>
      </c>
      <c r="B670" t="inlineStr">
        <is>
          <t>Kagawa University</t>
        </is>
      </c>
      <c r="C670" t="inlineStr">
        <is>
          <t>JA</t>
        </is>
      </c>
      <c r="D670" t="inlineStr">
        <is>
          <t>Japan</t>
        </is>
      </c>
    </row>
    <row r="671">
      <c r="A671" t="inlineStr">
        <is>
          <t>U0670</t>
        </is>
      </c>
      <c r="B671" t="inlineStr">
        <is>
          <t>Kagoshima University</t>
        </is>
      </c>
      <c r="C671" t="inlineStr">
        <is>
          <t>JA</t>
        </is>
      </c>
      <c r="D671" t="inlineStr">
        <is>
          <t>Japan</t>
        </is>
      </c>
    </row>
    <row r="672">
      <c r="A672" t="inlineStr">
        <is>
          <t>U0671</t>
        </is>
      </c>
      <c r="B672" t="inlineStr">
        <is>
          <t>KAIST - Korea Advanced Institute of Science &amp; Technology</t>
        </is>
      </c>
      <c r="C672" t="inlineStr">
        <is>
          <t>SO</t>
        </is>
      </c>
      <c r="D672" t="inlineStr">
        <is>
          <t>South Korea</t>
        </is>
      </c>
    </row>
    <row r="673">
      <c r="A673" t="inlineStr">
        <is>
          <t>U0672</t>
        </is>
      </c>
      <c r="B673" t="inlineStr">
        <is>
          <t>Kalasalingam Academy of Research and Education</t>
        </is>
      </c>
      <c r="C673" t="inlineStr">
        <is>
          <t>IN</t>
        </is>
      </c>
      <c r="D673" t="inlineStr">
        <is>
          <t>India</t>
        </is>
      </c>
    </row>
    <row r="674">
      <c r="A674" t="inlineStr">
        <is>
          <t>U0673</t>
        </is>
      </c>
      <c r="B674" t="inlineStr">
        <is>
          <t>Kanagawa University</t>
        </is>
      </c>
      <c r="C674" t="inlineStr">
        <is>
          <t>JA</t>
        </is>
      </c>
      <c r="D674" t="inlineStr">
        <is>
          <t>Japan</t>
        </is>
      </c>
    </row>
    <row r="675">
      <c r="A675" t="inlineStr">
        <is>
          <t>U0674</t>
        </is>
      </c>
      <c r="B675" t="inlineStr">
        <is>
          <t>Kanazawa Medical University</t>
        </is>
      </c>
      <c r="C675" t="inlineStr">
        <is>
          <t>JA</t>
        </is>
      </c>
      <c r="D675" t="inlineStr">
        <is>
          <t>Japan</t>
        </is>
      </c>
    </row>
    <row r="676">
      <c r="A676" t="inlineStr">
        <is>
          <t>U0675</t>
        </is>
      </c>
      <c r="B676" t="inlineStr">
        <is>
          <t>Kanazawa University</t>
        </is>
      </c>
      <c r="C676" t="inlineStr">
        <is>
          <t>JA</t>
        </is>
      </c>
      <c r="D676" t="inlineStr">
        <is>
          <t>Japan</t>
        </is>
      </c>
    </row>
    <row r="677">
      <c r="A677" t="inlineStr">
        <is>
          <t>U0676</t>
        </is>
      </c>
      <c r="B677" t="inlineStr">
        <is>
          <t xml:space="preserve">Kangwon National University </t>
        </is>
      </c>
      <c r="C677" t="inlineStr">
        <is>
          <t>SO</t>
        </is>
      </c>
      <c r="D677" t="inlineStr">
        <is>
          <t>South Korea</t>
        </is>
      </c>
    </row>
    <row r="678">
      <c r="A678" t="inlineStr">
        <is>
          <t>U0677</t>
        </is>
      </c>
      <c r="B678" t="inlineStr">
        <is>
          <t>Kansai Medical University</t>
        </is>
      </c>
      <c r="C678" t="inlineStr">
        <is>
          <t>JA</t>
        </is>
      </c>
      <c r="D678" t="inlineStr">
        <is>
          <t>Japan</t>
        </is>
      </c>
    </row>
    <row r="679">
      <c r="A679" t="inlineStr">
        <is>
          <t>U0678</t>
        </is>
      </c>
      <c r="B679" t="inlineStr">
        <is>
          <t>Kansai University</t>
        </is>
      </c>
      <c r="C679" t="inlineStr">
        <is>
          <t>JA</t>
        </is>
      </c>
      <c r="D679" t="inlineStr">
        <is>
          <t>Japan</t>
        </is>
      </c>
    </row>
    <row r="680">
      <c r="A680" t="inlineStr">
        <is>
          <t>U0679</t>
        </is>
      </c>
      <c r="B680" t="inlineStr">
        <is>
          <t xml:space="preserve">Kansas State University </t>
        </is>
      </c>
      <c r="C680" t="inlineStr">
        <is>
          <t>UN</t>
        </is>
      </c>
      <c r="D680" t="inlineStr">
        <is>
          <t>United States</t>
        </is>
      </c>
    </row>
    <row r="681">
      <c r="A681" t="inlineStr">
        <is>
          <t>U0680</t>
        </is>
      </c>
      <c r="B681" t="inlineStr">
        <is>
          <t>Kaohsiung Medical University</t>
        </is>
      </c>
      <c r="C681" t="inlineStr">
        <is>
          <t>TA</t>
        </is>
      </c>
      <c r="D681" t="inlineStr">
        <is>
          <t>Taiwan</t>
        </is>
      </c>
    </row>
    <row r="682">
      <c r="A682" t="inlineStr">
        <is>
          <t>U0681</t>
        </is>
      </c>
      <c r="B682" t="inlineStr">
        <is>
          <t>Karabük University</t>
        </is>
      </c>
      <c r="C682" t="inlineStr">
        <is>
          <t>TU</t>
        </is>
      </c>
      <c r="D682" t="inlineStr">
        <is>
          <t>Turkey</t>
        </is>
      </c>
    </row>
    <row r="683">
      <c r="A683" t="inlineStr">
        <is>
          <t>U0682</t>
        </is>
      </c>
      <c r="B683" t="inlineStr">
        <is>
          <t>Karadeniz Technical University</t>
        </is>
      </c>
      <c r="C683" t="inlineStr">
        <is>
          <t>TU</t>
        </is>
      </c>
      <c r="D683" t="inlineStr">
        <is>
          <t>Turkey</t>
        </is>
      </c>
    </row>
    <row r="684">
      <c r="A684" t="inlineStr">
        <is>
          <t>U0683</t>
        </is>
      </c>
      <c r="B684" t="inlineStr">
        <is>
          <t>Karaganda Buketov University</t>
        </is>
      </c>
      <c r="C684" t="inlineStr">
        <is>
          <t>KA</t>
        </is>
      </c>
      <c r="D684" t="inlineStr">
        <is>
          <t>Kazakhstan</t>
        </is>
      </c>
    </row>
    <row r="685">
      <c r="A685" t="inlineStr">
        <is>
          <t>U0684</t>
        </is>
      </c>
      <c r="B685" t="inlineStr">
        <is>
          <t>Karaganda State Technical University</t>
        </is>
      </c>
      <c r="C685" t="inlineStr">
        <is>
          <t>KA</t>
        </is>
      </c>
      <c r="D685" t="inlineStr">
        <is>
          <t>Kazakhstan</t>
        </is>
      </c>
    </row>
    <row r="686">
      <c r="A686" t="inlineStr">
        <is>
          <t>U0685</t>
        </is>
      </c>
      <c r="B686" t="inlineStr">
        <is>
          <t>Karl-Franzens-Universitaet Graz</t>
        </is>
      </c>
      <c r="C686" t="inlineStr">
        <is>
          <t>AU</t>
        </is>
      </c>
      <c r="D686" t="inlineStr">
        <is>
          <t>Austria</t>
        </is>
      </c>
    </row>
    <row r="687">
      <c r="A687" t="inlineStr">
        <is>
          <t>U0686</t>
        </is>
      </c>
      <c r="B687" t="inlineStr">
        <is>
          <t>Karlsruhe Institute of Technology</t>
        </is>
      </c>
      <c r="C687" t="inlineStr">
        <is>
          <t>GE</t>
        </is>
      </c>
      <c r="D687" t="inlineStr">
        <is>
          <t>Germany</t>
        </is>
      </c>
    </row>
    <row r="688">
      <c r="A688" t="inlineStr">
        <is>
          <t>U0687</t>
        </is>
      </c>
      <c r="B688" t="inlineStr">
        <is>
          <t>Karlstad University</t>
        </is>
      </c>
      <c r="C688" t="inlineStr">
        <is>
          <t>SW</t>
        </is>
      </c>
      <c r="D688" t="inlineStr">
        <is>
          <t>Sweden</t>
        </is>
      </c>
    </row>
    <row r="689">
      <c r="A689" t="inlineStr">
        <is>
          <t>U0688</t>
        </is>
      </c>
      <c r="B689" t="inlineStr">
        <is>
          <t>Karnatak University Dharwad</t>
        </is>
      </c>
      <c r="C689" t="inlineStr">
        <is>
          <t>IN</t>
        </is>
      </c>
      <c r="D689" t="inlineStr">
        <is>
          <t>India</t>
        </is>
      </c>
    </row>
    <row r="690">
      <c r="A690" t="inlineStr">
        <is>
          <t>U0689</t>
        </is>
      </c>
      <c r="B690" t="inlineStr">
        <is>
          <t>Karolinska Institute</t>
        </is>
      </c>
      <c r="C690" t="inlineStr">
        <is>
          <t>SW</t>
        </is>
      </c>
      <c r="D690" t="inlineStr">
        <is>
          <t>Sweden</t>
        </is>
      </c>
    </row>
    <row r="691">
      <c r="A691" t="inlineStr">
        <is>
          <t>U0690</t>
        </is>
      </c>
      <c r="B691" t="inlineStr">
        <is>
          <t>Karunya Institute of Technology and Sciences</t>
        </is>
      </c>
      <c r="C691" t="inlineStr">
        <is>
          <t>IN</t>
        </is>
      </c>
      <c r="D691" t="inlineStr">
        <is>
          <t>India</t>
        </is>
      </c>
    </row>
    <row r="692">
      <c r="A692" t="inlineStr">
        <is>
          <t>U0691</t>
        </is>
      </c>
      <c r="B692" t="inlineStr">
        <is>
          <t>Kasetsart University</t>
        </is>
      </c>
      <c r="C692" t="inlineStr">
        <is>
          <t>TH</t>
        </is>
      </c>
      <c r="D692" t="inlineStr">
        <is>
          <t>Thailand</t>
        </is>
      </c>
    </row>
    <row r="693">
      <c r="A693" t="inlineStr">
        <is>
          <t>U0692</t>
        </is>
      </c>
      <c r="B693" t="inlineStr">
        <is>
          <t>Kashan University of Medical Sciences and Health Services</t>
        </is>
      </c>
      <c r="C693" t="inlineStr">
        <is>
          <t>IR</t>
        </is>
      </c>
      <c r="D693" t="inlineStr">
        <is>
          <t>Iran</t>
        </is>
      </c>
    </row>
    <row r="694">
      <c r="A694" t="inlineStr">
        <is>
          <t>U0693</t>
        </is>
      </c>
      <c r="B694" t="inlineStr">
        <is>
          <t>Kastamonu University</t>
        </is>
      </c>
      <c r="C694" t="inlineStr">
        <is>
          <t>TU</t>
        </is>
      </c>
      <c r="D694" t="inlineStr">
        <is>
          <t>Turkey</t>
        </is>
      </c>
    </row>
    <row r="695">
      <c r="A695" t="inlineStr">
        <is>
          <t>U0694</t>
        </is>
      </c>
      <c r="B695" t="inlineStr">
        <is>
          <t>Kaunas University of Technology</t>
        </is>
      </c>
      <c r="C695" t="inlineStr">
        <is>
          <t>LI</t>
        </is>
      </c>
      <c r="D695" t="inlineStr">
        <is>
          <t>Lithuania</t>
        </is>
      </c>
    </row>
    <row r="696">
      <c r="A696" t="inlineStr">
        <is>
          <t>U0695</t>
        </is>
      </c>
      <c r="B696" t="inlineStr">
        <is>
          <t>Kazakh Ablai Khan University of International Relations and World Languages</t>
        </is>
      </c>
      <c r="C696" t="inlineStr">
        <is>
          <t>KA</t>
        </is>
      </c>
      <c r="D696" t="inlineStr">
        <is>
          <t>Kazakhstan</t>
        </is>
      </c>
    </row>
    <row r="697">
      <c r="A697" t="inlineStr">
        <is>
          <t>U0696</t>
        </is>
      </c>
      <c r="B697" t="inlineStr">
        <is>
          <t>Kazakh-British Technical University</t>
        </is>
      </c>
      <c r="C697" t="inlineStr">
        <is>
          <t>KA</t>
        </is>
      </c>
      <c r="D697" t="inlineStr">
        <is>
          <t>Kazakhstan</t>
        </is>
      </c>
    </row>
    <row r="698">
      <c r="A698" t="inlineStr">
        <is>
          <t>U0697</t>
        </is>
      </c>
      <c r="B698" t="inlineStr">
        <is>
          <t>Kazakh National Agrarian University KazNAU</t>
        </is>
      </c>
      <c r="C698" t="inlineStr">
        <is>
          <t>KA</t>
        </is>
      </c>
      <c r="D698" t="inlineStr">
        <is>
          <t>Kazakhstan</t>
        </is>
      </c>
    </row>
    <row r="699">
      <c r="A699" t="inlineStr">
        <is>
          <t>U0698</t>
        </is>
      </c>
      <c r="B699" t="inlineStr">
        <is>
          <t>Kazan (Volga region) Federal University</t>
        </is>
      </c>
      <c r="C699" t="inlineStr">
        <is>
          <t>RU</t>
        </is>
      </c>
      <c r="D699" t="inlineStr">
        <is>
          <t>Russian Federation</t>
        </is>
      </c>
    </row>
    <row r="700">
      <c r="A700" t="inlineStr">
        <is>
          <t>U0699</t>
        </is>
      </c>
      <c r="B700" t="inlineStr">
        <is>
          <t>Kazan National Research Technical University</t>
        </is>
      </c>
      <c r="C700" t="inlineStr">
        <is>
          <t>RU</t>
        </is>
      </c>
      <c r="D700" t="inlineStr">
        <is>
          <t>Russian Federation</t>
        </is>
      </c>
    </row>
    <row r="701">
      <c r="A701" t="inlineStr">
        <is>
          <t>U0700</t>
        </is>
      </c>
      <c r="B701" t="inlineStr">
        <is>
          <t>Kazan National Research Technological University</t>
        </is>
      </c>
      <c r="C701" t="inlineStr">
        <is>
          <t>RU</t>
        </is>
      </c>
      <c r="D701" t="inlineStr">
        <is>
          <t>Russian Federation</t>
        </is>
      </c>
    </row>
    <row r="702">
      <c r="A702" t="inlineStr">
        <is>
          <t>U0701</t>
        </is>
      </c>
      <c r="B702" t="inlineStr">
        <is>
          <t>Kazan State Medical University</t>
        </is>
      </c>
      <c r="C702" t="inlineStr">
        <is>
          <t>RU</t>
        </is>
      </c>
      <c r="D702" t="inlineStr">
        <is>
          <t>Russian Federation</t>
        </is>
      </c>
    </row>
    <row r="703">
      <c r="A703" t="inlineStr">
        <is>
          <t>U0702</t>
        </is>
      </c>
      <c r="B703" t="inlineStr">
        <is>
          <t xml:space="preserve">Keele University </t>
        </is>
      </c>
      <c r="C703" t="inlineStr">
        <is>
          <t>UN</t>
        </is>
      </c>
      <c r="D703" t="inlineStr">
        <is>
          <t>United Kingdom</t>
        </is>
      </c>
    </row>
    <row r="704">
      <c r="A704" t="inlineStr">
        <is>
          <t>U0703</t>
        </is>
      </c>
      <c r="B704" t="inlineStr">
        <is>
          <t>Keio University</t>
        </is>
      </c>
      <c r="C704" t="inlineStr">
        <is>
          <t>JA</t>
        </is>
      </c>
      <c r="D704" t="inlineStr">
        <is>
          <t>Japan</t>
        </is>
      </c>
    </row>
    <row r="705">
      <c r="A705" t="inlineStr">
        <is>
          <t>U0704</t>
        </is>
      </c>
      <c r="B705" t="inlineStr">
        <is>
          <t>Kemerovo State University</t>
        </is>
      </c>
      <c r="C705" t="inlineStr">
        <is>
          <t>RU</t>
        </is>
      </c>
      <c r="D705" t="inlineStr">
        <is>
          <t>Russian Federation</t>
        </is>
      </c>
    </row>
    <row r="706">
      <c r="A706" t="inlineStr">
        <is>
          <t>U0705</t>
        </is>
      </c>
      <c r="B706" t="inlineStr">
        <is>
          <t>Kent State University</t>
        </is>
      </c>
      <c r="C706" t="inlineStr">
        <is>
          <t>UN</t>
        </is>
      </c>
      <c r="D706" t="inlineStr">
        <is>
          <t>United States</t>
        </is>
      </c>
    </row>
    <row r="707">
      <c r="A707" t="inlineStr">
        <is>
          <t>U0706</t>
        </is>
      </c>
      <c r="B707" t="inlineStr">
        <is>
          <t>Kenyatta University</t>
        </is>
      </c>
      <c r="C707" t="inlineStr">
        <is>
          <t>KE</t>
        </is>
      </c>
      <c r="D707" t="inlineStr">
        <is>
          <t>Kenya</t>
        </is>
      </c>
    </row>
    <row r="708">
      <c r="A708" t="inlineStr">
        <is>
          <t>U0707</t>
        </is>
      </c>
      <c r="B708" t="inlineStr">
        <is>
          <t>Kerman University of Medical Sciences</t>
        </is>
      </c>
      <c r="C708" t="inlineStr">
        <is>
          <t>IR</t>
        </is>
      </c>
      <c r="D708" t="inlineStr">
        <is>
          <t>Iran</t>
        </is>
      </c>
    </row>
    <row r="709">
      <c r="A709" t="inlineStr">
        <is>
          <t>U0708</t>
        </is>
      </c>
      <c r="B709" t="inlineStr">
        <is>
          <t>Khalifa University</t>
        </is>
      </c>
      <c r="C709" t="inlineStr">
        <is>
          <t>UN</t>
        </is>
      </c>
      <c r="D709" t="inlineStr">
        <is>
          <t>United Arab Emirates</t>
        </is>
      </c>
    </row>
    <row r="710">
      <c r="A710" t="inlineStr">
        <is>
          <t>U0709</t>
        </is>
      </c>
      <c r="B710" t="inlineStr">
        <is>
          <t>Khalifa University of Science and Technology</t>
        </is>
      </c>
      <c r="C710" t="inlineStr">
        <is>
          <t>UN</t>
        </is>
      </c>
      <c r="D710" t="inlineStr">
        <is>
          <t>United Arab Emirates</t>
        </is>
      </c>
    </row>
    <row r="711">
      <c r="A711" t="inlineStr">
        <is>
          <t>U0710</t>
        </is>
      </c>
      <c r="B711" t="inlineStr">
        <is>
          <t>Kharazmi University</t>
        </is>
      </c>
      <c r="C711" t="inlineStr">
        <is>
          <t>IR</t>
        </is>
      </c>
      <c r="D711" t="inlineStr">
        <is>
          <t>Iran</t>
        </is>
      </c>
    </row>
    <row r="712">
      <c r="A712" t="inlineStr">
        <is>
          <t>U0711</t>
        </is>
      </c>
      <c r="B712" t="inlineStr">
        <is>
          <t>Kharkiv Aviation Institute</t>
        </is>
      </c>
      <c r="C712" t="inlineStr">
        <is>
          <t>UK</t>
        </is>
      </c>
      <c r="D712" t="inlineStr">
        <is>
          <t>Ukraine</t>
        </is>
      </c>
    </row>
    <row r="713">
      <c r="A713" t="inlineStr">
        <is>
          <t>U0712</t>
        </is>
      </c>
      <c r="B713" t="inlineStr">
        <is>
          <t xml:space="preserve">Kharkiv National University of Radio Electronics </t>
        </is>
      </c>
      <c r="C713" t="inlineStr">
        <is>
          <t>UK</t>
        </is>
      </c>
      <c r="D713" t="inlineStr">
        <is>
          <t>Ukraine</t>
        </is>
      </c>
    </row>
    <row r="714">
      <c r="A714" t="inlineStr">
        <is>
          <t>U0713</t>
        </is>
      </c>
      <c r="B714" t="inlineStr">
        <is>
          <t>Khoja Akhmet Yassawi International Kazakh-Turkish University</t>
        </is>
      </c>
      <c r="C714" t="inlineStr">
        <is>
          <t>KA</t>
        </is>
      </c>
      <c r="D714" t="inlineStr">
        <is>
          <t>Kazakhstan</t>
        </is>
      </c>
    </row>
    <row r="715">
      <c r="A715" t="inlineStr">
        <is>
          <t>U0714</t>
        </is>
      </c>
      <c r="B715" t="inlineStr">
        <is>
          <t>Khon Kaen University</t>
        </is>
      </c>
      <c r="C715" t="inlineStr">
        <is>
          <t>TH</t>
        </is>
      </c>
      <c r="D715" t="inlineStr">
        <is>
          <t>Thailand</t>
        </is>
      </c>
    </row>
    <row r="716">
      <c r="A716" t="inlineStr">
        <is>
          <t>U0715</t>
        </is>
      </c>
      <c r="B716" t="inlineStr">
        <is>
          <t>Khulna University</t>
        </is>
      </c>
      <c r="C716" t="inlineStr">
        <is>
          <t>BA</t>
        </is>
      </c>
      <c r="D716" t="inlineStr">
        <is>
          <t>Bangladesh</t>
        </is>
      </c>
    </row>
    <row r="717">
      <c r="A717" t="inlineStr">
        <is>
          <t>U0716</t>
        </is>
      </c>
      <c r="B717" t="inlineStr">
        <is>
          <t>Khulna University of Engineering and Technology</t>
        </is>
      </c>
      <c r="C717" t="inlineStr">
        <is>
          <t>BA</t>
        </is>
      </c>
      <c r="D717" t="inlineStr">
        <is>
          <t>Bangladesh</t>
        </is>
      </c>
    </row>
    <row r="718">
      <c r="A718" t="inlineStr">
        <is>
          <t>U0717</t>
        </is>
      </c>
      <c r="B718" t="inlineStr">
        <is>
          <t>KIIT University</t>
        </is>
      </c>
      <c r="C718" t="inlineStr">
        <is>
          <t>IN</t>
        </is>
      </c>
      <c r="D718" t="inlineStr">
        <is>
          <t>India</t>
        </is>
      </c>
    </row>
    <row r="719">
      <c r="A719" t="inlineStr">
        <is>
          <t>U0718</t>
        </is>
      </c>
      <c r="B719" t="inlineStr">
        <is>
          <t>Kindai University (Kinki University)</t>
        </is>
      </c>
      <c r="C719" t="inlineStr">
        <is>
          <t>JA</t>
        </is>
      </c>
      <c r="D719" t="inlineStr">
        <is>
          <t>Japan</t>
        </is>
      </c>
    </row>
    <row r="720">
      <c r="A720" t="inlineStr">
        <is>
          <t>U0719</t>
        </is>
      </c>
      <c r="B720" t="inlineStr">
        <is>
          <t>King Abdulaziz University (KAU)</t>
        </is>
      </c>
      <c r="C720" t="inlineStr">
        <is>
          <t>SA</t>
        </is>
      </c>
      <c r="D720" t="inlineStr">
        <is>
          <t>Saudi Arabia</t>
        </is>
      </c>
    </row>
    <row r="721">
      <c r="A721" t="inlineStr">
        <is>
          <t>U0720</t>
        </is>
      </c>
      <c r="B721" t="inlineStr">
        <is>
          <t>King Fahd University of Petroleum &amp; Minerals</t>
        </is>
      </c>
      <c r="C721" t="inlineStr">
        <is>
          <t>SA</t>
        </is>
      </c>
      <c r="D721" t="inlineStr">
        <is>
          <t>Saudi Arabia</t>
        </is>
      </c>
    </row>
    <row r="722">
      <c r="A722" t="inlineStr">
        <is>
          <t>U0721</t>
        </is>
      </c>
      <c r="B722" t="inlineStr">
        <is>
          <t>King Faisal University</t>
        </is>
      </c>
      <c r="C722" t="inlineStr">
        <is>
          <t>SA</t>
        </is>
      </c>
      <c r="D722" t="inlineStr">
        <is>
          <t>Saudi Arabia</t>
        </is>
      </c>
    </row>
    <row r="723">
      <c r="A723" t="inlineStr">
        <is>
          <t>U0722</t>
        </is>
      </c>
      <c r="B723" t="inlineStr">
        <is>
          <t>King Khalid University</t>
        </is>
      </c>
      <c r="C723" t="inlineStr">
        <is>
          <t>SA</t>
        </is>
      </c>
      <c r="D723" t="inlineStr">
        <is>
          <t>Saudi Arabia</t>
        </is>
      </c>
    </row>
    <row r="724">
      <c r="A724" t="inlineStr">
        <is>
          <t>U0723</t>
        </is>
      </c>
      <c r="B724" t="inlineStr">
        <is>
          <t>King Mongkut\'s Institute of Technology Ladkrabang</t>
        </is>
      </c>
      <c r="C724" t="inlineStr">
        <is>
          <t>TH</t>
        </is>
      </c>
      <c r="D724" t="inlineStr">
        <is>
          <t>Thailand</t>
        </is>
      </c>
    </row>
    <row r="725">
      <c r="A725" t="inlineStr">
        <is>
          <t>U0724</t>
        </is>
      </c>
      <c r="B725" t="inlineStr">
        <is>
          <t>King Mongkut's University of Technology North Bangkok</t>
        </is>
      </c>
      <c r="C725" t="inlineStr">
        <is>
          <t>TH</t>
        </is>
      </c>
      <c r="D725" t="inlineStr">
        <is>
          <t>Thailand</t>
        </is>
      </c>
    </row>
    <row r="726">
      <c r="A726" t="inlineStr">
        <is>
          <t>U0725</t>
        </is>
      </c>
      <c r="B726" t="inlineStr">
        <is>
          <t xml:space="preserve">King Mongkut's University of Technology Thonburi </t>
        </is>
      </c>
      <c r="C726" t="inlineStr">
        <is>
          <t>TH</t>
        </is>
      </c>
      <c r="D726" t="inlineStr">
        <is>
          <t>Thailand</t>
        </is>
      </c>
    </row>
    <row r="727">
      <c r="A727" t="inlineStr">
        <is>
          <t>U0726</t>
        </is>
      </c>
      <c r="B727" t="inlineStr">
        <is>
          <t>King's College London</t>
        </is>
      </c>
      <c r="C727" t="inlineStr">
        <is>
          <t>UN</t>
        </is>
      </c>
      <c r="D727" t="inlineStr">
        <is>
          <t>United Kingdom</t>
        </is>
      </c>
    </row>
    <row r="728">
      <c r="A728" t="inlineStr">
        <is>
          <t>U0727</t>
        </is>
      </c>
      <c r="B728" t="inlineStr">
        <is>
          <t>King Saud bin Abdulaziz University for Health Sciences</t>
        </is>
      </c>
      <c r="C728" t="inlineStr">
        <is>
          <t>SA</t>
        </is>
      </c>
      <c r="D728" t="inlineStr">
        <is>
          <t>Saudi Arabia</t>
        </is>
      </c>
    </row>
    <row r="729">
      <c r="A729" t="inlineStr">
        <is>
          <t>U0728</t>
        </is>
      </c>
      <c r="B729" t="inlineStr">
        <is>
          <t>King Saud University</t>
        </is>
      </c>
      <c r="C729" t="inlineStr">
        <is>
          <t>SA</t>
        </is>
      </c>
      <c r="D729" t="inlineStr">
        <is>
          <t>Saudi Arabia</t>
        </is>
      </c>
    </row>
    <row r="730">
      <c r="A730" t="inlineStr">
        <is>
          <t>U0729</t>
        </is>
      </c>
      <c r="B730" t="inlineStr">
        <is>
          <t>Kingston University</t>
        </is>
      </c>
      <c r="C730" t="inlineStr">
        <is>
          <t>UN</t>
        </is>
      </c>
      <c r="D730" t="inlineStr">
        <is>
          <t>United Kingdom</t>
        </is>
      </c>
    </row>
    <row r="731">
      <c r="A731" t="inlineStr">
        <is>
          <t>U0730</t>
        </is>
      </c>
      <c r="B731" t="inlineStr">
        <is>
          <t>Kingston University, London</t>
        </is>
      </c>
      <c r="C731" t="inlineStr">
        <is>
          <t>UN</t>
        </is>
      </c>
      <c r="D731" t="inlineStr">
        <is>
          <t>United Kingdom</t>
        </is>
      </c>
    </row>
    <row r="732">
      <c r="A732" t="inlineStr">
        <is>
          <t>U0731</t>
        </is>
      </c>
      <c r="B732" t="inlineStr">
        <is>
          <t>Kirikkale University</t>
        </is>
      </c>
      <c r="C732" t="inlineStr">
        <is>
          <t>TU</t>
        </is>
      </c>
      <c r="D732" t="inlineStr">
        <is>
          <t>Turkey</t>
        </is>
      </c>
    </row>
    <row r="733">
      <c r="A733" t="inlineStr">
        <is>
          <t>U0732</t>
        </is>
      </c>
      <c r="B733" t="inlineStr">
        <is>
          <t>KIT, Karlsruhe Institute of Technology</t>
        </is>
      </c>
      <c r="C733" t="inlineStr">
        <is>
          <t>GE</t>
        </is>
      </c>
      <c r="D733" t="inlineStr">
        <is>
          <t>Germany</t>
        </is>
      </c>
    </row>
    <row r="734">
      <c r="A734" t="inlineStr">
        <is>
          <t>U0733</t>
        </is>
      </c>
      <c r="B734" t="inlineStr">
        <is>
          <t>Kitasato University</t>
        </is>
      </c>
      <c r="C734" t="inlineStr">
        <is>
          <t>JA</t>
        </is>
      </c>
      <c r="D734" t="inlineStr">
        <is>
          <t>Japan</t>
        </is>
      </c>
    </row>
    <row r="735">
      <c r="A735" t="inlineStr">
        <is>
          <t>U0734</t>
        </is>
      </c>
      <c r="B735" t="inlineStr">
        <is>
          <t>KL University</t>
        </is>
      </c>
      <c r="C735" t="inlineStr">
        <is>
          <t>IN</t>
        </is>
      </c>
      <c r="D735" t="inlineStr">
        <is>
          <t>India</t>
        </is>
      </c>
    </row>
    <row r="736">
      <c r="A736" t="inlineStr">
        <is>
          <t>U0735</t>
        </is>
      </c>
      <c r="B736" t="inlineStr">
        <is>
          <t>Koç University</t>
        </is>
      </c>
      <c r="C736" t="inlineStr">
        <is>
          <t>TU</t>
        </is>
      </c>
      <c r="D736" t="inlineStr">
        <is>
          <t>Turkey</t>
        </is>
      </c>
    </row>
    <row r="737">
      <c r="A737" t="inlineStr">
        <is>
          <t>U0736</t>
        </is>
      </c>
      <c r="B737" t="inlineStr">
        <is>
          <t>Kobe University</t>
        </is>
      </c>
      <c r="C737" t="inlineStr">
        <is>
          <t>JA</t>
        </is>
      </c>
      <c r="D737" t="inlineStr">
        <is>
          <t>Japan</t>
        </is>
      </c>
    </row>
    <row r="738">
      <c r="A738" t="inlineStr">
        <is>
          <t>U0737</t>
        </is>
      </c>
      <c r="B738" t="inlineStr">
        <is>
          <t>Kocaeli University</t>
        </is>
      </c>
      <c r="C738" t="inlineStr">
        <is>
          <t>TU</t>
        </is>
      </c>
      <c r="D738" t="inlineStr">
        <is>
          <t>Turkey</t>
        </is>
      </c>
    </row>
    <row r="739">
      <c r="A739" t="inlineStr">
        <is>
          <t>U0738</t>
        </is>
      </c>
      <c r="B739" t="inlineStr">
        <is>
          <t>Kochi University</t>
        </is>
      </c>
      <c r="C739" t="inlineStr">
        <is>
          <t>JA</t>
        </is>
      </c>
      <c r="D739" t="inlineStr">
        <is>
          <t>Japan</t>
        </is>
      </c>
    </row>
    <row r="740">
      <c r="A740" t="inlineStr">
        <is>
          <t>U0739</t>
        </is>
      </c>
      <c r="B740" t="inlineStr">
        <is>
          <t>Kochi University of Technology</t>
        </is>
      </c>
      <c r="C740" t="inlineStr">
        <is>
          <t>JA</t>
        </is>
      </c>
      <c r="D740" t="inlineStr">
        <is>
          <t>Japan</t>
        </is>
      </c>
    </row>
    <row r="741">
      <c r="A741" t="inlineStr">
        <is>
          <t>U0740</t>
        </is>
      </c>
      <c r="B741" t="inlineStr">
        <is>
          <t>Kogakuin University</t>
        </is>
      </c>
      <c r="C741" t="inlineStr">
        <is>
          <t>JA</t>
        </is>
      </c>
      <c r="D741" t="inlineStr">
        <is>
          <t>Japan</t>
        </is>
      </c>
    </row>
    <row r="742">
      <c r="A742" t="inlineStr">
        <is>
          <t>U0741</t>
        </is>
      </c>
      <c r="B742" t="inlineStr">
        <is>
          <t>Kohat University of Science and Technology</t>
        </is>
      </c>
      <c r="C742" t="inlineStr">
        <is>
          <t>PA</t>
        </is>
      </c>
      <c r="D742" t="inlineStr">
        <is>
          <t>Pakistan</t>
        </is>
      </c>
    </row>
    <row r="743">
      <c r="A743" t="inlineStr">
        <is>
          <t>U0742</t>
        </is>
      </c>
      <c r="B743" t="inlineStr">
        <is>
          <t xml:space="preserve">Konkuk University </t>
        </is>
      </c>
      <c r="C743" t="inlineStr">
        <is>
          <t>SO</t>
        </is>
      </c>
      <c r="D743" t="inlineStr">
        <is>
          <t>South Korea</t>
        </is>
      </c>
    </row>
    <row r="744">
      <c r="A744" t="inlineStr">
        <is>
          <t>U0743</t>
        </is>
      </c>
      <c r="B744" t="inlineStr">
        <is>
          <t xml:space="preserve">Kookmin University </t>
        </is>
      </c>
      <c r="C744" t="inlineStr">
        <is>
          <t>SO</t>
        </is>
      </c>
      <c r="D744" t="inlineStr">
        <is>
          <t>South Korea</t>
        </is>
      </c>
    </row>
    <row r="745">
      <c r="A745" t="inlineStr">
        <is>
          <t>U0744</t>
        </is>
      </c>
      <c r="B745" t="inlineStr">
        <is>
          <t>Kore University of Enna</t>
        </is>
      </c>
      <c r="C745" t="inlineStr">
        <is>
          <t>IT</t>
        </is>
      </c>
      <c r="D745" t="inlineStr">
        <is>
          <t>Italy</t>
        </is>
      </c>
    </row>
    <row r="746">
      <c r="A746" t="inlineStr">
        <is>
          <t>U0745</t>
        </is>
      </c>
      <c r="B746" t="inlineStr">
        <is>
          <t>Korea Advanced Institute of Science and Technology (KAIST)</t>
        </is>
      </c>
      <c r="C746" t="inlineStr">
        <is>
          <t>SO</t>
        </is>
      </c>
      <c r="D746" t="inlineStr">
        <is>
          <t>South Korea</t>
        </is>
      </c>
    </row>
    <row r="747">
      <c r="A747" t="inlineStr">
        <is>
          <t>U0746</t>
        </is>
      </c>
      <c r="B747" t="inlineStr">
        <is>
          <t>Korea University</t>
        </is>
      </c>
      <c r="C747" t="inlineStr">
        <is>
          <t>SO</t>
        </is>
      </c>
      <c r="D747" t="inlineStr">
        <is>
          <t>South Korea</t>
        </is>
      </c>
    </row>
    <row r="748">
      <c r="A748" t="inlineStr">
        <is>
          <t>U0747</t>
        </is>
      </c>
      <c r="B748" t="inlineStr">
        <is>
          <t>Korkyt Ata Kyzylorda University</t>
        </is>
      </c>
      <c r="C748" t="inlineStr">
        <is>
          <t>KA</t>
        </is>
      </c>
      <c r="D748" t="inlineStr">
        <is>
          <t>Kazakhstan</t>
        </is>
      </c>
    </row>
    <row r="749">
      <c r="A749" t="inlineStr">
        <is>
          <t>U0748</t>
        </is>
      </c>
      <c r="B749" t="inlineStr">
        <is>
          <t xml:space="preserve">KTH Royal Institute of Technology </t>
        </is>
      </c>
      <c r="C749" t="inlineStr">
        <is>
          <t>SW</t>
        </is>
      </c>
      <c r="D749" t="inlineStr">
        <is>
          <t>Sweden</t>
        </is>
      </c>
    </row>
    <row r="750">
      <c r="A750" t="inlineStr">
        <is>
          <t>U0749</t>
        </is>
      </c>
      <c r="B750" t="inlineStr">
        <is>
          <t>KU Leuven</t>
        </is>
      </c>
      <c r="C750" t="inlineStr">
        <is>
          <t>BE</t>
        </is>
      </c>
      <c r="D750" t="inlineStr">
        <is>
          <t>Belgium</t>
        </is>
      </c>
    </row>
    <row r="751">
      <c r="A751" t="inlineStr">
        <is>
          <t>U0750</t>
        </is>
      </c>
      <c r="B751" t="inlineStr">
        <is>
          <t>Kumamoto University</t>
        </is>
      </c>
      <c r="C751" t="inlineStr">
        <is>
          <t>JA</t>
        </is>
      </c>
      <c r="D751" t="inlineStr">
        <is>
          <t>Japan</t>
        </is>
      </c>
    </row>
    <row r="752">
      <c r="A752" t="inlineStr">
        <is>
          <t>U0751</t>
        </is>
      </c>
      <c r="B752" t="inlineStr">
        <is>
          <t>Kurdistan University of Medical Sciences</t>
        </is>
      </c>
      <c r="C752" t="inlineStr">
        <is>
          <t>IR</t>
        </is>
      </c>
      <c r="D752" t="inlineStr">
        <is>
          <t>Iran</t>
        </is>
      </c>
    </row>
    <row r="753">
      <c r="A753" t="inlineStr">
        <is>
          <t>U0752</t>
        </is>
      </c>
      <c r="B753" t="inlineStr">
        <is>
          <t>Kurume University</t>
        </is>
      </c>
      <c r="C753" t="inlineStr">
        <is>
          <t>JA</t>
        </is>
      </c>
      <c r="D753" t="inlineStr">
        <is>
          <t>Japan</t>
        </is>
      </c>
    </row>
    <row r="754">
      <c r="A754" t="inlineStr">
        <is>
          <t>U0753</t>
        </is>
      </c>
      <c r="B754" t="inlineStr">
        <is>
          <t>Kuwait University</t>
        </is>
      </c>
      <c r="C754" t="inlineStr">
        <is>
          <t>KU</t>
        </is>
      </c>
      <c r="D754" t="inlineStr">
        <is>
          <t>Kuwait</t>
        </is>
      </c>
    </row>
    <row r="755">
      <c r="A755" t="inlineStr">
        <is>
          <t>U0754</t>
        </is>
      </c>
      <c r="B755" t="inlineStr">
        <is>
          <t>Kwame Nkrumah University of Science and Technology</t>
        </is>
      </c>
      <c r="C755" t="inlineStr">
        <is>
          <t>GH</t>
        </is>
      </c>
      <c r="D755" t="inlineStr">
        <is>
          <t>Ghana</t>
        </is>
      </c>
    </row>
    <row r="756">
      <c r="A756" t="inlineStr">
        <is>
          <t>U0755</t>
        </is>
      </c>
      <c r="B756" t="inlineStr">
        <is>
          <t>Kwansei Gakuin University</t>
        </is>
      </c>
      <c r="C756" t="inlineStr">
        <is>
          <t>JA</t>
        </is>
      </c>
      <c r="D756" t="inlineStr">
        <is>
          <t>Japan</t>
        </is>
      </c>
    </row>
    <row r="757">
      <c r="A757" t="inlineStr">
        <is>
          <t>U0756</t>
        </is>
      </c>
      <c r="B757" t="inlineStr">
        <is>
          <t>Kyoto Institute of Technology</t>
        </is>
      </c>
      <c r="C757" t="inlineStr">
        <is>
          <t>JA</t>
        </is>
      </c>
      <c r="D757" t="inlineStr">
        <is>
          <t>Japan</t>
        </is>
      </c>
    </row>
    <row r="758">
      <c r="A758" t="inlineStr">
        <is>
          <t>U0757</t>
        </is>
      </c>
      <c r="B758" t="inlineStr">
        <is>
          <t>Kyoto Prefectural University of Medicine</t>
        </is>
      </c>
      <c r="C758" t="inlineStr">
        <is>
          <t>JA</t>
        </is>
      </c>
      <c r="D758" t="inlineStr">
        <is>
          <t>Japan</t>
        </is>
      </c>
    </row>
    <row r="759">
      <c r="A759" t="inlineStr">
        <is>
          <t>U0758</t>
        </is>
      </c>
      <c r="B759" t="inlineStr">
        <is>
          <t>Kyoto Sangyo University</t>
        </is>
      </c>
      <c r="C759" t="inlineStr">
        <is>
          <t>JA</t>
        </is>
      </c>
      <c r="D759" t="inlineStr">
        <is>
          <t>Japan</t>
        </is>
      </c>
    </row>
    <row r="760">
      <c r="A760" t="inlineStr">
        <is>
          <t>U0759</t>
        </is>
      </c>
      <c r="B760" t="inlineStr">
        <is>
          <t>Kyoto University</t>
        </is>
      </c>
      <c r="C760" t="inlineStr">
        <is>
          <t>JA</t>
        </is>
      </c>
      <c r="D760" t="inlineStr">
        <is>
          <t>Japan</t>
        </is>
      </c>
    </row>
    <row r="761">
      <c r="A761" t="inlineStr">
        <is>
          <t>U0760</t>
        </is>
      </c>
      <c r="B761" t="inlineStr">
        <is>
          <t>Kyrgyz Russian Slavic University</t>
        </is>
      </c>
      <c r="C761" t="inlineStr">
        <is>
          <t>KY</t>
        </is>
      </c>
      <c r="D761" t="inlineStr">
        <is>
          <t>Kyrgyzstan</t>
        </is>
      </c>
    </row>
    <row r="762">
      <c r="A762" t="inlineStr">
        <is>
          <t>U0761</t>
        </is>
      </c>
      <c r="B762" t="inlineStr">
        <is>
          <t>Kyrgyz State Technical University</t>
        </is>
      </c>
      <c r="C762" t="inlineStr">
        <is>
          <t>KY</t>
        </is>
      </c>
      <c r="D762" t="inlineStr">
        <is>
          <t>Kyrgyzstan</t>
        </is>
      </c>
    </row>
    <row r="763">
      <c r="A763" t="inlineStr">
        <is>
          <t>U0762</t>
        </is>
      </c>
      <c r="B763" t="inlineStr">
        <is>
          <t>Kyrgyz-Turkish Manas University</t>
        </is>
      </c>
      <c r="C763" t="inlineStr">
        <is>
          <t>KY</t>
        </is>
      </c>
      <c r="D763" t="inlineStr">
        <is>
          <t>Kyrgyzstan</t>
        </is>
      </c>
    </row>
    <row r="764">
      <c r="A764" t="inlineStr">
        <is>
          <t>U0763</t>
        </is>
      </c>
      <c r="B764" t="inlineStr">
        <is>
          <t>Kyung Hee University</t>
        </is>
      </c>
      <c r="C764" t="inlineStr">
        <is>
          <t>SO</t>
        </is>
      </c>
      <c r="D764" t="inlineStr">
        <is>
          <t>South Korea</t>
        </is>
      </c>
    </row>
    <row r="765">
      <c r="A765" t="inlineStr">
        <is>
          <t>U0764</t>
        </is>
      </c>
      <c r="B765" t="inlineStr">
        <is>
          <t>Kyungpook National University</t>
        </is>
      </c>
      <c r="C765" t="inlineStr">
        <is>
          <t>SO</t>
        </is>
      </c>
      <c r="D765" t="inlineStr">
        <is>
          <t>South Korea</t>
        </is>
      </c>
    </row>
    <row r="766">
      <c r="A766" t="inlineStr">
        <is>
          <t>U0765</t>
        </is>
      </c>
      <c r="B766" t="inlineStr">
        <is>
          <t xml:space="preserve">Kyushu Institute of Technology </t>
        </is>
      </c>
      <c r="C766" t="inlineStr">
        <is>
          <t>JA</t>
        </is>
      </c>
      <c r="D766" t="inlineStr">
        <is>
          <t>Japan</t>
        </is>
      </c>
    </row>
    <row r="767">
      <c r="A767" t="inlineStr">
        <is>
          <t>U0766</t>
        </is>
      </c>
      <c r="B767" t="inlineStr">
        <is>
          <t>Kyushu University</t>
        </is>
      </c>
      <c r="C767" t="inlineStr">
        <is>
          <t>JA</t>
        </is>
      </c>
      <c r="D767" t="inlineStr">
        <is>
          <t>Japan</t>
        </is>
      </c>
    </row>
    <row r="768">
      <c r="A768" t="inlineStr">
        <is>
          <t>U0767</t>
        </is>
      </c>
      <c r="B768" t="inlineStr">
        <is>
          <t>L.N. Gumilyov Eurasian National University (ENU)</t>
        </is>
      </c>
      <c r="C768" t="inlineStr">
        <is>
          <t>KA</t>
        </is>
      </c>
      <c r="D768" t="inlineStr">
        <is>
          <t>Kazakhstan</t>
        </is>
      </c>
    </row>
    <row r="769">
      <c r="A769" t="inlineStr">
        <is>
          <t>U0768</t>
        </is>
      </c>
      <c r="B769" t="inlineStr">
        <is>
          <t>La Trobe University</t>
        </is>
      </c>
      <c r="C769" t="inlineStr">
        <is>
          <t>AU</t>
        </is>
      </c>
      <c r="D769" t="inlineStr">
        <is>
          <t>Australia</t>
        </is>
      </c>
    </row>
    <row r="770">
      <c r="A770" t="inlineStr">
        <is>
          <t>U0769</t>
        </is>
      </c>
      <c r="B770" t="inlineStr">
        <is>
          <t>Ladoke Akintola University of Technology</t>
        </is>
      </c>
      <c r="C770" t="inlineStr">
        <is>
          <t>NI</t>
        </is>
      </c>
      <c r="D770" t="inlineStr">
        <is>
          <t>Nigeria</t>
        </is>
      </c>
    </row>
    <row r="771">
      <c r="A771" t="inlineStr">
        <is>
          <t>U0770</t>
        </is>
      </c>
      <c r="B771" t="inlineStr">
        <is>
          <t>Lagos State University</t>
        </is>
      </c>
      <c r="C771" t="inlineStr">
        <is>
          <t>NI</t>
        </is>
      </c>
      <c r="D771" t="inlineStr">
        <is>
          <t>Nigeria</t>
        </is>
      </c>
    </row>
    <row r="772">
      <c r="A772" t="inlineStr">
        <is>
          <t>U0771</t>
        </is>
      </c>
      <c r="B772" t="inlineStr">
        <is>
          <t>Lahore College for Women University (LCWU)</t>
        </is>
      </c>
      <c r="C772" t="inlineStr">
        <is>
          <t>PA</t>
        </is>
      </c>
      <c r="D772" t="inlineStr">
        <is>
          <t>Pakistan</t>
        </is>
      </c>
    </row>
    <row r="773">
      <c r="A773" t="inlineStr">
        <is>
          <t>U0772</t>
        </is>
      </c>
      <c r="B773" t="inlineStr">
        <is>
          <t>Lahore University of Management Sciences (LUMS)</t>
        </is>
      </c>
      <c r="C773" t="inlineStr">
        <is>
          <t>PA</t>
        </is>
      </c>
      <c r="D773" t="inlineStr">
        <is>
          <t>Pakistan</t>
        </is>
      </c>
    </row>
    <row r="774">
      <c r="A774" t="inlineStr">
        <is>
          <t>U0773</t>
        </is>
      </c>
      <c r="B774" t="inlineStr">
        <is>
          <t>Lakehead University</t>
        </is>
      </c>
      <c r="C774" t="inlineStr">
        <is>
          <t>CA</t>
        </is>
      </c>
      <c r="D774" t="inlineStr">
        <is>
          <t>Canada</t>
        </is>
      </c>
    </row>
    <row r="775">
      <c r="A775" t="inlineStr">
        <is>
          <t>U0774</t>
        </is>
      </c>
      <c r="B775" t="inlineStr">
        <is>
          <t>Lancaster University</t>
        </is>
      </c>
      <c r="C775" t="inlineStr">
        <is>
          <t>UN</t>
        </is>
      </c>
      <c r="D775" t="inlineStr">
        <is>
          <t>United Kingdom</t>
        </is>
      </c>
    </row>
    <row r="776">
      <c r="A776" t="inlineStr">
        <is>
          <t>U0775</t>
        </is>
      </c>
      <c r="B776" t="inlineStr">
        <is>
          <t>Lanzhou University</t>
        </is>
      </c>
      <c r="C776" t="inlineStr">
        <is>
          <t>CH</t>
        </is>
      </c>
      <c r="D776" t="inlineStr">
        <is>
          <t>China</t>
        </is>
      </c>
    </row>
    <row r="777">
      <c r="A777" t="inlineStr">
        <is>
          <t>U0776</t>
        </is>
      </c>
      <c r="B777" t="inlineStr">
        <is>
          <t>Lappeenranta-Lahti University of Technology LUT</t>
        </is>
      </c>
      <c r="C777" t="inlineStr">
        <is>
          <t>FI</t>
        </is>
      </c>
      <c r="D777" t="inlineStr">
        <is>
          <t>Finland</t>
        </is>
      </c>
    </row>
    <row r="778">
      <c r="A778" t="inlineStr">
        <is>
          <t>U0777</t>
        </is>
      </c>
      <c r="B778" t="inlineStr">
        <is>
          <t>Latvia University of Life Sciences and Technologies</t>
        </is>
      </c>
      <c r="C778" t="inlineStr">
        <is>
          <t>LA</t>
        </is>
      </c>
      <c r="D778" t="inlineStr">
        <is>
          <t>Latvia</t>
        </is>
      </c>
    </row>
    <row r="779">
      <c r="A779" t="inlineStr">
        <is>
          <t>U0778</t>
        </is>
      </c>
      <c r="B779" t="inlineStr">
        <is>
          <t>Lebanese American University</t>
        </is>
      </c>
      <c r="C779" t="inlineStr">
        <is>
          <t>LE</t>
        </is>
      </c>
      <c r="D779" t="inlineStr">
        <is>
          <t>Lebanon</t>
        </is>
      </c>
    </row>
    <row r="780">
      <c r="A780" t="inlineStr">
        <is>
          <t>U0779</t>
        </is>
      </c>
      <c r="B780" t="inlineStr">
        <is>
          <t>Lebanese University</t>
        </is>
      </c>
      <c r="C780" t="inlineStr">
        <is>
          <t>LE</t>
        </is>
      </c>
      <c r="D780" t="inlineStr">
        <is>
          <t>Lebanon</t>
        </is>
      </c>
    </row>
    <row r="781">
      <c r="A781" t="inlineStr">
        <is>
          <t>U0780</t>
        </is>
      </c>
      <c r="B781" t="inlineStr">
        <is>
          <t>Leeds Beckett University</t>
        </is>
      </c>
      <c r="C781" t="inlineStr">
        <is>
          <t>UN</t>
        </is>
      </c>
      <c r="D781" t="inlineStr">
        <is>
          <t>United Kingdom</t>
        </is>
      </c>
    </row>
    <row r="782">
      <c r="A782" t="inlineStr">
        <is>
          <t>U0781</t>
        </is>
      </c>
      <c r="B782" t="inlineStr">
        <is>
          <t>Lehigh University</t>
        </is>
      </c>
      <c r="C782" t="inlineStr">
        <is>
          <t>UN</t>
        </is>
      </c>
      <c r="D782" t="inlineStr">
        <is>
          <t>United States</t>
        </is>
      </c>
    </row>
    <row r="783">
      <c r="A783" t="inlineStr">
        <is>
          <t>U0782</t>
        </is>
      </c>
      <c r="B783" t="inlineStr">
        <is>
          <t>Leibniz University Hannover</t>
        </is>
      </c>
      <c r="C783" t="inlineStr">
        <is>
          <t>GE</t>
        </is>
      </c>
      <c r="D783" t="inlineStr">
        <is>
          <t>Germany</t>
        </is>
      </c>
    </row>
    <row r="784">
      <c r="A784" t="inlineStr">
        <is>
          <t>U0783</t>
        </is>
      </c>
      <c r="B784" t="inlineStr">
        <is>
          <t>Leiden University</t>
        </is>
      </c>
      <c r="C784" t="inlineStr">
        <is>
          <t>NE</t>
        </is>
      </c>
      <c r="D784" t="inlineStr">
        <is>
          <t>Netherlands</t>
        </is>
      </c>
    </row>
    <row r="785">
      <c r="A785" t="inlineStr">
        <is>
          <t>U0784</t>
        </is>
      </c>
      <c r="B785" t="inlineStr">
        <is>
          <t>Leuphana University of Lüneburg</t>
        </is>
      </c>
      <c r="C785" t="inlineStr">
        <is>
          <t>GE</t>
        </is>
      </c>
      <c r="D785" t="inlineStr">
        <is>
          <t>Germany</t>
        </is>
      </c>
    </row>
    <row r="786">
      <c r="A786" t="inlineStr">
        <is>
          <t>U0785</t>
        </is>
      </c>
      <c r="B786" t="inlineStr">
        <is>
          <t xml:space="preserve">Lincoln University </t>
        </is>
      </c>
      <c r="C786" t="inlineStr">
        <is>
          <t>NE</t>
        </is>
      </c>
      <c r="D786" t="inlineStr">
        <is>
          <t>New Zealand</t>
        </is>
      </c>
    </row>
    <row r="787">
      <c r="A787" t="inlineStr">
        <is>
          <t>U0786</t>
        </is>
      </c>
      <c r="B787" t="inlineStr">
        <is>
          <t>Lingnan University, Hong Kong</t>
        </is>
      </c>
      <c r="C787" t="inlineStr">
        <is>
          <t>HO</t>
        </is>
      </c>
      <c r="D787" t="inlineStr">
        <is>
          <t>Hong Kong</t>
        </is>
      </c>
    </row>
    <row r="788">
      <c r="A788" t="inlineStr">
        <is>
          <t>U0787</t>
        </is>
      </c>
      <c r="B788" t="inlineStr">
        <is>
          <t>Linköping University</t>
        </is>
      </c>
      <c r="C788" t="inlineStr">
        <is>
          <t>SW</t>
        </is>
      </c>
      <c r="D788" t="inlineStr">
        <is>
          <t>Sweden</t>
        </is>
      </c>
    </row>
    <row r="789">
      <c r="A789" t="inlineStr">
        <is>
          <t>U0788</t>
        </is>
      </c>
      <c r="B789" t="inlineStr">
        <is>
          <t>Lithuanian University of Health Sciences</t>
        </is>
      </c>
      <c r="C789" t="inlineStr">
        <is>
          <t>LI</t>
        </is>
      </c>
      <c r="D789" t="inlineStr">
        <is>
          <t>Lithuania</t>
        </is>
      </c>
    </row>
    <row r="790">
      <c r="A790" t="inlineStr">
        <is>
          <t>U0789</t>
        </is>
      </c>
      <c r="B790" t="inlineStr">
        <is>
          <t>Liverpool John Moores University</t>
        </is>
      </c>
      <c r="C790" t="inlineStr">
        <is>
          <t>UN</t>
        </is>
      </c>
      <c r="D790" t="inlineStr">
        <is>
          <t>United Kingdom</t>
        </is>
      </c>
    </row>
    <row r="791">
      <c r="A791" t="inlineStr">
        <is>
          <t>U0790</t>
        </is>
      </c>
      <c r="B791" t="inlineStr">
        <is>
          <t>LMU Munich</t>
        </is>
      </c>
      <c r="C791" t="inlineStr">
        <is>
          <t>GE</t>
        </is>
      </c>
      <c r="D791" t="inlineStr">
        <is>
          <t>Germany</t>
        </is>
      </c>
    </row>
    <row r="792">
      <c r="A792" t="inlineStr">
        <is>
          <t>U0791</t>
        </is>
      </c>
      <c r="B792" t="inlineStr">
        <is>
          <t>Lobachevsky State University of Nizhni Novgorod</t>
        </is>
      </c>
      <c r="C792" t="inlineStr">
        <is>
          <t>RU</t>
        </is>
      </c>
      <c r="D792" t="inlineStr">
        <is>
          <t>Russian Federation</t>
        </is>
      </c>
    </row>
    <row r="793">
      <c r="A793" t="inlineStr">
        <is>
          <t>U0792</t>
        </is>
      </c>
      <c r="B793" t="inlineStr">
        <is>
          <t>Lobachevsky University</t>
        </is>
      </c>
      <c r="C793" t="inlineStr">
        <is>
          <t>RU</t>
        </is>
      </c>
      <c r="D793" t="inlineStr">
        <is>
          <t>Russian Federation</t>
        </is>
      </c>
    </row>
    <row r="794">
      <c r="A794" t="inlineStr">
        <is>
          <t>U0793</t>
        </is>
      </c>
      <c r="B794" t="inlineStr">
        <is>
          <t>Lodz University of Technology</t>
        </is>
      </c>
      <c r="C794" t="inlineStr">
        <is>
          <t>PO</t>
        </is>
      </c>
      <c r="D794" t="inlineStr">
        <is>
          <t>Poland</t>
        </is>
      </c>
    </row>
    <row r="795">
      <c r="A795" t="inlineStr">
        <is>
          <t>U0794</t>
        </is>
      </c>
      <c r="B795" t="inlineStr">
        <is>
          <t>Lomonosov Moscow State University</t>
        </is>
      </c>
      <c r="C795" t="inlineStr">
        <is>
          <t>RU</t>
        </is>
      </c>
      <c r="D795" t="inlineStr">
        <is>
          <t>Russian Federation</t>
        </is>
      </c>
    </row>
    <row r="796">
      <c r="A796" t="inlineStr">
        <is>
          <t>U0795</t>
        </is>
      </c>
      <c r="B796" t="inlineStr">
        <is>
          <t>London Metropolitan University</t>
        </is>
      </c>
      <c r="C796" t="inlineStr">
        <is>
          <t>UN</t>
        </is>
      </c>
      <c r="D796" t="inlineStr">
        <is>
          <t>United Kingdom</t>
        </is>
      </c>
    </row>
    <row r="797">
      <c r="A797" t="inlineStr">
        <is>
          <t>U0796</t>
        </is>
      </c>
      <c r="B797" t="inlineStr">
        <is>
          <t>The London School of Economics and Political Science (LSE)</t>
        </is>
      </c>
      <c r="C797" t="inlineStr">
        <is>
          <t>UN</t>
        </is>
      </c>
      <c r="D797" t="inlineStr">
        <is>
          <t>United Kingdom</t>
        </is>
      </c>
    </row>
    <row r="798">
      <c r="A798" t="inlineStr">
        <is>
          <t>U0797</t>
        </is>
      </c>
      <c r="B798" t="inlineStr">
        <is>
          <t>London South Bank University</t>
        </is>
      </c>
      <c r="C798" t="inlineStr">
        <is>
          <t>UN</t>
        </is>
      </c>
      <c r="D798" t="inlineStr">
        <is>
          <t>United Kingdom</t>
        </is>
      </c>
    </row>
    <row r="799">
      <c r="A799" t="inlineStr">
        <is>
          <t>U0798</t>
        </is>
      </c>
      <c r="B799" t="inlineStr">
        <is>
          <t>Londrina State University</t>
        </is>
      </c>
      <c r="C799" t="inlineStr">
        <is>
          <t>BR</t>
        </is>
      </c>
      <c r="D799" t="inlineStr">
        <is>
          <t>Brazil</t>
        </is>
      </c>
    </row>
    <row r="800">
      <c r="A800" t="inlineStr">
        <is>
          <t>U0799</t>
        </is>
      </c>
      <c r="B800" t="inlineStr">
        <is>
          <t>Lorestan University</t>
        </is>
      </c>
      <c r="C800" t="inlineStr">
        <is>
          <t>IR</t>
        </is>
      </c>
      <c r="D800" t="inlineStr">
        <is>
          <t>Iran</t>
        </is>
      </c>
    </row>
    <row r="801">
      <c r="A801" t="inlineStr">
        <is>
          <t>U0800</t>
        </is>
      </c>
      <c r="B801" t="inlineStr">
        <is>
          <t>Loughborough University</t>
        </is>
      </c>
      <c r="C801" t="inlineStr">
        <is>
          <t>UN</t>
        </is>
      </c>
      <c r="D801" t="inlineStr">
        <is>
          <t>United Kingdom</t>
        </is>
      </c>
    </row>
    <row r="802">
      <c r="A802" t="inlineStr">
        <is>
          <t>U0801</t>
        </is>
      </c>
      <c r="B802" t="inlineStr">
        <is>
          <t>Louisiana State University</t>
        </is>
      </c>
      <c r="C802" t="inlineStr">
        <is>
          <t>UN</t>
        </is>
      </c>
      <c r="D802" t="inlineStr">
        <is>
          <t>United States</t>
        </is>
      </c>
    </row>
    <row r="803">
      <c r="A803" t="inlineStr">
        <is>
          <t>U0802</t>
        </is>
      </c>
      <c r="B803" t="inlineStr">
        <is>
          <t>Lovely Professional University</t>
        </is>
      </c>
      <c r="C803" t="inlineStr">
        <is>
          <t>IN</t>
        </is>
      </c>
      <c r="D803" t="inlineStr">
        <is>
          <t>India</t>
        </is>
      </c>
    </row>
    <row r="804">
      <c r="A804" t="inlineStr">
        <is>
          <t>U0803</t>
        </is>
      </c>
      <c r="B804" t="inlineStr">
        <is>
          <t>Loyola University Chicago</t>
        </is>
      </c>
      <c r="C804" t="inlineStr">
        <is>
          <t>UN</t>
        </is>
      </c>
      <c r="D804" t="inlineStr">
        <is>
          <t>United States</t>
        </is>
      </c>
    </row>
    <row r="805">
      <c r="A805" t="inlineStr">
        <is>
          <t>U0804</t>
        </is>
      </c>
      <c r="B805" t="inlineStr">
        <is>
          <t>Lucian Blaga University of Sibiu</t>
        </is>
      </c>
      <c r="C805" t="inlineStr">
        <is>
          <t>RO</t>
        </is>
      </c>
      <c r="D805" t="inlineStr">
        <is>
          <t>Romania</t>
        </is>
      </c>
    </row>
    <row r="806">
      <c r="A806" t="inlineStr">
        <is>
          <t>U0805</t>
        </is>
      </c>
      <c r="B806" t="inlineStr">
        <is>
          <t>Ludwig-Maximilians-Universität München</t>
        </is>
      </c>
      <c r="C806" t="inlineStr">
        <is>
          <t>GE</t>
        </is>
      </c>
      <c r="D806" t="inlineStr">
        <is>
          <t>Germany</t>
        </is>
      </c>
    </row>
    <row r="807">
      <c r="A807" t="inlineStr">
        <is>
          <t>U0806</t>
        </is>
      </c>
      <c r="B807" t="inlineStr">
        <is>
          <t>Lumière University, Lyon 2</t>
        </is>
      </c>
      <c r="C807" t="inlineStr">
        <is>
          <t>FR</t>
        </is>
      </c>
      <c r="D807" t="inlineStr">
        <is>
          <t>France</t>
        </is>
      </c>
    </row>
    <row r="808">
      <c r="A808" t="inlineStr">
        <is>
          <t>U0807</t>
        </is>
      </c>
      <c r="B808" t="inlineStr">
        <is>
          <t>Lund University</t>
        </is>
      </c>
      <c r="C808" t="inlineStr">
        <is>
          <t>SW</t>
        </is>
      </c>
      <c r="D808" t="inlineStr">
        <is>
          <t>Sweden</t>
        </is>
      </c>
    </row>
    <row r="809">
      <c r="A809" t="inlineStr">
        <is>
          <t>U0808</t>
        </is>
      </c>
      <c r="B809" t="inlineStr">
        <is>
          <t>Lviv Polytechnic National University</t>
        </is>
      </c>
      <c r="C809" t="inlineStr">
        <is>
          <t>UK</t>
        </is>
      </c>
      <c r="D809" t="inlineStr">
        <is>
          <t>Ukraine</t>
        </is>
      </c>
    </row>
    <row r="810">
      <c r="A810" t="inlineStr">
        <is>
          <t>U0809</t>
        </is>
      </c>
      <c r="B810" t="inlineStr">
        <is>
          <t>M’Hamed Bougara University of Boumerdès</t>
        </is>
      </c>
      <c r="C810" t="inlineStr">
        <is>
          <t>AL</t>
        </is>
      </c>
      <c r="D810" t="inlineStr">
        <is>
          <t>Algeria</t>
        </is>
      </c>
    </row>
    <row r="811">
      <c r="A811" t="inlineStr">
        <is>
          <t>U0810</t>
        </is>
      </c>
      <c r="B811" t="inlineStr">
        <is>
          <t>M.Kh. Dulaty Taraz Regional University</t>
        </is>
      </c>
      <c r="C811" t="inlineStr">
        <is>
          <t>KA</t>
        </is>
      </c>
      <c r="D811" t="inlineStr">
        <is>
          <t>Kazakhstan</t>
        </is>
      </c>
    </row>
    <row r="812">
      <c r="A812" t="inlineStr">
        <is>
          <t>U0811</t>
        </is>
      </c>
      <c r="B812" t="inlineStr">
        <is>
          <t xml:space="preserve">Maastricht University </t>
        </is>
      </c>
      <c r="C812" t="inlineStr">
        <is>
          <t>NE</t>
        </is>
      </c>
      <c r="D812" t="inlineStr">
        <is>
          <t>Netherlands</t>
        </is>
      </c>
    </row>
    <row r="813">
      <c r="A813" t="inlineStr">
        <is>
          <t>U0812</t>
        </is>
      </c>
      <c r="B813" t="inlineStr">
        <is>
          <t>Macau University of Science and Technology</t>
        </is>
      </c>
      <c r="C813" t="inlineStr">
        <is>
          <t>MA</t>
        </is>
      </c>
      <c r="D813" t="inlineStr">
        <is>
          <t>Macao</t>
        </is>
      </c>
    </row>
    <row r="814">
      <c r="A814" t="inlineStr">
        <is>
          <t>U0813</t>
        </is>
      </c>
      <c r="B814" t="inlineStr">
        <is>
          <t>Mackenzie Presbyterian University</t>
        </is>
      </c>
      <c r="C814" t="inlineStr">
        <is>
          <t>BR</t>
        </is>
      </c>
      <c r="D814" t="inlineStr">
        <is>
          <t>Brazil</t>
        </is>
      </c>
    </row>
    <row r="815">
      <c r="A815" t="inlineStr">
        <is>
          <t>U0814</t>
        </is>
      </c>
      <c r="B815" t="inlineStr">
        <is>
          <t>Macquarie University</t>
        </is>
      </c>
      <c r="C815" t="inlineStr">
        <is>
          <t>AU</t>
        </is>
      </c>
      <c r="D815" t="inlineStr">
        <is>
          <t>Australia</t>
        </is>
      </c>
    </row>
    <row r="816">
      <c r="A816" t="inlineStr">
        <is>
          <t>U0815</t>
        </is>
      </c>
      <c r="B816" t="inlineStr">
        <is>
          <t>Mae Fah Luang University</t>
        </is>
      </c>
      <c r="C816" t="inlineStr">
        <is>
          <t>TH</t>
        </is>
      </c>
      <c r="D816" t="inlineStr">
        <is>
          <t>Thailand</t>
        </is>
      </c>
    </row>
    <row r="817">
      <c r="A817" t="inlineStr">
        <is>
          <t>U0816</t>
        </is>
      </c>
      <c r="B817" t="inlineStr">
        <is>
          <t>Maharishi Markandeshwar University (MMU)</t>
        </is>
      </c>
      <c r="C817" t="inlineStr">
        <is>
          <t>IN</t>
        </is>
      </c>
      <c r="D817" t="inlineStr">
        <is>
          <t>India</t>
        </is>
      </c>
    </row>
    <row r="818">
      <c r="A818" t="inlineStr">
        <is>
          <t>U0817</t>
        </is>
      </c>
      <c r="B818" t="inlineStr">
        <is>
          <t>Mahasarakham University</t>
        </is>
      </c>
      <c r="C818" t="inlineStr">
        <is>
          <t>TH</t>
        </is>
      </c>
      <c r="D818" t="inlineStr">
        <is>
          <t>Thailand</t>
        </is>
      </c>
    </row>
    <row r="819">
      <c r="A819" t="inlineStr">
        <is>
          <t>U0818</t>
        </is>
      </c>
      <c r="B819" t="inlineStr">
        <is>
          <t>Mahatma Gandhi University</t>
        </is>
      </c>
      <c r="C819" t="inlineStr">
        <is>
          <t>IN</t>
        </is>
      </c>
      <c r="D819" t="inlineStr">
        <is>
          <t>India</t>
        </is>
      </c>
    </row>
    <row r="820">
      <c r="A820" t="inlineStr">
        <is>
          <t>U0819</t>
        </is>
      </c>
      <c r="B820" t="inlineStr">
        <is>
          <t>Mahidol University</t>
        </is>
      </c>
      <c r="C820" t="inlineStr">
        <is>
          <t>TH</t>
        </is>
      </c>
      <c r="D820" t="inlineStr">
        <is>
          <t>Thailand</t>
        </is>
      </c>
    </row>
    <row r="821">
      <c r="A821" t="inlineStr">
        <is>
          <t>U0820</t>
        </is>
      </c>
      <c r="B821" t="inlineStr">
        <is>
          <t>Makerere University</t>
        </is>
      </c>
      <c r="C821" t="inlineStr">
        <is>
          <t>UG</t>
        </is>
      </c>
      <c r="D821" t="inlineStr">
        <is>
          <t>Uganda</t>
        </is>
      </c>
    </row>
    <row r="822">
      <c r="A822" t="inlineStr">
        <is>
          <t>U0821</t>
        </is>
      </c>
      <c r="B822" t="inlineStr">
        <is>
          <t>Malaviya National Institute of Technology</t>
        </is>
      </c>
      <c r="C822" t="inlineStr">
        <is>
          <t>IN</t>
        </is>
      </c>
      <c r="D822" t="inlineStr">
        <is>
          <t>India</t>
        </is>
      </c>
    </row>
    <row r="823">
      <c r="A823" t="inlineStr">
        <is>
          <t>U0822</t>
        </is>
      </c>
      <c r="B823" t="inlineStr">
        <is>
          <t>Management and Science University</t>
        </is>
      </c>
      <c r="C823" t="inlineStr">
        <is>
          <t>MA</t>
        </is>
      </c>
      <c r="D823" t="inlineStr">
        <is>
          <t>Malaysia</t>
        </is>
      </c>
    </row>
    <row r="824">
      <c r="A824" t="inlineStr">
        <is>
          <t>U0823</t>
        </is>
      </c>
      <c r="B824" t="inlineStr">
        <is>
          <t>Manchester Metropolitan University (MMU)</t>
        </is>
      </c>
      <c r="C824" t="inlineStr">
        <is>
          <t>UN</t>
        </is>
      </c>
      <c r="D824" t="inlineStr">
        <is>
          <t>United Kingdom</t>
        </is>
      </c>
    </row>
    <row r="825">
      <c r="A825" t="inlineStr">
        <is>
          <t>U0824</t>
        </is>
      </c>
      <c r="B825" t="inlineStr">
        <is>
          <t>Manipal Academy of Higher Education</t>
        </is>
      </c>
      <c r="C825" t="inlineStr">
        <is>
          <t>IN</t>
        </is>
      </c>
      <c r="D825" t="inlineStr">
        <is>
          <t>India</t>
        </is>
      </c>
    </row>
    <row r="826">
      <c r="A826" t="inlineStr">
        <is>
          <t>U0825</t>
        </is>
      </c>
      <c r="B826" t="inlineStr">
        <is>
          <t>Manipal Academy of Higher Education, Manipal, Karnataka, India</t>
        </is>
      </c>
      <c r="C826" t="inlineStr">
        <is>
          <t>IN</t>
        </is>
      </c>
      <c r="D826" t="inlineStr">
        <is>
          <t>India</t>
        </is>
      </c>
    </row>
    <row r="827">
      <c r="A827" t="inlineStr">
        <is>
          <t>U0826</t>
        </is>
      </c>
      <c r="B827" t="inlineStr">
        <is>
          <t>Manipal University Jaipur</t>
        </is>
      </c>
      <c r="C827" t="inlineStr">
        <is>
          <t>IN</t>
        </is>
      </c>
      <c r="D827" t="inlineStr">
        <is>
          <t>India</t>
        </is>
      </c>
    </row>
    <row r="828">
      <c r="A828" t="inlineStr">
        <is>
          <t>U0827</t>
        </is>
      </c>
      <c r="B828" t="inlineStr">
        <is>
          <t>Manisa Celal Bayar University</t>
        </is>
      </c>
      <c r="C828" t="inlineStr">
        <is>
          <t>TU</t>
        </is>
      </c>
      <c r="D828" t="inlineStr">
        <is>
          <t>Turkey</t>
        </is>
      </c>
    </row>
    <row r="829">
      <c r="A829" t="inlineStr">
        <is>
          <t>U0828</t>
        </is>
      </c>
      <c r="B829" t="inlineStr">
        <is>
          <t>Mansoura University</t>
        </is>
      </c>
      <c r="C829" t="inlineStr">
        <is>
          <t>EG</t>
        </is>
      </c>
      <c r="D829" t="inlineStr">
        <is>
          <t>Egypt</t>
        </is>
      </c>
    </row>
    <row r="830">
      <c r="A830" t="inlineStr">
        <is>
          <t>U0829</t>
        </is>
      </c>
      <c r="B830" t="inlineStr">
        <is>
          <t>Marche Polytechnic University</t>
        </is>
      </c>
      <c r="C830" t="inlineStr">
        <is>
          <t>IT</t>
        </is>
      </c>
      <c r="D830" t="inlineStr">
        <is>
          <t>Italy</t>
        </is>
      </c>
    </row>
    <row r="831">
      <c r="A831" t="inlineStr">
        <is>
          <t>U0830</t>
        </is>
      </c>
      <c r="B831" t="inlineStr">
        <is>
          <t>Maria Curie-Skłodowska University (UMCS)</t>
        </is>
      </c>
      <c r="C831" t="inlineStr">
        <is>
          <t>PO</t>
        </is>
      </c>
      <c r="D831" t="inlineStr">
        <is>
          <t>Poland</t>
        </is>
      </c>
    </row>
    <row r="832">
      <c r="A832" t="inlineStr">
        <is>
          <t>U0831</t>
        </is>
      </c>
      <c r="B832" t="inlineStr">
        <is>
          <t>Marmara University</t>
        </is>
      </c>
      <c r="C832" t="inlineStr">
        <is>
          <t>TU</t>
        </is>
      </c>
      <c r="D832" t="inlineStr">
        <is>
          <t>Turkey</t>
        </is>
      </c>
    </row>
    <row r="833">
      <c r="A833" t="inlineStr">
        <is>
          <t>U0832</t>
        </is>
      </c>
      <c r="B833" t="inlineStr">
        <is>
          <t>Marquette University</t>
        </is>
      </c>
      <c r="C833" t="inlineStr">
        <is>
          <t>UN</t>
        </is>
      </c>
      <c r="D833" t="inlineStr">
        <is>
          <t>United States</t>
        </is>
      </c>
    </row>
    <row r="834">
      <c r="A834" t="inlineStr">
        <is>
          <t>U0833</t>
        </is>
      </c>
      <c r="B834" t="inlineStr">
        <is>
          <t>Martin-Luther-Universität Halle-Wittenberg</t>
        </is>
      </c>
      <c r="C834" t="inlineStr">
        <is>
          <t>GE</t>
        </is>
      </c>
      <c r="D834" t="inlineStr">
        <is>
          <t>Germany</t>
        </is>
      </c>
    </row>
    <row r="835">
      <c r="A835" t="inlineStr">
        <is>
          <t>U0834</t>
        </is>
      </c>
      <c r="B835" t="inlineStr">
        <is>
          <t>Masaryk University</t>
        </is>
      </c>
      <c r="C835" t="inlineStr">
        <is>
          <t>CZ</t>
        </is>
      </c>
      <c r="D835" t="inlineStr">
        <is>
          <t>Czech Republic</t>
        </is>
      </c>
    </row>
    <row r="836">
      <c r="A836" t="inlineStr">
        <is>
          <t>U0835</t>
        </is>
      </c>
      <c r="B836" t="inlineStr">
        <is>
          <t>Mashhad University of Medical Sciences</t>
        </is>
      </c>
      <c r="C836" t="inlineStr">
        <is>
          <t>IR</t>
        </is>
      </c>
      <c r="D836" t="inlineStr">
        <is>
          <t>Iran</t>
        </is>
      </c>
    </row>
    <row r="837">
      <c r="A837" t="inlineStr">
        <is>
          <t>U0836</t>
        </is>
      </c>
      <c r="B837" t="inlineStr">
        <is>
          <t xml:space="preserve">Massachusetts Institute of Technology (MIT) </t>
        </is>
      </c>
      <c r="C837" t="inlineStr">
        <is>
          <t>UN</t>
        </is>
      </c>
      <c r="D837" t="inlineStr">
        <is>
          <t>United States</t>
        </is>
      </c>
    </row>
    <row r="838">
      <c r="A838" t="inlineStr">
        <is>
          <t>U0837</t>
        </is>
      </c>
      <c r="B838" t="inlineStr">
        <is>
          <t>Massey University</t>
        </is>
      </c>
      <c r="C838" t="inlineStr">
        <is>
          <t>NE</t>
        </is>
      </c>
      <c r="D838" t="inlineStr">
        <is>
          <t>New Zealand</t>
        </is>
      </c>
    </row>
    <row r="839">
      <c r="A839" t="inlineStr">
        <is>
          <t>U0838</t>
        </is>
      </c>
      <c r="B839" t="inlineStr">
        <is>
          <t>Matej Bel University</t>
        </is>
      </c>
      <c r="C839" t="inlineStr">
        <is>
          <t>SL</t>
        </is>
      </c>
      <c r="D839" t="inlineStr">
        <is>
          <t>Slovakia</t>
        </is>
      </c>
    </row>
    <row r="840">
      <c r="A840" t="inlineStr">
        <is>
          <t>U0839</t>
        </is>
      </c>
      <c r="B840" t="inlineStr">
        <is>
          <t>Maynooth University</t>
        </is>
      </c>
      <c r="C840" t="inlineStr">
        <is>
          <t>IR</t>
        </is>
      </c>
      <c r="D840" t="inlineStr">
        <is>
          <t>Ireland</t>
        </is>
      </c>
    </row>
    <row r="841">
      <c r="A841" t="inlineStr">
        <is>
          <t>U0840</t>
        </is>
      </c>
      <c r="B841" t="inlineStr">
        <is>
          <t>Mazandaran University of Medical Sciences</t>
        </is>
      </c>
      <c r="C841" t="inlineStr">
        <is>
          <t>IR</t>
        </is>
      </c>
      <c r="D841" t="inlineStr">
        <is>
          <t>Iran</t>
        </is>
      </c>
    </row>
    <row r="842">
      <c r="A842" t="inlineStr">
        <is>
          <t>U0841</t>
        </is>
      </c>
      <c r="B842" t="inlineStr">
        <is>
          <t>McGill University</t>
        </is>
      </c>
      <c r="C842" t="inlineStr">
        <is>
          <t>CA</t>
        </is>
      </c>
      <c r="D842" t="inlineStr">
        <is>
          <t>Canada</t>
        </is>
      </c>
    </row>
    <row r="843">
      <c r="A843" t="inlineStr">
        <is>
          <t>U0842</t>
        </is>
      </c>
      <c r="B843" t="inlineStr">
        <is>
          <t>McMaster University</t>
        </is>
      </c>
      <c r="C843" t="inlineStr">
        <is>
          <t>CA</t>
        </is>
      </c>
      <c r="D843" t="inlineStr">
        <is>
          <t>Canada</t>
        </is>
      </c>
    </row>
    <row r="844">
      <c r="A844" t="inlineStr">
        <is>
          <t>U0843</t>
        </is>
      </c>
      <c r="B844" t="inlineStr">
        <is>
          <t>Medical University of Bialystok</t>
        </is>
      </c>
      <c r="C844" t="inlineStr">
        <is>
          <t>PO</t>
        </is>
      </c>
      <c r="D844" t="inlineStr">
        <is>
          <t>Poland</t>
        </is>
      </c>
    </row>
    <row r="845">
      <c r="A845" t="inlineStr">
        <is>
          <t>U0844</t>
        </is>
      </c>
      <c r="B845" t="inlineStr">
        <is>
          <t>Medical University of Gdańsk</t>
        </is>
      </c>
      <c r="C845" t="inlineStr">
        <is>
          <t>PO</t>
        </is>
      </c>
      <c r="D845" t="inlineStr">
        <is>
          <t>Poland</t>
        </is>
      </c>
    </row>
    <row r="846">
      <c r="A846" t="inlineStr">
        <is>
          <t>U0845</t>
        </is>
      </c>
      <c r="B846" t="inlineStr">
        <is>
          <t>Medical University of Graz</t>
        </is>
      </c>
      <c r="C846" t="inlineStr">
        <is>
          <t>AU</t>
        </is>
      </c>
      <c r="D846" t="inlineStr">
        <is>
          <t>Austria</t>
        </is>
      </c>
    </row>
    <row r="847">
      <c r="A847" t="inlineStr">
        <is>
          <t>U0846</t>
        </is>
      </c>
      <c r="B847" t="inlineStr">
        <is>
          <t>Medical University of Innsbruck</t>
        </is>
      </c>
      <c r="C847" t="inlineStr">
        <is>
          <t>AU</t>
        </is>
      </c>
      <c r="D847" t="inlineStr">
        <is>
          <t>Austria</t>
        </is>
      </c>
    </row>
    <row r="848">
      <c r="A848" t="inlineStr">
        <is>
          <t>U0847</t>
        </is>
      </c>
      <c r="B848" t="inlineStr">
        <is>
          <t>Medical University of Lodz</t>
        </is>
      </c>
      <c r="C848" t="inlineStr">
        <is>
          <t>PO</t>
        </is>
      </c>
      <c r="D848" t="inlineStr">
        <is>
          <t>Poland</t>
        </is>
      </c>
    </row>
    <row r="849">
      <c r="A849" t="inlineStr">
        <is>
          <t>U0848</t>
        </is>
      </c>
      <c r="B849" t="inlineStr">
        <is>
          <t>Medical University of Lublin</t>
        </is>
      </c>
      <c r="C849" t="inlineStr">
        <is>
          <t>PO</t>
        </is>
      </c>
      <c r="D849" t="inlineStr">
        <is>
          <t>Poland</t>
        </is>
      </c>
    </row>
    <row r="850">
      <c r="A850" t="inlineStr">
        <is>
          <t>U0849</t>
        </is>
      </c>
      <c r="B850" t="inlineStr">
        <is>
          <t>Medical University of Silesia in Katowice</t>
        </is>
      </c>
      <c r="C850" t="inlineStr">
        <is>
          <t>PO</t>
        </is>
      </c>
      <c r="D850" t="inlineStr">
        <is>
          <t>Poland</t>
        </is>
      </c>
    </row>
    <row r="851">
      <c r="A851" t="inlineStr">
        <is>
          <t>U0850</t>
        </is>
      </c>
      <c r="B851" t="inlineStr">
        <is>
          <t>Medical University of Sofia</t>
        </is>
      </c>
      <c r="C851" t="inlineStr">
        <is>
          <t>BU</t>
        </is>
      </c>
      <c r="D851" t="inlineStr">
        <is>
          <t>Bulgaria</t>
        </is>
      </c>
    </row>
    <row r="852">
      <c r="A852" t="inlineStr">
        <is>
          <t>U0851</t>
        </is>
      </c>
      <c r="B852" t="inlineStr">
        <is>
          <t>Medical University of Vienna</t>
        </is>
      </c>
      <c r="C852" t="inlineStr">
        <is>
          <t>AU</t>
        </is>
      </c>
      <c r="D852" t="inlineStr">
        <is>
          <t>Austria</t>
        </is>
      </c>
    </row>
    <row r="853">
      <c r="A853" t="inlineStr">
        <is>
          <t>U0852</t>
        </is>
      </c>
      <c r="B853" t="inlineStr">
        <is>
          <t>Medical University of Warsaw</t>
        </is>
      </c>
      <c r="C853" t="inlineStr">
        <is>
          <t>PO</t>
        </is>
      </c>
      <c r="D853" t="inlineStr">
        <is>
          <t>Poland</t>
        </is>
      </c>
    </row>
    <row r="854">
      <c r="A854" t="inlineStr">
        <is>
          <t>U0853</t>
        </is>
      </c>
      <c r="B854" t="inlineStr">
        <is>
          <t>Mehran University of Engineering and Technology, Jamshoro, Pakistan</t>
        </is>
      </c>
      <c r="C854" t="inlineStr">
        <is>
          <t>PA</t>
        </is>
      </c>
      <c r="D854" t="inlineStr">
        <is>
          <t>Pakistan</t>
        </is>
      </c>
    </row>
    <row r="855">
      <c r="A855" t="inlineStr">
        <is>
          <t>U0854</t>
        </is>
      </c>
      <c r="B855" t="inlineStr">
        <is>
          <t>Meiji University</t>
        </is>
      </c>
      <c r="C855" t="inlineStr">
        <is>
          <t>JA</t>
        </is>
      </c>
      <c r="D855" t="inlineStr">
        <is>
          <t>Japan</t>
        </is>
      </c>
    </row>
    <row r="856">
      <c r="A856" t="inlineStr">
        <is>
          <t>U0855</t>
        </is>
      </c>
      <c r="B856" t="inlineStr">
        <is>
          <t>Meijo University</t>
        </is>
      </c>
      <c r="C856" t="inlineStr">
        <is>
          <t>JA</t>
        </is>
      </c>
      <c r="D856" t="inlineStr">
        <is>
          <t>Japan</t>
        </is>
      </c>
    </row>
    <row r="857">
      <c r="A857" t="inlineStr">
        <is>
          <t>U0856</t>
        </is>
      </c>
      <c r="B857" t="inlineStr">
        <is>
          <t>Memorial University of Newfoundland</t>
        </is>
      </c>
      <c r="C857" t="inlineStr">
        <is>
          <t>CA</t>
        </is>
      </c>
      <c r="D857" t="inlineStr">
        <is>
          <t>Canada</t>
        </is>
      </c>
    </row>
    <row r="858">
      <c r="A858" t="inlineStr">
        <is>
          <t>U0857</t>
        </is>
      </c>
      <c r="B858" t="inlineStr">
        <is>
          <t>Mendel University in Brno</t>
        </is>
      </c>
      <c r="C858" t="inlineStr">
        <is>
          <t>CZ</t>
        </is>
      </c>
      <c r="D858" t="inlineStr">
        <is>
          <t>Czech Republic</t>
        </is>
      </c>
    </row>
    <row r="859">
      <c r="A859" t="inlineStr">
        <is>
          <t>U0858</t>
        </is>
      </c>
      <c r="B859" t="inlineStr">
        <is>
          <t>Mendeleev University of Chemical Technology</t>
        </is>
      </c>
      <c r="C859" t="inlineStr">
        <is>
          <t>RU</t>
        </is>
      </c>
      <c r="D859" t="inlineStr">
        <is>
          <t>Russian Federation</t>
        </is>
      </c>
    </row>
    <row r="860">
      <c r="A860" t="inlineStr">
        <is>
          <t>U0859</t>
        </is>
      </c>
      <c r="B860" t="inlineStr">
        <is>
          <t>Metropolitan Autonomous University</t>
        </is>
      </c>
      <c r="C860" t="inlineStr">
        <is>
          <t>ME</t>
        </is>
      </c>
      <c r="D860" t="inlineStr">
        <is>
          <t>Mexico</t>
        </is>
      </c>
    </row>
    <row r="861">
      <c r="A861" t="inlineStr">
        <is>
          <t>U0860</t>
        </is>
      </c>
      <c r="B861" t="inlineStr">
        <is>
          <t>MGIMO University</t>
        </is>
      </c>
      <c r="C861" t="inlineStr">
        <is>
          <t>RU</t>
        </is>
      </c>
      <c r="D861" t="inlineStr">
        <is>
          <t>Russian Federation</t>
        </is>
      </c>
    </row>
    <row r="862">
      <c r="A862" t="inlineStr">
        <is>
          <t>U0861</t>
        </is>
      </c>
      <c r="B862" t="inlineStr">
        <is>
          <t>Miami University</t>
        </is>
      </c>
      <c r="C862" t="inlineStr">
        <is>
          <t>UN</t>
        </is>
      </c>
      <c r="D862" t="inlineStr">
        <is>
          <t>United States</t>
        </is>
      </c>
    </row>
    <row r="863">
      <c r="A863" t="inlineStr">
        <is>
          <t>U0862</t>
        </is>
      </c>
      <c r="B863" t="inlineStr">
        <is>
          <t>Michigan State University</t>
        </is>
      </c>
      <c r="C863" t="inlineStr">
        <is>
          <t>UN</t>
        </is>
      </c>
      <c r="D863" t="inlineStr">
        <is>
          <t>United States</t>
        </is>
      </c>
    </row>
    <row r="864">
      <c r="A864" t="inlineStr">
        <is>
          <t>U0863</t>
        </is>
      </c>
      <c r="B864" t="inlineStr">
        <is>
          <t>Michigan Technological University</t>
        </is>
      </c>
      <c r="C864" t="inlineStr">
        <is>
          <t>UN</t>
        </is>
      </c>
      <c r="D864" t="inlineStr">
        <is>
          <t>United States</t>
        </is>
      </c>
    </row>
    <row r="865">
      <c r="A865" t="inlineStr">
        <is>
          <t>U0864</t>
        </is>
      </c>
      <c r="B865" t="inlineStr">
        <is>
          <t>Middle East Technical University</t>
        </is>
      </c>
      <c r="C865" t="inlineStr">
        <is>
          <t>TU</t>
        </is>
      </c>
      <c r="D865" t="inlineStr">
        <is>
          <t>Turkey</t>
        </is>
      </c>
    </row>
    <row r="866">
      <c r="A866" t="inlineStr">
        <is>
          <t>U0865</t>
        </is>
      </c>
      <c r="B866" t="inlineStr">
        <is>
          <t>Middle Technical University</t>
        </is>
      </c>
      <c r="C866" t="inlineStr">
        <is>
          <t>IR</t>
        </is>
      </c>
      <c r="D866" t="inlineStr">
        <is>
          <t>Iraq</t>
        </is>
      </c>
    </row>
    <row r="867">
      <c r="A867" t="inlineStr">
        <is>
          <t>U0866</t>
        </is>
      </c>
      <c r="B867" t="inlineStr">
        <is>
          <t>Middlesex University</t>
        </is>
      </c>
      <c r="C867" t="inlineStr">
        <is>
          <t>UN</t>
        </is>
      </c>
      <c r="D867" t="inlineStr">
        <is>
          <t>United Kingdom</t>
        </is>
      </c>
    </row>
    <row r="868">
      <c r="A868" t="inlineStr">
        <is>
          <t>U0867</t>
        </is>
      </c>
      <c r="B868" t="inlineStr">
        <is>
          <t>Mie University</t>
        </is>
      </c>
      <c r="C868" t="inlineStr">
        <is>
          <t>JA</t>
        </is>
      </c>
      <c r="D868" t="inlineStr">
        <is>
          <t>Japan</t>
        </is>
      </c>
    </row>
    <row r="869">
      <c r="A869" t="inlineStr">
        <is>
          <t>U0868</t>
        </is>
      </c>
      <c r="B869" t="inlineStr">
        <is>
          <t>Miguel Hernández University of Elche</t>
        </is>
      </c>
      <c r="C869" t="inlineStr">
        <is>
          <t>SP</t>
        </is>
      </c>
      <c r="D869" t="inlineStr">
        <is>
          <t>Spain</t>
        </is>
      </c>
    </row>
    <row r="870">
      <c r="A870" t="inlineStr">
        <is>
          <t>U0869</t>
        </is>
      </c>
      <c r="B870" t="inlineStr">
        <is>
          <t>Ming Chi University of Technology</t>
        </is>
      </c>
      <c r="C870" t="inlineStr">
        <is>
          <t>TA</t>
        </is>
      </c>
      <c r="D870" t="inlineStr">
        <is>
          <t>Taiwan</t>
        </is>
      </c>
    </row>
    <row r="871">
      <c r="A871" t="inlineStr">
        <is>
          <t>U0870</t>
        </is>
      </c>
      <c r="B871" t="inlineStr">
        <is>
          <t>Ming Chuan University</t>
        </is>
      </c>
      <c r="C871" t="inlineStr">
        <is>
          <t>TA</t>
        </is>
      </c>
      <c r="D871" t="inlineStr">
        <is>
          <t>Taiwan</t>
        </is>
      </c>
    </row>
    <row r="872">
      <c r="A872" t="inlineStr">
        <is>
          <t>U0871</t>
        </is>
      </c>
      <c r="B872" t="inlineStr">
        <is>
          <t>Minia University</t>
        </is>
      </c>
      <c r="C872" t="inlineStr">
        <is>
          <t>EG</t>
        </is>
      </c>
      <c r="D872" t="inlineStr">
        <is>
          <t>Egypt</t>
        </is>
      </c>
    </row>
    <row r="873">
      <c r="A873" t="inlineStr">
        <is>
          <t>U0872</t>
        </is>
      </c>
      <c r="B873" t="inlineStr">
        <is>
          <t>MIREA - Russian Technological University</t>
        </is>
      </c>
      <c r="C873" t="inlineStr">
        <is>
          <t>RU</t>
        </is>
      </c>
      <c r="D873" t="inlineStr">
        <is>
          <t>Russian Federation</t>
        </is>
      </c>
    </row>
    <row r="874">
      <c r="A874" t="inlineStr">
        <is>
          <t>U0873</t>
        </is>
      </c>
      <c r="B874" t="inlineStr">
        <is>
          <t>Mirpur University of Science and Technology</t>
        </is>
      </c>
      <c r="C874" t="inlineStr">
        <is>
          <t>PA</t>
        </is>
      </c>
      <c r="D874" t="inlineStr">
        <is>
          <t>Pakistan</t>
        </is>
      </c>
    </row>
    <row r="875">
      <c r="A875" t="inlineStr">
        <is>
          <t>U0874</t>
        </is>
      </c>
      <c r="B875" t="inlineStr">
        <is>
          <t>Mississippi State University</t>
        </is>
      </c>
      <c r="C875" t="inlineStr">
        <is>
          <t>UN</t>
        </is>
      </c>
      <c r="D875" t="inlineStr">
        <is>
          <t>United States</t>
        </is>
      </c>
    </row>
    <row r="876">
      <c r="A876" t="inlineStr">
        <is>
          <t>U0875</t>
        </is>
      </c>
      <c r="B876" t="inlineStr">
        <is>
          <t>Missouri University of Science and Technology</t>
        </is>
      </c>
      <c r="C876" t="inlineStr">
        <is>
          <t>UN</t>
        </is>
      </c>
      <c r="D876" t="inlineStr">
        <is>
          <t>United States</t>
        </is>
      </c>
    </row>
    <row r="877">
      <c r="A877" t="inlineStr">
        <is>
          <t>U0876</t>
        </is>
      </c>
      <c r="B877" t="inlineStr">
        <is>
          <t>Mizzou - University of Missouri</t>
        </is>
      </c>
      <c r="C877" t="inlineStr">
        <is>
          <t>UN</t>
        </is>
      </c>
      <c r="D877" t="inlineStr">
        <is>
          <t>United States</t>
        </is>
      </c>
    </row>
    <row r="878">
      <c r="A878" t="inlineStr">
        <is>
          <t>U0877</t>
        </is>
      </c>
      <c r="B878" t="inlineStr">
        <is>
          <t>Mohammed V University of Rabat</t>
        </is>
      </c>
      <c r="C878" t="inlineStr">
        <is>
          <t>MO</t>
        </is>
      </c>
      <c r="D878" t="inlineStr">
        <is>
          <t>Morocco</t>
        </is>
      </c>
    </row>
    <row r="879">
      <c r="A879" t="inlineStr">
        <is>
          <t>U0878</t>
        </is>
      </c>
      <c r="B879" t="inlineStr">
        <is>
          <t>Monash University</t>
        </is>
      </c>
      <c r="C879" t="inlineStr">
        <is>
          <t>AU</t>
        </is>
      </c>
      <c r="D879" t="inlineStr">
        <is>
          <t>Australia</t>
        </is>
      </c>
    </row>
    <row r="880">
      <c r="A880" t="inlineStr">
        <is>
          <t>U0879</t>
        </is>
      </c>
      <c r="B880" t="inlineStr">
        <is>
          <t>Montana State University</t>
        </is>
      </c>
      <c r="C880" t="inlineStr">
        <is>
          <t>UN</t>
        </is>
      </c>
      <c r="D880" t="inlineStr">
        <is>
          <t>United States</t>
        </is>
      </c>
    </row>
    <row r="881">
      <c r="A881" t="inlineStr">
        <is>
          <t>U0880</t>
        </is>
      </c>
      <c r="B881" t="inlineStr">
        <is>
          <t>Monterrey Institute of Technology</t>
        </is>
      </c>
      <c r="C881" t="inlineStr">
        <is>
          <t>ME</t>
        </is>
      </c>
      <c r="D881" t="inlineStr">
        <is>
          <t>Mexico</t>
        </is>
      </c>
    </row>
    <row r="882">
      <c r="A882" t="inlineStr">
        <is>
          <t>U0881</t>
        </is>
      </c>
      <c r="B882" t="inlineStr">
        <is>
          <t>Montpellier University</t>
        </is>
      </c>
      <c r="C882" t="inlineStr">
        <is>
          <t>FR</t>
        </is>
      </c>
      <c r="D882" t="inlineStr">
        <is>
          <t>France</t>
        </is>
      </c>
    </row>
    <row r="883">
      <c r="A883" t="inlineStr">
        <is>
          <t>U0882</t>
        </is>
      </c>
      <c r="B883" t="inlineStr">
        <is>
          <t>Morgan State University</t>
        </is>
      </c>
      <c r="C883" t="inlineStr">
        <is>
          <t>UN</t>
        </is>
      </c>
      <c r="D883" t="inlineStr">
        <is>
          <t>United States</t>
        </is>
      </c>
    </row>
    <row r="884">
      <c r="A884" t="inlineStr">
        <is>
          <t>U0883</t>
        </is>
      </c>
      <c r="B884" t="inlineStr">
        <is>
          <t>Moscow Aviation Institute</t>
        </is>
      </c>
      <c r="C884" t="inlineStr">
        <is>
          <t>RU</t>
        </is>
      </c>
      <c r="D884" t="inlineStr">
        <is>
          <t>Russian Federation</t>
        </is>
      </c>
    </row>
    <row r="885">
      <c r="A885" t="inlineStr">
        <is>
          <t>U0884</t>
        </is>
      </c>
      <c r="B885" t="inlineStr">
        <is>
          <t>Moscow City University</t>
        </is>
      </c>
      <c r="C885" t="inlineStr">
        <is>
          <t>RU</t>
        </is>
      </c>
      <c r="D885" t="inlineStr">
        <is>
          <t>Russian Federation</t>
        </is>
      </c>
    </row>
    <row r="886">
      <c r="A886" t="inlineStr">
        <is>
          <t>U0885</t>
        </is>
      </c>
      <c r="B886" t="inlineStr">
        <is>
          <t>Moscow Institute of Physics and Technology (MIPT / Moscow Phystech)</t>
        </is>
      </c>
      <c r="C886" t="inlineStr">
        <is>
          <t>RU</t>
        </is>
      </c>
      <c r="D886" t="inlineStr">
        <is>
          <t>Russian Federation</t>
        </is>
      </c>
    </row>
    <row r="887">
      <c r="A887" t="inlineStr">
        <is>
          <t>U0886</t>
        </is>
      </c>
      <c r="B887" t="inlineStr">
        <is>
          <t>Moscow Pedagogical State University</t>
        </is>
      </c>
      <c r="C887" t="inlineStr">
        <is>
          <t>RU</t>
        </is>
      </c>
      <c r="D887" t="inlineStr">
        <is>
          <t>Russian Federation</t>
        </is>
      </c>
    </row>
    <row r="888">
      <c r="A888" t="inlineStr">
        <is>
          <t>U0887</t>
        </is>
      </c>
      <c r="B888" t="inlineStr">
        <is>
          <t>Moscow Polytechnic University</t>
        </is>
      </c>
      <c r="C888" t="inlineStr">
        <is>
          <t>RU</t>
        </is>
      </c>
      <c r="D888" t="inlineStr">
        <is>
          <t>Russian Federation</t>
        </is>
      </c>
    </row>
    <row r="889">
      <c r="A889" t="inlineStr">
        <is>
          <t>U0888</t>
        </is>
      </c>
      <c r="B889" t="inlineStr">
        <is>
          <t>Moscow Power Engineering Institute</t>
        </is>
      </c>
      <c r="C889" t="inlineStr">
        <is>
          <t>RU</t>
        </is>
      </c>
      <c r="D889" t="inlineStr">
        <is>
          <t>Russian Federation</t>
        </is>
      </c>
    </row>
    <row r="890">
      <c r="A890" t="inlineStr">
        <is>
          <t>U0889</t>
        </is>
      </c>
      <c r="B890" t="inlineStr">
        <is>
          <t>Moscow State University of Civil Engineering</t>
        </is>
      </c>
      <c r="C890" t="inlineStr">
        <is>
          <t>RU</t>
        </is>
      </c>
      <c r="D890" t="inlineStr">
        <is>
          <t>Russian Federation</t>
        </is>
      </c>
    </row>
    <row r="891">
      <c r="A891" t="inlineStr">
        <is>
          <t>U0890</t>
        </is>
      </c>
      <c r="B891" t="inlineStr">
        <is>
          <t>Moulay Ismail University</t>
        </is>
      </c>
      <c r="C891" t="inlineStr">
        <is>
          <t>MO</t>
        </is>
      </c>
      <c r="D891" t="inlineStr">
        <is>
          <t>Morocco</t>
        </is>
      </c>
    </row>
    <row r="892">
      <c r="A892" t="inlineStr">
        <is>
          <t>U0891</t>
        </is>
      </c>
      <c r="B892" t="inlineStr">
        <is>
          <t>Muhimbili University of Health and Allied Sciences</t>
        </is>
      </c>
      <c r="C892" t="inlineStr">
        <is>
          <t>TA</t>
        </is>
      </c>
      <c r="D892" t="inlineStr">
        <is>
          <t>Tanzania</t>
        </is>
      </c>
    </row>
    <row r="893">
      <c r="A893" t="inlineStr">
        <is>
          <t>U0892</t>
        </is>
      </c>
      <c r="B893" t="inlineStr">
        <is>
          <t>Multimedia University (MMU)</t>
        </is>
      </c>
      <c r="C893" t="inlineStr">
        <is>
          <t>MA</t>
        </is>
      </c>
      <c r="D893" t="inlineStr">
        <is>
          <t>Malaysia</t>
        </is>
      </c>
    </row>
    <row r="894">
      <c r="A894" t="inlineStr">
        <is>
          <t>U0893</t>
        </is>
      </c>
      <c r="B894" t="inlineStr">
        <is>
          <t>Murdoch University</t>
        </is>
      </c>
      <c r="C894" t="inlineStr">
        <is>
          <t>AU</t>
        </is>
      </c>
      <c r="D894" t="inlineStr">
        <is>
          <t>Australia</t>
        </is>
      </c>
    </row>
    <row r="895">
      <c r="A895" t="inlineStr">
        <is>
          <t>U0894</t>
        </is>
      </c>
      <c r="B895" t="inlineStr">
        <is>
          <t>Muroran Institute of Technology</t>
        </is>
      </c>
      <c r="C895" t="inlineStr">
        <is>
          <t>JA</t>
        </is>
      </c>
      <c r="D895" t="inlineStr">
        <is>
          <t>Japan</t>
        </is>
      </c>
    </row>
    <row r="896">
      <c r="A896" t="inlineStr">
        <is>
          <t>U0895</t>
        </is>
      </c>
      <c r="B896" t="inlineStr">
        <is>
          <t>Mustansiriyah University</t>
        </is>
      </c>
      <c r="C896" t="inlineStr">
        <is>
          <t>IR</t>
        </is>
      </c>
      <c r="D896" t="inlineStr">
        <is>
          <t>Iraq</t>
        </is>
      </c>
    </row>
    <row r="897">
      <c r="A897" t="inlineStr">
        <is>
          <t>U0896</t>
        </is>
      </c>
      <c r="B897" t="inlineStr">
        <is>
          <t>Mutah University</t>
        </is>
      </c>
      <c r="C897" t="inlineStr">
        <is>
          <t>JO</t>
        </is>
      </c>
      <c r="D897" t="inlineStr">
        <is>
          <t>Jordan</t>
        </is>
      </c>
    </row>
    <row r="898">
      <c r="A898" t="inlineStr">
        <is>
          <t>U0897</t>
        </is>
      </c>
      <c r="B898" t="inlineStr">
        <is>
          <t>Mykolas Romeris University</t>
        </is>
      </c>
      <c r="C898" t="inlineStr">
        <is>
          <t>LI</t>
        </is>
      </c>
      <c r="D898" t="inlineStr">
        <is>
          <t>Lithuania</t>
        </is>
      </c>
    </row>
    <row r="899">
      <c r="A899" t="inlineStr">
        <is>
          <t>U0898</t>
        </is>
      </c>
      <c r="B899" t="inlineStr">
        <is>
          <t>Nagaoka University of Technology</t>
        </is>
      </c>
      <c r="C899" t="inlineStr">
        <is>
          <t>JA</t>
        </is>
      </c>
      <c r="D899" t="inlineStr">
        <is>
          <t>Japan</t>
        </is>
      </c>
    </row>
    <row r="900">
      <c r="A900" t="inlineStr">
        <is>
          <t>U0899</t>
        </is>
      </c>
      <c r="B900" t="inlineStr">
        <is>
          <t>Nagasaki University</t>
        </is>
      </c>
      <c r="C900" t="inlineStr">
        <is>
          <t>JA</t>
        </is>
      </c>
      <c r="D900" t="inlineStr">
        <is>
          <t>Japan</t>
        </is>
      </c>
    </row>
    <row r="901">
      <c r="A901" t="inlineStr">
        <is>
          <t>U0900</t>
        </is>
      </c>
      <c r="B901" t="inlineStr">
        <is>
          <t>Nagoya City University</t>
        </is>
      </c>
      <c r="C901" t="inlineStr">
        <is>
          <t>JA</t>
        </is>
      </c>
      <c r="D901" t="inlineStr">
        <is>
          <t>Japan</t>
        </is>
      </c>
    </row>
    <row r="902">
      <c r="A902" t="inlineStr">
        <is>
          <t>U0901</t>
        </is>
      </c>
      <c r="B902" t="inlineStr">
        <is>
          <t>Nagoya Institute of Technology (NIT)</t>
        </is>
      </c>
      <c r="C902" t="inlineStr">
        <is>
          <t>JA</t>
        </is>
      </c>
      <c r="D902" t="inlineStr">
        <is>
          <t>Japan</t>
        </is>
      </c>
    </row>
    <row r="903">
      <c r="A903" t="inlineStr">
        <is>
          <t>U0902</t>
        </is>
      </c>
      <c r="B903" t="inlineStr">
        <is>
          <t>Nagoya University</t>
        </is>
      </c>
      <c r="C903" t="inlineStr">
        <is>
          <t>JA</t>
        </is>
      </c>
      <c r="D903" t="inlineStr">
        <is>
          <t>Japan</t>
        </is>
      </c>
    </row>
    <row r="904">
      <c r="A904" t="inlineStr">
        <is>
          <t>U0903</t>
        </is>
      </c>
      <c r="B904" t="inlineStr">
        <is>
          <t>Najran University</t>
        </is>
      </c>
      <c r="C904" t="inlineStr">
        <is>
          <t>SA</t>
        </is>
      </c>
      <c r="D904" t="inlineStr">
        <is>
          <t>Saudi Arabia</t>
        </is>
      </c>
    </row>
    <row r="905">
      <c r="A905" t="inlineStr">
        <is>
          <t>U0904</t>
        </is>
      </c>
      <c r="B905" t="inlineStr">
        <is>
          <t>Nanjing Agricultural University</t>
        </is>
      </c>
      <c r="C905" t="inlineStr">
        <is>
          <t>CH</t>
        </is>
      </c>
      <c r="D905" t="inlineStr">
        <is>
          <t>China</t>
        </is>
      </c>
    </row>
    <row r="906">
      <c r="A906" t="inlineStr">
        <is>
          <t>U0905</t>
        </is>
      </c>
      <c r="B906" t="inlineStr">
        <is>
          <t>Nanjing Forestry University</t>
        </is>
      </c>
      <c r="C906" t="inlineStr">
        <is>
          <t>CH</t>
        </is>
      </c>
      <c r="D906" t="inlineStr">
        <is>
          <t>China</t>
        </is>
      </c>
    </row>
    <row r="907">
      <c r="A907" t="inlineStr">
        <is>
          <t>U0906</t>
        </is>
      </c>
      <c r="B907" t="inlineStr">
        <is>
          <t>Nanjing Medical University</t>
        </is>
      </c>
      <c r="C907" t="inlineStr">
        <is>
          <t>CH</t>
        </is>
      </c>
      <c r="D907" t="inlineStr">
        <is>
          <t>China</t>
        </is>
      </c>
    </row>
    <row r="908">
      <c r="A908" t="inlineStr">
        <is>
          <t>U0907</t>
        </is>
      </c>
      <c r="B908" t="inlineStr">
        <is>
          <t>Nanjing Normal University</t>
        </is>
      </c>
      <c r="C908" t="inlineStr">
        <is>
          <t>CH</t>
        </is>
      </c>
      <c r="D908" t="inlineStr">
        <is>
          <t>China</t>
        </is>
      </c>
    </row>
    <row r="909">
      <c r="A909" t="inlineStr">
        <is>
          <t>U0908</t>
        </is>
      </c>
      <c r="B909" t="inlineStr">
        <is>
          <t>Nanjing Tech University</t>
        </is>
      </c>
      <c r="C909" t="inlineStr">
        <is>
          <t>CH</t>
        </is>
      </c>
      <c r="D909" t="inlineStr">
        <is>
          <t>China</t>
        </is>
      </c>
    </row>
    <row r="910">
      <c r="A910" t="inlineStr">
        <is>
          <t>U0909</t>
        </is>
      </c>
      <c r="B910" t="inlineStr">
        <is>
          <t>Nanjing University</t>
        </is>
      </c>
      <c r="C910" t="inlineStr">
        <is>
          <t>CH</t>
        </is>
      </c>
      <c r="D910" t="inlineStr">
        <is>
          <t>China</t>
        </is>
      </c>
    </row>
    <row r="911">
      <c r="A911" t="inlineStr">
        <is>
          <t>U0910</t>
        </is>
      </c>
      <c r="B911" t="inlineStr">
        <is>
          <t>Nanjing University of Aeronautics and Astronautics</t>
        </is>
      </c>
      <c r="C911" t="inlineStr">
        <is>
          <t>CH</t>
        </is>
      </c>
      <c r="D911" t="inlineStr">
        <is>
          <t>China</t>
        </is>
      </c>
    </row>
    <row r="912">
      <c r="A912" t="inlineStr">
        <is>
          <t>U0911</t>
        </is>
      </c>
      <c r="B912" t="inlineStr">
        <is>
          <t>Nanjing University of Information Science and Technology</t>
        </is>
      </c>
      <c r="C912" t="inlineStr">
        <is>
          <t>CH</t>
        </is>
      </c>
      <c r="D912" t="inlineStr">
        <is>
          <t>China</t>
        </is>
      </c>
    </row>
    <row r="913">
      <c r="A913" t="inlineStr">
        <is>
          <t>U0912</t>
        </is>
      </c>
      <c r="B913" t="inlineStr">
        <is>
          <t>Nanjing University of Science and Technology</t>
        </is>
      </c>
      <c r="C913" t="inlineStr">
        <is>
          <t>CH</t>
        </is>
      </c>
      <c r="D913" t="inlineStr">
        <is>
          <t>China</t>
        </is>
      </c>
    </row>
    <row r="914">
      <c r="A914" t="inlineStr">
        <is>
          <t>U0913</t>
        </is>
      </c>
      <c r="B914" t="inlineStr">
        <is>
          <t>Nankai University</t>
        </is>
      </c>
      <c r="C914" t="inlineStr">
        <is>
          <t>CH</t>
        </is>
      </c>
      <c r="D914" t="inlineStr">
        <is>
          <t>China</t>
        </is>
      </c>
    </row>
    <row r="915">
      <c r="A915" t="inlineStr">
        <is>
          <t>U0914</t>
        </is>
      </c>
      <c r="B915" t="inlineStr">
        <is>
          <t>Nantes Université</t>
        </is>
      </c>
      <c r="C915" t="inlineStr">
        <is>
          <t>FR</t>
        </is>
      </c>
      <c r="D915" t="inlineStr">
        <is>
          <t>France</t>
        </is>
      </c>
    </row>
    <row r="916">
      <c r="A916" t="inlineStr">
        <is>
          <t>U0915</t>
        </is>
      </c>
      <c r="B916" t="inlineStr">
        <is>
          <t>Nanyang Technological University, Singapore (NTU)</t>
        </is>
      </c>
      <c r="C916" t="inlineStr">
        <is>
          <t>SI</t>
        </is>
      </c>
      <c r="D916" t="inlineStr">
        <is>
          <t>Singapore</t>
        </is>
      </c>
    </row>
    <row r="917">
      <c r="A917" t="inlineStr">
        <is>
          <t>U0916</t>
        </is>
      </c>
      <c r="B917" t="inlineStr">
        <is>
          <t>Nara Women’s University</t>
        </is>
      </c>
      <c r="C917" t="inlineStr">
        <is>
          <t>JA</t>
        </is>
      </c>
      <c r="D917" t="inlineStr">
        <is>
          <t>Japan</t>
        </is>
      </c>
    </row>
    <row r="918">
      <c r="A918" t="inlineStr">
        <is>
          <t>U0917</t>
        </is>
      </c>
      <c r="B918" t="inlineStr">
        <is>
          <t>Naresuan University</t>
        </is>
      </c>
      <c r="C918" t="inlineStr">
        <is>
          <t>TH</t>
        </is>
      </c>
      <c r="D918" t="inlineStr">
        <is>
          <t>Thailand</t>
        </is>
      </c>
    </row>
    <row r="919">
      <c r="A919" t="inlineStr">
        <is>
          <t>U0918</t>
        </is>
      </c>
      <c r="B919" t="inlineStr">
        <is>
          <t>Narxoz University</t>
        </is>
      </c>
      <c r="C919" t="inlineStr">
        <is>
          <t>KA</t>
        </is>
      </c>
      <c r="D919" t="inlineStr">
        <is>
          <t>Kazakhstan</t>
        </is>
      </c>
    </row>
    <row r="920">
      <c r="A920" t="inlineStr">
        <is>
          <t>U0919</t>
        </is>
      </c>
      <c r="B920" t="inlineStr">
        <is>
          <t>National and Kapodistrian University of Athens</t>
        </is>
      </c>
      <c r="C920" t="inlineStr">
        <is>
          <t>GR</t>
        </is>
      </c>
      <c r="D920" t="inlineStr">
        <is>
          <t>Greece</t>
        </is>
      </c>
    </row>
    <row r="921">
      <c r="A921" t="inlineStr">
        <is>
          <t>U0920</t>
        </is>
      </c>
      <c r="B921" t="inlineStr">
        <is>
          <t>National Autonomous University of Mexico</t>
        </is>
      </c>
      <c r="C921" t="inlineStr">
        <is>
          <t>ME</t>
        </is>
      </c>
      <c r="D921" t="inlineStr">
        <is>
          <t>Mexico</t>
        </is>
      </c>
    </row>
    <row r="922">
      <c r="A922" t="inlineStr">
        <is>
          <t>U0921</t>
        </is>
      </c>
      <c r="B922" t="inlineStr">
        <is>
          <t>National Aviation University</t>
        </is>
      </c>
      <c r="C922" t="inlineStr">
        <is>
          <t>UK</t>
        </is>
      </c>
      <c r="D922" t="inlineStr">
        <is>
          <t>Ukraine</t>
        </is>
      </c>
    </row>
    <row r="923">
      <c r="A923" t="inlineStr">
        <is>
          <t>U0922</t>
        </is>
      </c>
      <c r="B923" t="inlineStr">
        <is>
          <t>National Central University</t>
        </is>
      </c>
      <c r="C923" t="inlineStr">
        <is>
          <t>TA</t>
        </is>
      </c>
      <c r="D923" t="inlineStr">
        <is>
          <t>Taiwan</t>
        </is>
      </c>
    </row>
    <row r="924">
      <c r="A924" t="inlineStr">
        <is>
          <t>U0923</t>
        </is>
      </c>
      <c r="B924" t="inlineStr">
        <is>
          <t>National Changhua University of Education</t>
        </is>
      </c>
      <c r="C924" t="inlineStr">
        <is>
          <t>TA</t>
        </is>
      </c>
      <c r="D924" t="inlineStr">
        <is>
          <t>Taiwan</t>
        </is>
      </c>
    </row>
    <row r="925">
      <c r="A925" t="inlineStr">
        <is>
          <t>U0924</t>
        </is>
      </c>
      <c r="B925" t="inlineStr">
        <is>
          <t>National Cheng Kung University (NCKU)</t>
        </is>
      </c>
      <c r="C925" t="inlineStr">
        <is>
          <t>TA</t>
        </is>
      </c>
      <c r="D925" t="inlineStr">
        <is>
          <t>Taiwan</t>
        </is>
      </c>
    </row>
    <row r="926">
      <c r="A926" t="inlineStr">
        <is>
          <t>U0925</t>
        </is>
      </c>
      <c r="B926" t="inlineStr">
        <is>
          <t>National Chengchi University</t>
        </is>
      </c>
      <c r="C926" t="inlineStr">
        <is>
          <t>TA</t>
        </is>
      </c>
      <c r="D926" t="inlineStr">
        <is>
          <t>Taiwan</t>
        </is>
      </c>
    </row>
    <row r="927">
      <c r="A927" t="inlineStr">
        <is>
          <t>U0926</t>
        </is>
      </c>
      <c r="B927" t="inlineStr">
        <is>
          <t>National Chi Nan University</t>
        </is>
      </c>
      <c r="C927" t="inlineStr">
        <is>
          <t>TA</t>
        </is>
      </c>
      <c r="D927" t="inlineStr">
        <is>
          <t>Taiwan</t>
        </is>
      </c>
    </row>
    <row r="928">
      <c r="A928" t="inlineStr">
        <is>
          <t>U0927</t>
        </is>
      </c>
      <c r="B928" t="inlineStr">
        <is>
          <t>National Chiayi University</t>
        </is>
      </c>
      <c r="C928" t="inlineStr">
        <is>
          <t>TA</t>
        </is>
      </c>
      <c r="D928" t="inlineStr">
        <is>
          <t>Taiwan</t>
        </is>
      </c>
    </row>
    <row r="929">
      <c r="A929" t="inlineStr">
        <is>
          <t>U0928</t>
        </is>
      </c>
      <c r="B929" t="inlineStr">
        <is>
          <t>National Chin-Yi University of Technology</t>
        </is>
      </c>
      <c r="C929" t="inlineStr">
        <is>
          <t>TA</t>
        </is>
      </c>
      <c r="D929" t="inlineStr">
        <is>
          <t>Taiwan</t>
        </is>
      </c>
    </row>
    <row r="930">
      <c r="A930" t="inlineStr">
        <is>
          <t>U0929</t>
        </is>
      </c>
      <c r="B930" t="inlineStr">
        <is>
          <t>National Chung Cheng University</t>
        </is>
      </c>
      <c r="C930" t="inlineStr">
        <is>
          <t>TA</t>
        </is>
      </c>
      <c r="D930" t="inlineStr">
        <is>
          <t>Taiwan</t>
        </is>
      </c>
    </row>
    <row r="931">
      <c r="A931" t="inlineStr">
        <is>
          <t>U0930</t>
        </is>
      </c>
      <c r="B931" t="inlineStr">
        <is>
          <t>National Chung Hsing University</t>
        </is>
      </c>
      <c r="C931" t="inlineStr">
        <is>
          <t>TA</t>
        </is>
      </c>
      <c r="D931" t="inlineStr">
        <is>
          <t>Taiwan</t>
        </is>
      </c>
    </row>
    <row r="932">
      <c r="A932" t="inlineStr">
        <is>
          <t>U0931</t>
        </is>
      </c>
      <c r="B932" t="inlineStr">
        <is>
          <t>National Dong Hwa University</t>
        </is>
      </c>
      <c r="C932" t="inlineStr">
        <is>
          <t>TA</t>
        </is>
      </c>
      <c r="D932" t="inlineStr">
        <is>
          <t>Taiwan</t>
        </is>
      </c>
    </row>
    <row r="933">
      <c r="A933" t="inlineStr">
        <is>
          <t>U0932</t>
        </is>
      </c>
      <c r="B933" t="inlineStr">
        <is>
          <t>National Formosa University</t>
        </is>
      </c>
      <c r="C933" t="inlineStr">
        <is>
          <t>TA</t>
        </is>
      </c>
      <c r="D933" t="inlineStr">
        <is>
          <t>Taiwan</t>
        </is>
      </c>
    </row>
    <row r="934">
      <c r="A934" t="inlineStr">
        <is>
          <t>U0933</t>
        </is>
      </c>
      <c r="B934" t="inlineStr">
        <is>
          <t>National Ilan University</t>
        </is>
      </c>
      <c r="C934" t="inlineStr">
        <is>
          <t>TA</t>
        </is>
      </c>
      <c r="D934" t="inlineStr">
        <is>
          <t>Taiwan</t>
        </is>
      </c>
    </row>
    <row r="935">
      <c r="A935" t="inlineStr">
        <is>
          <t>U0934</t>
        </is>
      </c>
      <c r="B935" t="inlineStr">
        <is>
          <t>National Institute of Applied Sciences of Lyon (INSA Lyon)</t>
        </is>
      </c>
      <c r="C935" t="inlineStr">
        <is>
          <t>FR</t>
        </is>
      </c>
      <c r="D935" t="inlineStr">
        <is>
          <t>France</t>
        </is>
      </c>
    </row>
    <row r="936">
      <c r="A936" t="inlineStr">
        <is>
          <t>U0935</t>
        </is>
      </c>
      <c r="B936" t="inlineStr">
        <is>
          <t>National Institute of Technology Rourkela</t>
        </is>
      </c>
      <c r="C936" t="inlineStr">
        <is>
          <t>IN</t>
        </is>
      </c>
      <c r="D936" t="inlineStr">
        <is>
          <t>India</t>
        </is>
      </c>
    </row>
    <row r="937">
      <c r="A937" t="inlineStr">
        <is>
          <t>U0936</t>
        </is>
      </c>
      <c r="B937" t="inlineStr">
        <is>
          <t>National Institute of Technology Silchar</t>
        </is>
      </c>
      <c r="C937" t="inlineStr">
        <is>
          <t>IN</t>
        </is>
      </c>
      <c r="D937" t="inlineStr">
        <is>
          <t>India</t>
        </is>
      </c>
    </row>
    <row r="938">
      <c r="A938" t="inlineStr">
        <is>
          <t>U0937</t>
        </is>
      </c>
      <c r="B938" t="inlineStr">
        <is>
          <t>National Institute of Technology Srinagar</t>
        </is>
      </c>
      <c r="C938" t="inlineStr">
        <is>
          <t>IN</t>
        </is>
      </c>
      <c r="D938" t="inlineStr">
        <is>
          <t>India</t>
        </is>
      </c>
    </row>
    <row r="939">
      <c r="A939" t="inlineStr">
        <is>
          <t>U0938</t>
        </is>
      </c>
      <c r="B939" t="inlineStr">
        <is>
          <t>National Institute of Technology Tiruchirappalli</t>
        </is>
      </c>
      <c r="C939" t="inlineStr">
        <is>
          <t>IN</t>
        </is>
      </c>
      <c r="D939" t="inlineStr">
        <is>
          <t>India</t>
        </is>
      </c>
    </row>
    <row r="940">
      <c r="A940" t="inlineStr">
        <is>
          <t>U0939</t>
        </is>
      </c>
      <c r="B940" t="inlineStr">
        <is>
          <t>National Institute of Technology Warangal</t>
        </is>
      </c>
      <c r="C940" t="inlineStr">
        <is>
          <t>IN</t>
        </is>
      </c>
      <c r="D940" t="inlineStr">
        <is>
          <t>India</t>
        </is>
      </c>
    </row>
    <row r="941">
      <c r="A941" t="inlineStr">
        <is>
          <t>U0940</t>
        </is>
      </c>
      <c r="B941" t="inlineStr">
        <is>
          <t>National Kaohsiung University of Science and Technology</t>
        </is>
      </c>
      <c r="C941" t="inlineStr">
        <is>
          <t>TA</t>
        </is>
      </c>
      <c r="D941" t="inlineStr">
        <is>
          <t>Taiwan</t>
        </is>
      </c>
    </row>
    <row r="942">
      <c r="A942" t="inlineStr">
        <is>
          <t>U0941</t>
        </is>
      </c>
      <c r="B942" t="inlineStr">
        <is>
          <t>National Research Nuclear University MEPhI (Moscow Engineering Physics Institute)</t>
        </is>
      </c>
      <c r="C942" t="inlineStr">
        <is>
          <t>RU</t>
        </is>
      </c>
      <c r="D942" t="inlineStr">
        <is>
          <t>Russian Federation</t>
        </is>
      </c>
    </row>
    <row r="943">
      <c r="A943" t="inlineStr">
        <is>
          <t>U0942</t>
        </is>
      </c>
      <c r="B943" t="inlineStr">
        <is>
          <t>National Research Saratov State University</t>
        </is>
      </c>
      <c r="C943" t="inlineStr">
        <is>
          <t>RU</t>
        </is>
      </c>
      <c r="D943" t="inlineStr">
        <is>
          <t>Russian Federation</t>
        </is>
      </c>
    </row>
    <row r="944">
      <c r="A944" t="inlineStr">
        <is>
          <t>U0943</t>
        </is>
      </c>
      <c r="B944" t="inlineStr">
        <is>
          <t>National Research Tomsk Polytechnic University</t>
        </is>
      </c>
      <c r="C944" t="inlineStr">
        <is>
          <t>RU</t>
        </is>
      </c>
      <c r="D944" t="inlineStr">
        <is>
          <t>Russian Federation</t>
        </is>
      </c>
    </row>
    <row r="945">
      <c r="A945" t="inlineStr">
        <is>
          <t>U0944</t>
        </is>
      </c>
      <c r="B945" t="inlineStr">
        <is>
          <t>The National Research University "Belgorod State University"</t>
        </is>
      </c>
      <c r="C945" t="inlineStr">
        <is>
          <t>RU</t>
        </is>
      </c>
      <c r="D945" t="inlineStr">
        <is>
          <t>Russian Federation</t>
        </is>
      </c>
    </row>
    <row r="946">
      <c r="A946" t="inlineStr">
        <is>
          <t>U0945</t>
        </is>
      </c>
      <c r="B946" t="inlineStr">
        <is>
          <t>National Research University Moscow Power Engineering Institute (MPEI)</t>
        </is>
      </c>
      <c r="C946" t="inlineStr">
        <is>
          <t>RU</t>
        </is>
      </c>
      <c r="D946" t="inlineStr">
        <is>
          <t>Russian Federation</t>
        </is>
      </c>
    </row>
    <row r="947">
      <c r="A947" t="inlineStr">
        <is>
          <t>U0946</t>
        </is>
      </c>
      <c r="B947" t="inlineStr">
        <is>
          <t>National Research University of Electronic Technology (MIET)</t>
        </is>
      </c>
      <c r="C947" t="inlineStr">
        <is>
          <t>RU</t>
        </is>
      </c>
      <c r="D947" t="inlineStr">
        <is>
          <t>Russian Federation</t>
        </is>
      </c>
    </row>
    <row r="948">
      <c r="A948" t="inlineStr">
        <is>
          <t>U0947</t>
        </is>
      </c>
      <c r="B948" t="inlineStr">
        <is>
          <t>National Sun Yat-sen University</t>
        </is>
      </c>
      <c r="C948" t="inlineStr">
        <is>
          <t>TA</t>
        </is>
      </c>
      <c r="D948" t="inlineStr">
        <is>
          <t>Taiwan</t>
        </is>
      </c>
    </row>
    <row r="949">
      <c r="A949" t="inlineStr">
        <is>
          <t>U0948</t>
        </is>
      </c>
      <c r="B949" t="inlineStr">
        <is>
          <t>National Taichung University of Science and Technology</t>
        </is>
      </c>
      <c r="C949" t="inlineStr">
        <is>
          <t>TA</t>
        </is>
      </c>
      <c r="D949" t="inlineStr">
        <is>
          <t>Taiwan</t>
        </is>
      </c>
    </row>
    <row r="950">
      <c r="A950" t="inlineStr">
        <is>
          <t>U0949</t>
        </is>
      </c>
      <c r="B950" t="inlineStr">
        <is>
          <t>National Taipei University</t>
        </is>
      </c>
      <c r="C950" t="inlineStr">
        <is>
          <t>TA</t>
        </is>
      </c>
      <c r="D950" t="inlineStr">
        <is>
          <t>Taiwan</t>
        </is>
      </c>
    </row>
    <row r="951">
      <c r="A951" t="inlineStr">
        <is>
          <t>U0950</t>
        </is>
      </c>
      <c r="B951" t="inlineStr">
        <is>
          <t>National Taipei University of Technology</t>
        </is>
      </c>
      <c r="C951" t="inlineStr">
        <is>
          <t>TA</t>
        </is>
      </c>
      <c r="D951" t="inlineStr">
        <is>
          <t>Taiwan</t>
        </is>
      </c>
    </row>
    <row r="952">
      <c r="A952" t="inlineStr">
        <is>
          <t>U0951</t>
        </is>
      </c>
      <c r="B952" t="inlineStr">
        <is>
          <t>National Taiwan Normal University</t>
        </is>
      </c>
      <c r="C952" t="inlineStr">
        <is>
          <t>TA</t>
        </is>
      </c>
      <c r="D952" t="inlineStr">
        <is>
          <t>Taiwan</t>
        </is>
      </c>
    </row>
    <row r="953">
      <c r="A953" t="inlineStr">
        <is>
          <t>U0952</t>
        </is>
      </c>
      <c r="B953" t="inlineStr">
        <is>
          <t>National Taiwan Ocean University</t>
        </is>
      </c>
      <c r="C953" t="inlineStr">
        <is>
          <t>TA</t>
        </is>
      </c>
      <c r="D953" t="inlineStr">
        <is>
          <t>Taiwan</t>
        </is>
      </c>
    </row>
    <row r="954">
      <c r="A954" t="inlineStr">
        <is>
          <t>U0953</t>
        </is>
      </c>
      <c r="B954" t="inlineStr">
        <is>
          <t>National Taiwan University (NTU)</t>
        </is>
      </c>
      <c r="C954" t="inlineStr">
        <is>
          <t>TA</t>
        </is>
      </c>
      <c r="D954" t="inlineStr">
        <is>
          <t>Taiwan</t>
        </is>
      </c>
    </row>
    <row r="955">
      <c r="A955" t="inlineStr">
        <is>
          <t>U0954</t>
        </is>
      </c>
      <c r="B955" t="inlineStr">
        <is>
          <t>National Taiwan University of Science and Technology (Taiwan Tech)</t>
        </is>
      </c>
      <c r="C955" t="inlineStr">
        <is>
          <t>TA</t>
        </is>
      </c>
      <c r="D955" t="inlineStr">
        <is>
          <t>Taiwan</t>
        </is>
      </c>
    </row>
    <row r="956">
      <c r="A956" t="inlineStr">
        <is>
          <t>U0955</t>
        </is>
      </c>
      <c r="B956" t="inlineStr">
        <is>
          <t>National Technical University "Kharkiv Polytechnic Institute"</t>
        </is>
      </c>
      <c r="C956" t="inlineStr">
        <is>
          <t>UK</t>
        </is>
      </c>
      <c r="D956" t="inlineStr">
        <is>
          <t>Ukraine</t>
        </is>
      </c>
    </row>
    <row r="957">
      <c r="A957" t="inlineStr">
        <is>
          <t>U0956</t>
        </is>
      </c>
      <c r="B957" t="inlineStr">
        <is>
          <t>National Technical University of Athens</t>
        </is>
      </c>
      <c r="C957" t="inlineStr">
        <is>
          <t>GR</t>
        </is>
      </c>
      <c r="D957" t="inlineStr">
        <is>
          <t>Greece</t>
        </is>
      </c>
    </row>
    <row r="958">
      <c r="A958" t="inlineStr">
        <is>
          <t>U0957</t>
        </is>
      </c>
      <c r="B958" t="inlineStr">
        <is>
          <t>National Technical University of Ukraine "Igor Sikorsky Kyiv Polytechnic Institute"</t>
        </is>
      </c>
      <c r="C958" t="inlineStr">
        <is>
          <t>UK</t>
        </is>
      </c>
      <c r="D958" t="inlineStr">
        <is>
          <t>Ukraine</t>
        </is>
      </c>
    </row>
    <row r="959">
      <c r="A959" t="inlineStr">
        <is>
          <t>U0958</t>
        </is>
      </c>
      <c r="B959" t="inlineStr">
        <is>
          <t>National Tsing Hua University</t>
        </is>
      </c>
      <c r="C959" t="inlineStr">
        <is>
          <t>TA</t>
        </is>
      </c>
      <c r="D959" t="inlineStr">
        <is>
          <t>Taiwan</t>
        </is>
      </c>
    </row>
    <row r="960">
      <c r="A960" t="inlineStr">
        <is>
          <t>U0959</t>
        </is>
      </c>
      <c r="B960" t="inlineStr">
        <is>
          <t>National United University</t>
        </is>
      </c>
      <c r="C960" t="inlineStr">
        <is>
          <t>TA</t>
        </is>
      </c>
      <c r="D960" t="inlineStr">
        <is>
          <t>Taiwan</t>
        </is>
      </c>
    </row>
    <row r="961">
      <c r="A961" t="inlineStr">
        <is>
          <t>U0960</t>
        </is>
      </c>
      <c r="B961" t="inlineStr">
        <is>
          <t>National University of Córdoba</t>
        </is>
      </c>
      <c r="C961" t="inlineStr">
        <is>
          <t>AR</t>
        </is>
      </c>
      <c r="D961" t="inlineStr">
        <is>
          <t>Argentina</t>
        </is>
      </c>
    </row>
    <row r="962">
      <c r="A962" t="inlineStr">
        <is>
          <t>U0961</t>
        </is>
      </c>
      <c r="B962" t="inlineStr">
        <is>
          <t>National University of Colombia</t>
        </is>
      </c>
      <c r="C962" t="inlineStr">
        <is>
          <t>CO</t>
        </is>
      </c>
      <c r="D962" t="inlineStr">
        <is>
          <t>Colombia</t>
        </is>
      </c>
    </row>
    <row r="963">
      <c r="A963" t="inlineStr">
        <is>
          <t>U0962</t>
        </is>
      </c>
      <c r="B963" t="inlineStr">
        <is>
          <t>National University of Costa Rica</t>
        </is>
      </c>
      <c r="C963" t="inlineStr">
        <is>
          <t>CO</t>
        </is>
      </c>
      <c r="D963" t="inlineStr">
        <is>
          <t>Costa Rica</t>
        </is>
      </c>
    </row>
    <row r="964">
      <c r="A964" t="inlineStr">
        <is>
          <t>U0963</t>
        </is>
      </c>
      <c r="B964" t="inlineStr">
        <is>
          <t>National University of Distance Education (UNED)</t>
        </is>
      </c>
      <c r="C964" t="inlineStr">
        <is>
          <t>SP</t>
        </is>
      </c>
      <c r="D964" t="inlineStr">
        <is>
          <t>Spain</t>
        </is>
      </c>
    </row>
    <row r="965">
      <c r="A965" t="inlineStr">
        <is>
          <t>U0964</t>
        </is>
      </c>
      <c r="B965" t="inlineStr">
        <is>
          <t>National University of Kaohsiung</t>
        </is>
      </c>
      <c r="C965" t="inlineStr">
        <is>
          <t>TA</t>
        </is>
      </c>
      <c r="D965" t="inlineStr">
        <is>
          <t>Taiwan</t>
        </is>
      </c>
    </row>
    <row r="966">
      <c r="A966" t="inlineStr">
        <is>
          <t>U0965</t>
        </is>
      </c>
      <c r="B966" t="inlineStr">
        <is>
          <t>National University of Kyiv-Mohyla Academy (NaUKMA)</t>
        </is>
      </c>
      <c r="C966" t="inlineStr">
        <is>
          <t>UK</t>
        </is>
      </c>
      <c r="D966" t="inlineStr">
        <is>
          <t>Ukraine</t>
        </is>
      </c>
    </row>
    <row r="967">
      <c r="A967" t="inlineStr">
        <is>
          <t>U0966</t>
        </is>
      </c>
      <c r="B967" t="inlineStr">
        <is>
          <t>National University of Life and Environmental Sciences of Ukraine</t>
        </is>
      </c>
      <c r="C967" t="inlineStr">
        <is>
          <t>UK</t>
        </is>
      </c>
      <c r="D967" t="inlineStr">
        <is>
          <t>Ukraine</t>
        </is>
      </c>
    </row>
    <row r="968">
      <c r="A968" t="inlineStr">
        <is>
          <t>U0967</t>
        </is>
      </c>
      <c r="B968" t="inlineStr">
        <is>
          <t>National University of Medical Sciences (NUMS)</t>
        </is>
      </c>
      <c r="C968" t="inlineStr">
        <is>
          <t>PA</t>
        </is>
      </c>
      <c r="D968" t="inlineStr">
        <is>
          <t>Pakistan</t>
        </is>
      </c>
    </row>
    <row r="969">
      <c r="A969" t="inlineStr">
        <is>
          <t>U0968</t>
        </is>
      </c>
      <c r="B969" t="inlineStr">
        <is>
          <t>National University of Modern Languages (NUML), Islamabad</t>
        </is>
      </c>
      <c r="C969" t="inlineStr">
        <is>
          <t>PA</t>
        </is>
      </c>
      <c r="D969" t="inlineStr">
        <is>
          <t>Pakistan</t>
        </is>
      </c>
    </row>
    <row r="970">
      <c r="A970" t="inlineStr">
        <is>
          <t>U0969</t>
        </is>
      </c>
      <c r="B970" t="inlineStr">
        <is>
          <t>National University of San Martín</t>
        </is>
      </c>
      <c r="C970" t="inlineStr">
        <is>
          <t>AR</t>
        </is>
      </c>
      <c r="D970" t="inlineStr">
        <is>
          <t>Argentina</t>
        </is>
      </c>
    </row>
    <row r="971">
      <c r="A971" t="inlineStr">
        <is>
          <t>U0970</t>
        </is>
      </c>
      <c r="B971" t="inlineStr">
        <is>
          <t>National University of Science and Technology (MISiS)</t>
        </is>
      </c>
      <c r="C971" t="inlineStr">
        <is>
          <t>RU</t>
        </is>
      </c>
      <c r="D971" t="inlineStr">
        <is>
          <t>Russian Federation</t>
        </is>
      </c>
    </row>
    <row r="972">
      <c r="A972" t="inlineStr">
        <is>
          <t>U0971</t>
        </is>
      </c>
      <c r="B972" t="inlineStr">
        <is>
          <t>The National University of Science and Technology MISIS</t>
        </is>
      </c>
      <c r="C972" t="inlineStr">
        <is>
          <t>RU</t>
        </is>
      </c>
      <c r="D972" t="inlineStr">
        <is>
          <t>Russian Federation</t>
        </is>
      </c>
    </row>
    <row r="973">
      <c r="A973" t="inlineStr">
        <is>
          <t>U0972</t>
        </is>
      </c>
      <c r="B973" t="inlineStr">
        <is>
          <t>National University of Sciences and Technology</t>
        </is>
      </c>
      <c r="C973" t="inlineStr">
        <is>
          <t>PA</t>
        </is>
      </c>
      <c r="D973" t="inlineStr">
        <is>
          <t>Pakistan</t>
        </is>
      </c>
    </row>
    <row r="974">
      <c r="A974" t="inlineStr">
        <is>
          <t>U0973</t>
        </is>
      </c>
      <c r="B974" t="inlineStr">
        <is>
          <t>National University of Sciences And Technology (NUST) Islamabad</t>
        </is>
      </c>
      <c r="C974" t="inlineStr">
        <is>
          <t>PA</t>
        </is>
      </c>
      <c r="D974" t="inlineStr">
        <is>
          <t>Pakistan</t>
        </is>
      </c>
    </row>
    <row r="975">
      <c r="A975" t="inlineStr">
        <is>
          <t>U0974</t>
        </is>
      </c>
      <c r="B975" t="inlineStr">
        <is>
          <t>National University of Singapore (NUS)</t>
        </is>
      </c>
      <c r="C975" t="inlineStr">
        <is>
          <t>SI</t>
        </is>
      </c>
      <c r="D975" t="inlineStr">
        <is>
          <t>Singapore</t>
        </is>
      </c>
    </row>
    <row r="976">
      <c r="A976" t="inlineStr">
        <is>
          <t>U0975</t>
        </is>
      </c>
      <c r="B976" t="inlineStr">
        <is>
          <t>National University of Uzbekistan</t>
        </is>
      </c>
      <c r="C976" t="inlineStr">
        <is>
          <t>UZ</t>
        </is>
      </c>
      <c r="D976" t="inlineStr">
        <is>
          <t>Uzbekistan</t>
        </is>
      </c>
    </row>
    <row r="977">
      <c r="A977" t="inlineStr">
        <is>
          <t>U0976</t>
        </is>
      </c>
      <c r="B977" t="inlineStr">
        <is>
          <t>National Yang Ming Chiao Tung University</t>
        </is>
      </c>
      <c r="C977" t="inlineStr">
        <is>
          <t>TA</t>
        </is>
      </c>
      <c r="D977" t="inlineStr">
        <is>
          <t>Taiwan</t>
        </is>
      </c>
    </row>
    <row r="978">
      <c r="A978" t="inlineStr">
        <is>
          <t>U0977</t>
        </is>
      </c>
      <c r="B978" t="inlineStr">
        <is>
          <t>National Yunlin University of Science and Technology</t>
        </is>
      </c>
      <c r="C978" t="inlineStr">
        <is>
          <t>TA</t>
        </is>
      </c>
      <c r="D978" t="inlineStr">
        <is>
          <t>Taiwan</t>
        </is>
      </c>
    </row>
    <row r="979">
      <c r="A979" t="inlineStr">
        <is>
          <t>U0978</t>
        </is>
      </c>
      <c r="B979" t="inlineStr">
        <is>
          <t>Nazarbayev University</t>
        </is>
      </c>
      <c r="C979" t="inlineStr">
        <is>
          <t>KA</t>
        </is>
      </c>
      <c r="D979" t="inlineStr">
        <is>
          <t>Kazakhstan</t>
        </is>
      </c>
    </row>
    <row r="980">
      <c r="A980" t="inlineStr">
        <is>
          <t>U0979</t>
        </is>
      </c>
      <c r="B980" t="inlineStr">
        <is>
          <t>Near East University</t>
        </is>
      </c>
      <c r="C980" t="inlineStr">
        <is>
          <t>NO</t>
        </is>
      </c>
      <c r="D980" t="inlineStr">
        <is>
          <t>Northern Cyprus</t>
        </is>
      </c>
    </row>
    <row r="981">
      <c r="A981" t="inlineStr">
        <is>
          <t>U0980</t>
        </is>
      </c>
      <c r="B981" t="inlineStr">
        <is>
          <t>Necmettin Erbakan University</t>
        </is>
      </c>
      <c r="C981" t="inlineStr">
        <is>
          <t>TU</t>
        </is>
      </c>
      <c r="D981" t="inlineStr">
        <is>
          <t>Turkey</t>
        </is>
      </c>
    </row>
    <row r="982">
      <c r="A982" t="inlineStr">
        <is>
          <t>U0981</t>
        </is>
      </c>
      <c r="B982" t="inlineStr">
        <is>
          <t>NED University of Engineering and Technology</t>
        </is>
      </c>
      <c r="C982" t="inlineStr">
        <is>
          <t>PA</t>
        </is>
      </c>
      <c r="D982" t="inlineStr">
        <is>
          <t>Pakistan</t>
        </is>
      </c>
    </row>
    <row r="983">
      <c r="A983" t="inlineStr">
        <is>
          <t>U0982</t>
        </is>
      </c>
      <c r="B983" t="inlineStr">
        <is>
          <t>New Jersey Institute of Technology (NJIT)</t>
        </is>
      </c>
      <c r="C983" t="inlineStr">
        <is>
          <t>UN</t>
        </is>
      </c>
      <c r="D983" t="inlineStr">
        <is>
          <t>United States</t>
        </is>
      </c>
    </row>
    <row r="984">
      <c r="A984" t="inlineStr">
        <is>
          <t>U0983</t>
        </is>
      </c>
      <c r="B984" t="inlineStr">
        <is>
          <t>New Mexico State University (Main campus)</t>
        </is>
      </c>
      <c r="C984" t="inlineStr">
        <is>
          <t>UN</t>
        </is>
      </c>
      <c r="D984" t="inlineStr">
        <is>
          <t>United States</t>
        </is>
      </c>
    </row>
    <row r="985">
      <c r="A985" t="inlineStr">
        <is>
          <t>U0984</t>
        </is>
      </c>
      <c r="B985" t="inlineStr">
        <is>
          <t>The New School</t>
        </is>
      </c>
      <c r="C985" t="inlineStr">
        <is>
          <t>UN</t>
        </is>
      </c>
      <c r="D985" t="inlineStr">
        <is>
          <t>United States</t>
        </is>
      </c>
    </row>
    <row r="986">
      <c r="A986" t="inlineStr">
        <is>
          <t>U0985</t>
        </is>
      </c>
      <c r="B986" t="inlineStr">
        <is>
          <t>New York University (NYU)</t>
        </is>
      </c>
      <c r="C986" t="inlineStr">
        <is>
          <t>UN</t>
        </is>
      </c>
      <c r="D986" t="inlineStr">
        <is>
          <t>United States</t>
        </is>
      </c>
    </row>
    <row r="987">
      <c r="A987" t="inlineStr">
        <is>
          <t>U0986</t>
        </is>
      </c>
      <c r="B987" t="inlineStr">
        <is>
          <t>Newcastle University</t>
        </is>
      </c>
      <c r="C987" t="inlineStr">
        <is>
          <t>UN</t>
        </is>
      </c>
      <c r="D987" t="inlineStr">
        <is>
          <t>United Kingdom</t>
        </is>
      </c>
    </row>
    <row r="988">
      <c r="A988" t="inlineStr">
        <is>
          <t>U0987</t>
        </is>
      </c>
      <c r="B988" t="inlineStr">
        <is>
          <t>Niğde Ömer Halisdemir University</t>
        </is>
      </c>
      <c r="C988" t="inlineStr">
        <is>
          <t>TU</t>
        </is>
      </c>
      <c r="D988" t="inlineStr">
        <is>
          <t>Turkey</t>
        </is>
      </c>
    </row>
    <row r="989">
      <c r="A989" t="inlineStr">
        <is>
          <t>U0988</t>
        </is>
      </c>
      <c r="B989" t="inlineStr">
        <is>
          <t xml:space="preserve">Nicolaus Copernicus University </t>
        </is>
      </c>
      <c r="C989" t="inlineStr">
        <is>
          <t>PO</t>
        </is>
      </c>
      <c r="D989" t="inlineStr">
        <is>
          <t>Poland</t>
        </is>
      </c>
    </row>
    <row r="990">
      <c r="A990" t="inlineStr">
        <is>
          <t>U0989</t>
        </is>
      </c>
      <c r="B990" t="inlineStr">
        <is>
          <t>Nicolaus Copernicus University in Toruń</t>
        </is>
      </c>
      <c r="C990" t="inlineStr">
        <is>
          <t>PO</t>
        </is>
      </c>
      <c r="D990" t="inlineStr">
        <is>
          <t>Poland</t>
        </is>
      </c>
    </row>
    <row r="991">
      <c r="A991" t="inlineStr">
        <is>
          <t>U0990</t>
        </is>
      </c>
      <c r="B991" t="inlineStr">
        <is>
          <t>Niigata University</t>
        </is>
      </c>
      <c r="C991" t="inlineStr">
        <is>
          <t>JA</t>
        </is>
      </c>
      <c r="D991" t="inlineStr">
        <is>
          <t>Japan</t>
        </is>
      </c>
    </row>
    <row r="992">
      <c r="A992" t="inlineStr">
        <is>
          <t>U0991</t>
        </is>
      </c>
      <c r="B992" t="inlineStr">
        <is>
          <t>Nile University</t>
        </is>
      </c>
      <c r="C992" t="inlineStr">
        <is>
          <t>EG</t>
        </is>
      </c>
      <c r="D992" t="inlineStr">
        <is>
          <t>Egypt</t>
        </is>
      </c>
    </row>
    <row r="993">
      <c r="A993" t="inlineStr">
        <is>
          <t>U0992</t>
        </is>
      </c>
      <c r="B993" t="inlineStr">
        <is>
          <t>Nippon Medical School</t>
        </is>
      </c>
      <c r="C993" t="inlineStr">
        <is>
          <t>JA</t>
        </is>
      </c>
      <c r="D993" t="inlineStr">
        <is>
          <t>Japan</t>
        </is>
      </c>
    </row>
    <row r="994">
      <c r="A994" t="inlineStr">
        <is>
          <t>U0993</t>
        </is>
      </c>
      <c r="B994" t="inlineStr">
        <is>
          <t>Nizhny Novgorod State Technical University</t>
        </is>
      </c>
      <c r="C994" t="inlineStr">
        <is>
          <t>RU</t>
        </is>
      </c>
      <c r="D994" t="inlineStr">
        <is>
          <t>Russian Federation</t>
        </is>
      </c>
    </row>
    <row r="995">
      <c r="A995" t="inlineStr">
        <is>
          <t>U0994</t>
        </is>
      </c>
      <c r="B995" t="inlineStr">
        <is>
          <t>NJSC KIMEP University</t>
        </is>
      </c>
      <c r="C995" t="inlineStr">
        <is>
          <t>KA</t>
        </is>
      </c>
      <c r="D995" t="inlineStr">
        <is>
          <t>Kazakhstan</t>
        </is>
      </c>
    </row>
    <row r="996">
      <c r="A996" t="inlineStr">
        <is>
          <t>U0995</t>
        </is>
      </c>
      <c r="B996" t="inlineStr">
        <is>
          <t>Nnamdi Azikiwe University</t>
        </is>
      </c>
      <c r="C996" t="inlineStr">
        <is>
          <t>NI</t>
        </is>
      </c>
      <c r="D996" t="inlineStr">
        <is>
          <t>Nigeria</t>
        </is>
      </c>
    </row>
    <row r="997">
      <c r="A997" t="inlineStr">
        <is>
          <t>U0996</t>
        </is>
      </c>
      <c r="B997" t="inlineStr">
        <is>
          <t>North Carolina State University</t>
        </is>
      </c>
      <c r="C997" t="inlineStr">
        <is>
          <t>UN</t>
        </is>
      </c>
      <c r="D997" t="inlineStr">
        <is>
          <t>United States</t>
        </is>
      </c>
    </row>
    <row r="998">
      <c r="A998" t="inlineStr">
        <is>
          <t>U0997</t>
        </is>
      </c>
      <c r="B998" t="inlineStr">
        <is>
          <t>North-Caucasus Federal University</t>
        </is>
      </c>
      <c r="C998" t="inlineStr">
        <is>
          <t>RU</t>
        </is>
      </c>
      <c r="D998" t="inlineStr">
        <is>
          <t>Russian Federation</t>
        </is>
      </c>
    </row>
    <row r="999">
      <c r="A999" t="inlineStr">
        <is>
          <t>U0998</t>
        </is>
      </c>
      <c r="B999" t="inlineStr">
        <is>
          <t>North China Electric Power University</t>
        </is>
      </c>
      <c r="C999" t="inlineStr">
        <is>
          <t>CH</t>
        </is>
      </c>
      <c r="D999" t="inlineStr">
        <is>
          <t>China</t>
        </is>
      </c>
    </row>
    <row r="1000">
      <c r="A1000" t="inlineStr">
        <is>
          <t>U0999</t>
        </is>
      </c>
      <c r="B1000" t="inlineStr">
        <is>
          <t>North-Eastern Federal University</t>
        </is>
      </c>
      <c r="C1000" t="inlineStr">
        <is>
          <t>RU</t>
        </is>
      </c>
      <c r="D1000" t="inlineStr">
        <is>
          <t>Russian Federation</t>
        </is>
      </c>
    </row>
    <row r="1001">
      <c r="A1001" t="inlineStr">
        <is>
          <t>U1000</t>
        </is>
      </c>
      <c r="B1001" t="inlineStr">
        <is>
          <t>North South University</t>
        </is>
      </c>
      <c r="C1001" t="inlineStr">
        <is>
          <t>BA</t>
        </is>
      </c>
      <c r="D1001" t="inlineStr">
        <is>
          <t>Bangladesh</t>
        </is>
      </c>
    </row>
    <row r="1002">
      <c r="A1002" t="inlineStr">
        <is>
          <t>U1001</t>
        </is>
      </c>
      <c r="B1002" t="inlineStr">
        <is>
          <t>North-West University</t>
        </is>
      </c>
      <c r="C1002" t="inlineStr">
        <is>
          <t>SO</t>
        </is>
      </c>
      <c r="D1002" t="inlineStr">
        <is>
          <t>South Africa</t>
        </is>
      </c>
    </row>
    <row r="1003">
      <c r="A1003" t="inlineStr">
        <is>
          <t>U1002</t>
        </is>
      </c>
      <c r="B1003" t="inlineStr">
        <is>
          <t>North-Western State Medical University named after I.I. Mechnikov</t>
        </is>
      </c>
      <c r="C1003" t="inlineStr">
        <is>
          <t>RU</t>
        </is>
      </c>
      <c r="D1003" t="inlineStr">
        <is>
          <t>Russian Federation</t>
        </is>
      </c>
    </row>
    <row r="1004">
      <c r="A1004" t="inlineStr">
        <is>
          <t>U1003</t>
        </is>
      </c>
      <c r="B1004" t="inlineStr">
        <is>
          <t>Northeast Normal University</t>
        </is>
      </c>
      <c r="C1004" t="inlineStr">
        <is>
          <t>CH</t>
        </is>
      </c>
      <c r="D1004" t="inlineStr">
        <is>
          <t>China</t>
        </is>
      </c>
    </row>
    <row r="1005">
      <c r="A1005" t="inlineStr">
        <is>
          <t>U1004</t>
        </is>
      </c>
      <c r="B1005" t="inlineStr">
        <is>
          <t>Northeastern University</t>
        </is>
      </c>
      <c r="C1005" t="inlineStr">
        <is>
          <t>UN</t>
        </is>
      </c>
      <c r="D1005" t="inlineStr">
        <is>
          <t>United States</t>
        </is>
      </c>
    </row>
    <row r="1006">
      <c r="A1006" t="inlineStr">
        <is>
          <t>U1005</t>
        </is>
      </c>
      <c r="B1006" t="inlineStr">
        <is>
          <t>Northeastern University, China</t>
        </is>
      </c>
      <c r="C1006" t="inlineStr">
        <is>
          <t>CH</t>
        </is>
      </c>
      <c r="D1006" t="inlineStr">
        <is>
          <t>China</t>
        </is>
      </c>
    </row>
    <row r="1007">
      <c r="A1007" t="inlineStr">
        <is>
          <t>U1006</t>
        </is>
      </c>
      <c r="B1007" t="inlineStr">
        <is>
          <t>Northeastern University, US</t>
        </is>
      </c>
      <c r="C1007" t="inlineStr">
        <is>
          <t>UN</t>
        </is>
      </c>
      <c r="D1007" t="inlineStr">
        <is>
          <t>United States</t>
        </is>
      </c>
    </row>
    <row r="1008">
      <c r="A1008" t="inlineStr">
        <is>
          <t>U1007</t>
        </is>
      </c>
      <c r="B1008" t="inlineStr">
        <is>
          <t>Northern Arizona University</t>
        </is>
      </c>
      <c r="C1008" t="inlineStr">
        <is>
          <t>UN</t>
        </is>
      </c>
      <c r="D1008" t="inlineStr">
        <is>
          <t>United States</t>
        </is>
      </c>
    </row>
    <row r="1009">
      <c r="A1009" t="inlineStr">
        <is>
          <t>U1008</t>
        </is>
      </c>
      <c r="B1009" t="inlineStr">
        <is>
          <t>Northern Borders University</t>
        </is>
      </c>
      <c r="C1009" t="inlineStr">
        <is>
          <t>SA</t>
        </is>
      </c>
      <c r="D1009" t="inlineStr">
        <is>
          <t>Saudi Arabia</t>
        </is>
      </c>
    </row>
    <row r="1010">
      <c r="A1010" t="inlineStr">
        <is>
          <t>U1009</t>
        </is>
      </c>
      <c r="B1010" t="inlineStr">
        <is>
          <t>Northern (Arctic) Federal University named after M.V. Lomonosov</t>
        </is>
      </c>
      <c r="C1010" t="inlineStr">
        <is>
          <t>RU</t>
        </is>
      </c>
      <c r="D1010" t="inlineStr">
        <is>
          <t>Russian Federation</t>
        </is>
      </c>
    </row>
    <row r="1011">
      <c r="A1011" t="inlineStr">
        <is>
          <t>U1010</t>
        </is>
      </c>
      <c r="B1011" t="inlineStr">
        <is>
          <t>Northern Illinois University</t>
        </is>
      </c>
      <c r="C1011" t="inlineStr">
        <is>
          <t>UN</t>
        </is>
      </c>
      <c r="D1011" t="inlineStr">
        <is>
          <t>United States</t>
        </is>
      </c>
    </row>
    <row r="1012">
      <c r="A1012" t="inlineStr">
        <is>
          <t>U1011</t>
        </is>
      </c>
      <c r="B1012" t="inlineStr">
        <is>
          <t>Northumbria University</t>
        </is>
      </c>
      <c r="C1012" t="inlineStr">
        <is>
          <t>UN</t>
        </is>
      </c>
      <c r="D1012" t="inlineStr">
        <is>
          <t>United Kingdom</t>
        </is>
      </c>
    </row>
    <row r="1013">
      <c r="A1013" t="inlineStr">
        <is>
          <t>U1012</t>
        </is>
      </c>
      <c r="B1013" t="inlineStr">
        <is>
          <t>Northumbria University at Newcastle</t>
        </is>
      </c>
      <c r="C1013" t="inlineStr">
        <is>
          <t>UN</t>
        </is>
      </c>
      <c r="D1013" t="inlineStr">
        <is>
          <t>United Kingdom</t>
        </is>
      </c>
    </row>
    <row r="1014">
      <c r="A1014" t="inlineStr">
        <is>
          <t>U1013</t>
        </is>
      </c>
      <c r="B1014" t="inlineStr">
        <is>
          <t>Northwest Agriculture and Forestry University</t>
        </is>
      </c>
      <c r="C1014" t="inlineStr">
        <is>
          <t>CH</t>
        </is>
      </c>
      <c r="D1014" t="inlineStr">
        <is>
          <t>China</t>
        </is>
      </c>
    </row>
    <row r="1015">
      <c r="A1015" t="inlineStr">
        <is>
          <t>U1014</t>
        </is>
      </c>
      <c r="B1015" t="inlineStr">
        <is>
          <t>Northwest University (China)</t>
        </is>
      </c>
      <c r="C1015" t="inlineStr">
        <is>
          <t>CH</t>
        </is>
      </c>
      <c r="D1015" t="inlineStr">
        <is>
          <t>China</t>
        </is>
      </c>
    </row>
    <row r="1016">
      <c r="A1016" t="inlineStr">
        <is>
          <t>U1015</t>
        </is>
      </c>
      <c r="B1016" t="inlineStr">
        <is>
          <t>Northwestern Polytechnical University</t>
        </is>
      </c>
      <c r="C1016" t="inlineStr">
        <is>
          <t>CH</t>
        </is>
      </c>
      <c r="D1016" t="inlineStr">
        <is>
          <t>China</t>
        </is>
      </c>
    </row>
    <row r="1017">
      <c r="A1017" t="inlineStr">
        <is>
          <t>U1016</t>
        </is>
      </c>
      <c r="B1017" t="inlineStr">
        <is>
          <t>Northwestern University</t>
        </is>
      </c>
      <c r="C1017" t="inlineStr">
        <is>
          <t>UN</t>
        </is>
      </c>
      <c r="D1017" t="inlineStr">
        <is>
          <t>United States</t>
        </is>
      </c>
    </row>
    <row r="1018">
      <c r="A1018" t="inlineStr">
        <is>
          <t>U1017</t>
        </is>
      </c>
      <c r="B1018" t="inlineStr">
        <is>
          <t>Norwegian University of Life Sciences (UMB)</t>
        </is>
      </c>
      <c r="C1018" t="inlineStr">
        <is>
          <t>NO</t>
        </is>
      </c>
      <c r="D1018" t="inlineStr">
        <is>
          <t>Norway</t>
        </is>
      </c>
    </row>
    <row r="1019">
      <c r="A1019" t="inlineStr">
        <is>
          <t>U1018</t>
        </is>
      </c>
      <c r="B1019" t="inlineStr">
        <is>
          <t>Norwegian University of Science And Technology</t>
        </is>
      </c>
      <c r="C1019" t="inlineStr">
        <is>
          <t>NO</t>
        </is>
      </c>
      <c r="D1019" t="inlineStr">
        <is>
          <t>Norway</t>
        </is>
      </c>
    </row>
    <row r="1020">
      <c r="A1020" t="inlineStr">
        <is>
          <t>U1019</t>
        </is>
      </c>
      <c r="B1020" t="inlineStr">
        <is>
          <t>Nosov Magnitogorsk State Technical University</t>
        </is>
      </c>
      <c r="C1020" t="inlineStr">
        <is>
          <t>RU</t>
        </is>
      </c>
      <c r="D1020" t="inlineStr">
        <is>
          <t>Russian Federation</t>
        </is>
      </c>
    </row>
    <row r="1021">
      <c r="A1021" t="inlineStr">
        <is>
          <t>U1020</t>
        </is>
      </c>
      <c r="B1021" t="inlineStr">
        <is>
          <t>Nottingham Trent University</t>
        </is>
      </c>
      <c r="C1021" t="inlineStr">
        <is>
          <t>UN</t>
        </is>
      </c>
      <c r="D1021" t="inlineStr">
        <is>
          <t>United Kingdom</t>
        </is>
      </c>
    </row>
    <row r="1022">
      <c r="A1022" t="inlineStr">
        <is>
          <t>U1021</t>
        </is>
      </c>
      <c r="B1022" t="inlineStr">
        <is>
          <t>Nova Southeastern University</t>
        </is>
      </c>
      <c r="C1022" t="inlineStr">
        <is>
          <t>UN</t>
        </is>
      </c>
      <c r="D1022" t="inlineStr">
        <is>
          <t>United States</t>
        </is>
      </c>
    </row>
    <row r="1023">
      <c r="A1023" t="inlineStr">
        <is>
          <t>U1022</t>
        </is>
      </c>
      <c r="B1023" t="inlineStr">
        <is>
          <t>NOVA University of Lisbon</t>
        </is>
      </c>
      <c r="C1023" t="inlineStr">
        <is>
          <t>PO</t>
        </is>
      </c>
      <c r="D1023" t="inlineStr">
        <is>
          <t>Portugal</t>
        </is>
      </c>
    </row>
    <row r="1024">
      <c r="A1024" t="inlineStr">
        <is>
          <t>U1023</t>
        </is>
      </c>
      <c r="B1024" t="inlineStr">
        <is>
          <t>Novosibirsk State Technical University</t>
        </is>
      </c>
      <c r="C1024" t="inlineStr">
        <is>
          <t>RU</t>
        </is>
      </c>
      <c r="D1024" t="inlineStr">
        <is>
          <t>Russian Federation</t>
        </is>
      </c>
    </row>
    <row r="1025">
      <c r="A1025" t="inlineStr">
        <is>
          <t>U1024</t>
        </is>
      </c>
      <c r="B1025" t="inlineStr">
        <is>
          <t>Novosibirsk State University</t>
        </is>
      </c>
      <c r="C1025" t="inlineStr">
        <is>
          <t>RU</t>
        </is>
      </c>
      <c r="D1025" t="inlineStr">
        <is>
          <t>Russian Federation</t>
        </is>
      </c>
    </row>
    <row r="1026">
      <c r="A1026" t="inlineStr">
        <is>
          <t>U1025</t>
        </is>
      </c>
      <c r="B1026" t="inlineStr">
        <is>
          <t>Nueva Granada Military University</t>
        </is>
      </c>
      <c r="C1026" t="inlineStr">
        <is>
          <t>CO</t>
        </is>
      </c>
      <c r="D1026" t="inlineStr">
        <is>
          <t>Colombia</t>
        </is>
      </c>
    </row>
    <row r="1027">
      <c r="A1027" t="inlineStr">
        <is>
          <t>U1026</t>
        </is>
      </c>
      <c r="B1027" t="inlineStr">
        <is>
          <t>O.P. Jindal Global University</t>
        </is>
      </c>
      <c r="C1027" t="inlineStr">
        <is>
          <t>IN</t>
        </is>
      </c>
      <c r="D1027" t="inlineStr">
        <is>
          <t>India</t>
        </is>
      </c>
    </row>
    <row r="1028">
      <c r="A1028" t="inlineStr">
        <is>
          <t>U1027</t>
        </is>
      </c>
      <c r="B1028" t="inlineStr">
        <is>
          <t>Oakland University</t>
        </is>
      </c>
      <c r="C1028" t="inlineStr">
        <is>
          <t>UN</t>
        </is>
      </c>
      <c r="D1028" t="inlineStr">
        <is>
          <t>United States</t>
        </is>
      </c>
    </row>
    <row r="1029">
      <c r="A1029" t="inlineStr">
        <is>
          <t>U1028</t>
        </is>
      </c>
      <c r="B1029" t="inlineStr">
        <is>
          <t>Obafemi Awolowo University</t>
        </is>
      </c>
      <c r="C1029" t="inlineStr">
        <is>
          <t>NI</t>
        </is>
      </c>
      <c r="D1029" t="inlineStr">
        <is>
          <t>Nigeria</t>
        </is>
      </c>
    </row>
    <row r="1030">
      <c r="A1030" t="inlineStr">
        <is>
          <t>U1029</t>
        </is>
      </c>
      <c r="B1030" t="inlineStr">
        <is>
          <t>Ocean University of China</t>
        </is>
      </c>
      <c r="C1030" t="inlineStr">
        <is>
          <t>CH</t>
        </is>
      </c>
      <c r="D1030" t="inlineStr">
        <is>
          <t>China</t>
        </is>
      </c>
    </row>
    <row r="1031">
      <c r="A1031" t="inlineStr">
        <is>
          <t>U1030</t>
        </is>
      </c>
      <c r="B1031" t="inlineStr">
        <is>
          <t>Ochanomizu University</t>
        </is>
      </c>
      <c r="C1031" t="inlineStr">
        <is>
          <t>JA</t>
        </is>
      </c>
      <c r="D1031" t="inlineStr">
        <is>
          <t>Japan</t>
        </is>
      </c>
    </row>
    <row r="1032">
      <c r="A1032" t="inlineStr">
        <is>
          <t>U1031</t>
        </is>
      </c>
      <c r="B1032" t="inlineStr">
        <is>
          <t>Odessa I.I. Mechnikov National University</t>
        </is>
      </c>
      <c r="C1032" t="inlineStr">
        <is>
          <t>UK</t>
        </is>
      </c>
      <c r="D1032" t="inlineStr">
        <is>
          <t>Ukraine</t>
        </is>
      </c>
    </row>
    <row r="1033">
      <c r="A1033" t="inlineStr">
        <is>
          <t>U1032</t>
        </is>
      </c>
      <c r="B1033" t="inlineStr">
        <is>
          <t>Ogarev Mordovia State University</t>
        </is>
      </c>
      <c r="C1033" t="inlineStr">
        <is>
          <t>RU</t>
        </is>
      </c>
      <c r="D1033" t="inlineStr">
        <is>
          <t>Russian Federation</t>
        </is>
      </c>
    </row>
    <row r="1034">
      <c r="A1034" t="inlineStr">
        <is>
          <t>U1033</t>
        </is>
      </c>
      <c r="B1034" t="inlineStr">
        <is>
          <t>The Ohio State University</t>
        </is>
      </c>
      <c r="C1034" t="inlineStr">
        <is>
          <t>UN</t>
        </is>
      </c>
      <c r="D1034" t="inlineStr">
        <is>
          <t>United States</t>
        </is>
      </c>
    </row>
    <row r="1035">
      <c r="A1035" t="inlineStr">
        <is>
          <t>U1034</t>
        </is>
      </c>
      <c r="B1035" t="inlineStr">
        <is>
          <t>Ohio University</t>
        </is>
      </c>
      <c r="C1035" t="inlineStr">
        <is>
          <t>UN</t>
        </is>
      </c>
      <c r="D1035" t="inlineStr">
        <is>
          <t>United States</t>
        </is>
      </c>
    </row>
    <row r="1036">
      <c r="A1036" t="inlineStr">
        <is>
          <t>U1035</t>
        </is>
      </c>
      <c r="B1036" t="inlineStr">
        <is>
          <t>Oita University</t>
        </is>
      </c>
      <c r="C1036" t="inlineStr">
        <is>
          <t>JA</t>
        </is>
      </c>
      <c r="D1036" t="inlineStr">
        <is>
          <t>Japan</t>
        </is>
      </c>
    </row>
    <row r="1037">
      <c r="A1037" t="inlineStr">
        <is>
          <t>U1036</t>
        </is>
      </c>
      <c r="B1037" t="inlineStr">
        <is>
          <t>Okayama University</t>
        </is>
      </c>
      <c r="C1037" t="inlineStr">
        <is>
          <t>JA</t>
        </is>
      </c>
      <c r="D1037" t="inlineStr">
        <is>
          <t>Japan</t>
        </is>
      </c>
    </row>
    <row r="1038">
      <c r="A1038" t="inlineStr">
        <is>
          <t>U1037</t>
        </is>
      </c>
      <c r="B1038" t="inlineStr">
        <is>
          <t xml:space="preserve">Oklahoma State University </t>
        </is>
      </c>
      <c r="C1038" t="inlineStr">
        <is>
          <t>UN</t>
        </is>
      </c>
      <c r="D1038" t="inlineStr">
        <is>
          <t>United States</t>
        </is>
      </c>
    </row>
    <row r="1039">
      <c r="A1039" t="inlineStr">
        <is>
          <t>U1038</t>
        </is>
      </c>
      <c r="B1039" t="inlineStr">
        <is>
          <t>Old Dominion University</t>
        </is>
      </c>
      <c r="C1039" t="inlineStr">
        <is>
          <t>UN</t>
        </is>
      </c>
      <c r="D1039" t="inlineStr">
        <is>
          <t>United States</t>
        </is>
      </c>
    </row>
    <row r="1040">
      <c r="A1040" t="inlineStr">
        <is>
          <t>U1039</t>
        </is>
      </c>
      <c r="B1040" t="inlineStr">
        <is>
          <t>Oles Honchar Dnipro National University</t>
        </is>
      </c>
      <c r="C1040" t="inlineStr">
        <is>
          <t>UK</t>
        </is>
      </c>
      <c r="D1040" t="inlineStr">
        <is>
          <t>Ukraine</t>
        </is>
      </c>
    </row>
    <row r="1041">
      <c r="A1041" t="inlineStr">
        <is>
          <t>U1040</t>
        </is>
      </c>
      <c r="B1041" t="inlineStr">
        <is>
          <t>Omsk State Technical University</t>
        </is>
      </c>
      <c r="C1041" t="inlineStr">
        <is>
          <t>RU</t>
        </is>
      </c>
      <c r="D1041" t="inlineStr">
        <is>
          <t>Russian Federation</t>
        </is>
      </c>
    </row>
    <row r="1042">
      <c r="A1042" t="inlineStr">
        <is>
          <t>U1041</t>
        </is>
      </c>
      <c r="B1042" t="inlineStr">
        <is>
          <t>Ondokuz Mayis University</t>
        </is>
      </c>
      <c r="C1042" t="inlineStr">
        <is>
          <t>TU</t>
        </is>
      </c>
      <c r="D1042" t="inlineStr">
        <is>
          <t>Turkey</t>
        </is>
      </c>
    </row>
    <row r="1043">
      <c r="A1043" t="inlineStr">
        <is>
          <t>U1042</t>
        </is>
      </c>
      <c r="B1043" t="inlineStr">
        <is>
          <t>Ontario Tech University</t>
        </is>
      </c>
      <c r="C1043" t="inlineStr">
        <is>
          <t>CA</t>
        </is>
      </c>
      <c r="D1043" t="inlineStr">
        <is>
          <t>Canada</t>
        </is>
      </c>
    </row>
    <row r="1044">
      <c r="A1044" t="inlineStr">
        <is>
          <t>U1043</t>
        </is>
      </c>
      <c r="B1044" t="inlineStr">
        <is>
          <t>The Open University</t>
        </is>
      </c>
      <c r="C1044" t="inlineStr">
        <is>
          <t>UN</t>
        </is>
      </c>
      <c r="D1044" t="inlineStr">
        <is>
          <t>United Kingdom</t>
        </is>
      </c>
    </row>
    <row r="1045">
      <c r="A1045" t="inlineStr">
        <is>
          <t>U1044</t>
        </is>
      </c>
      <c r="B1045" t="inlineStr">
        <is>
          <t>Open University of Catalonia</t>
        </is>
      </c>
      <c r="C1045" t="inlineStr">
        <is>
          <t>SP</t>
        </is>
      </c>
      <c r="D1045" t="inlineStr">
        <is>
          <t>Spain</t>
        </is>
      </c>
    </row>
    <row r="1046">
      <c r="A1046" t="inlineStr">
        <is>
          <t>U1045</t>
        </is>
      </c>
      <c r="B1046" t="inlineStr">
        <is>
          <t>Opole University of Technology</t>
        </is>
      </c>
      <c r="C1046" t="inlineStr">
        <is>
          <t>PO</t>
        </is>
      </c>
      <c r="D1046" t="inlineStr">
        <is>
          <t>Poland</t>
        </is>
      </c>
    </row>
    <row r="1047">
      <c r="A1047" t="inlineStr">
        <is>
          <t>U1046</t>
        </is>
      </c>
      <c r="B1047" t="inlineStr">
        <is>
          <t>Oran 1 University</t>
        </is>
      </c>
      <c r="C1047" t="inlineStr">
        <is>
          <t>AL</t>
        </is>
      </c>
      <c r="D1047" t="inlineStr">
        <is>
          <t>Algeria</t>
        </is>
      </c>
    </row>
    <row r="1048">
      <c r="A1048" t="inlineStr">
        <is>
          <t>U1047</t>
        </is>
      </c>
      <c r="B1048" t="inlineStr">
        <is>
          <t>Ordu University</t>
        </is>
      </c>
      <c r="C1048" t="inlineStr">
        <is>
          <t>TU</t>
        </is>
      </c>
      <c r="D1048" t="inlineStr">
        <is>
          <t>Turkey</t>
        </is>
      </c>
    </row>
    <row r="1049">
      <c r="A1049" t="inlineStr">
        <is>
          <t>U1048</t>
        </is>
      </c>
      <c r="B1049" t="inlineStr">
        <is>
          <t>Oregon Health and Science University</t>
        </is>
      </c>
      <c r="C1049" t="inlineStr">
        <is>
          <t>UN</t>
        </is>
      </c>
      <c r="D1049" t="inlineStr">
        <is>
          <t>United States</t>
        </is>
      </c>
    </row>
    <row r="1050">
      <c r="A1050" t="inlineStr">
        <is>
          <t>U1049</t>
        </is>
      </c>
      <c r="B1050" t="inlineStr">
        <is>
          <t>Oregon State University</t>
        </is>
      </c>
      <c r="C1050" t="inlineStr">
        <is>
          <t>UN</t>
        </is>
      </c>
      <c r="D1050" t="inlineStr">
        <is>
          <t>United States</t>
        </is>
      </c>
    </row>
    <row r="1051">
      <c r="A1051" t="inlineStr">
        <is>
          <t>U1050</t>
        </is>
      </c>
      <c r="B1051" t="inlineStr">
        <is>
          <t>Osaka Institute of Technology</t>
        </is>
      </c>
      <c r="C1051" t="inlineStr">
        <is>
          <t>JA</t>
        </is>
      </c>
      <c r="D1051" t="inlineStr">
        <is>
          <t>Japan</t>
        </is>
      </c>
    </row>
    <row r="1052">
      <c r="A1052" t="inlineStr">
        <is>
          <t>U1051</t>
        </is>
      </c>
      <c r="B1052" t="inlineStr">
        <is>
          <t>Osaka Medical and Pharmaceutical University</t>
        </is>
      </c>
      <c r="C1052" t="inlineStr">
        <is>
          <t>JA</t>
        </is>
      </c>
      <c r="D1052" t="inlineStr">
        <is>
          <t>Japan</t>
        </is>
      </c>
    </row>
    <row r="1053">
      <c r="A1053" t="inlineStr">
        <is>
          <t>U1052</t>
        </is>
      </c>
      <c r="B1053" t="inlineStr">
        <is>
          <t>Osaka Metropolitan University</t>
        </is>
      </c>
      <c r="C1053" t="inlineStr">
        <is>
          <t>JA</t>
        </is>
      </c>
      <c r="D1053" t="inlineStr">
        <is>
          <t>Japan</t>
        </is>
      </c>
    </row>
    <row r="1054">
      <c r="A1054" t="inlineStr">
        <is>
          <t>U1053</t>
        </is>
      </c>
      <c r="B1054" t="inlineStr">
        <is>
          <t>Osaka University</t>
        </is>
      </c>
      <c r="C1054" t="inlineStr">
        <is>
          <t>JA</t>
        </is>
      </c>
      <c r="D1054" t="inlineStr">
        <is>
          <t>Japan</t>
        </is>
      </c>
    </row>
    <row r="1055">
      <c r="A1055" t="inlineStr">
        <is>
          <t>U1054</t>
        </is>
      </c>
      <c r="B1055" t="inlineStr">
        <is>
          <t>OSMANIA UNIVERSITY</t>
        </is>
      </c>
      <c r="C1055" t="inlineStr">
        <is>
          <t>IN</t>
        </is>
      </c>
      <c r="D1055" t="inlineStr">
        <is>
          <t>India</t>
        </is>
      </c>
    </row>
    <row r="1056">
      <c r="A1056" t="inlineStr">
        <is>
          <t>U1055</t>
        </is>
      </c>
      <c r="B1056" t="inlineStr">
        <is>
          <t>Otto von Guericke University of Magdeburg</t>
        </is>
      </c>
      <c r="C1056" t="inlineStr">
        <is>
          <t>GE</t>
        </is>
      </c>
      <c r="D1056" t="inlineStr">
        <is>
          <t>Germany</t>
        </is>
      </c>
    </row>
    <row r="1057">
      <c r="A1057" t="inlineStr">
        <is>
          <t>U1056</t>
        </is>
      </c>
      <c r="B1057" t="inlineStr">
        <is>
          <t>Ovidius University of Constanța</t>
        </is>
      </c>
      <c r="C1057" t="inlineStr">
        <is>
          <t>RO</t>
        </is>
      </c>
      <c r="D1057" t="inlineStr">
        <is>
          <t>Romania</t>
        </is>
      </c>
    </row>
    <row r="1058">
      <c r="A1058" t="inlineStr">
        <is>
          <t>U1057</t>
        </is>
      </c>
      <c r="B1058" t="inlineStr">
        <is>
          <t>Oxford Brookes University</t>
        </is>
      </c>
      <c r="C1058" t="inlineStr">
        <is>
          <t>UN</t>
        </is>
      </c>
      <c r="D1058" t="inlineStr">
        <is>
          <t>United Kingdom</t>
        </is>
      </c>
    </row>
    <row r="1059">
      <c r="A1059" t="inlineStr">
        <is>
          <t>U1058</t>
        </is>
      </c>
      <c r="B1059" t="inlineStr">
        <is>
          <t>Ozyegin University</t>
        </is>
      </c>
      <c r="C1059" t="inlineStr">
        <is>
          <t>TU</t>
        </is>
      </c>
      <c r="D1059" t="inlineStr">
        <is>
          <t>Turkey</t>
        </is>
      </c>
    </row>
    <row r="1060">
      <c r="A1060" t="inlineStr">
        <is>
          <t>U1059</t>
        </is>
      </c>
      <c r="B1060" t="inlineStr">
        <is>
          <t>Pablo de Olavide University</t>
        </is>
      </c>
      <c r="C1060" t="inlineStr">
        <is>
          <t>SP</t>
        </is>
      </c>
      <c r="D1060" t="inlineStr">
        <is>
          <t>Spain</t>
        </is>
      </c>
    </row>
    <row r="1061">
      <c r="A1061" t="inlineStr">
        <is>
          <t>U1060</t>
        </is>
      </c>
      <c r="B1061" t="inlineStr">
        <is>
          <t>Pakistan Institute of Engineering and Applied Sciences (PIEAS)</t>
        </is>
      </c>
      <c r="C1061" t="inlineStr">
        <is>
          <t>PA</t>
        </is>
      </c>
      <c r="D1061" t="inlineStr">
        <is>
          <t>Pakistan</t>
        </is>
      </c>
    </row>
    <row r="1062">
      <c r="A1062" t="inlineStr">
        <is>
          <t>U1061</t>
        </is>
      </c>
      <c r="B1062" t="inlineStr">
        <is>
          <t>Palacký University Olomouc</t>
        </is>
      </c>
      <c r="C1062" t="inlineStr">
        <is>
          <t>CZ</t>
        </is>
      </c>
      <c r="D1062" t="inlineStr">
        <is>
          <t>Czech Republic</t>
        </is>
      </c>
    </row>
    <row r="1063">
      <c r="A1063" t="inlineStr">
        <is>
          <t>U1062</t>
        </is>
      </c>
      <c r="B1063" t="inlineStr">
        <is>
          <t>Pamukkale University</t>
        </is>
      </c>
      <c r="C1063" t="inlineStr">
        <is>
          <t>TU</t>
        </is>
      </c>
      <c r="D1063" t="inlineStr">
        <is>
          <t>Turkey</t>
        </is>
      </c>
    </row>
    <row r="1064">
      <c r="A1064" t="inlineStr">
        <is>
          <t>U1063</t>
        </is>
      </c>
      <c r="B1064" t="inlineStr">
        <is>
          <t>Panjab University</t>
        </is>
      </c>
      <c r="C1064" t="inlineStr">
        <is>
          <t>IN</t>
        </is>
      </c>
      <c r="D1064" t="inlineStr">
        <is>
          <t>India</t>
        </is>
      </c>
    </row>
    <row r="1065">
      <c r="A1065" t="inlineStr">
        <is>
          <t>U1064</t>
        </is>
      </c>
      <c r="B1065" t="inlineStr">
        <is>
          <t>Panthéon-Sorbonne University – Paris 1</t>
        </is>
      </c>
      <c r="C1065" t="inlineStr">
        <is>
          <t>FR</t>
        </is>
      </c>
      <c r="D1065" t="inlineStr">
        <is>
          <t>France</t>
        </is>
      </c>
    </row>
    <row r="1066">
      <c r="A1066" t="inlineStr">
        <is>
          <t>U1065</t>
        </is>
      </c>
      <c r="B1066" t="inlineStr">
        <is>
          <t>Paris Lodron Universität Salzburg</t>
        </is>
      </c>
      <c r="C1066" t="inlineStr">
        <is>
          <t>AU</t>
        </is>
      </c>
      <c r="D1066" t="inlineStr">
        <is>
          <t>Austria</t>
        </is>
      </c>
    </row>
    <row r="1067">
      <c r="A1067" t="inlineStr">
        <is>
          <t>U1066</t>
        </is>
      </c>
      <c r="B1067" t="inlineStr">
        <is>
          <t>Paris Lodron University of Salzburg</t>
        </is>
      </c>
      <c r="C1067" t="inlineStr">
        <is>
          <t>AU</t>
        </is>
      </c>
      <c r="D1067" t="inlineStr">
        <is>
          <t>Austria</t>
        </is>
      </c>
    </row>
    <row r="1068">
      <c r="A1068" t="inlineStr">
        <is>
          <t>U1067</t>
        </is>
      </c>
      <c r="B1068" t="inlineStr">
        <is>
          <t>Paris Nanterre University</t>
        </is>
      </c>
      <c r="C1068" t="inlineStr">
        <is>
          <t>FR</t>
        </is>
      </c>
      <c r="D1068" t="inlineStr">
        <is>
          <t>France</t>
        </is>
      </c>
    </row>
    <row r="1069">
      <c r="A1069" t="inlineStr">
        <is>
          <t>U1068</t>
        </is>
      </c>
      <c r="B1069" t="inlineStr">
        <is>
          <t>Paris Sciences et Lettres – PSL Research University Paris</t>
        </is>
      </c>
      <c r="C1069" t="inlineStr">
        <is>
          <t>FR</t>
        </is>
      </c>
      <c r="D1069" t="inlineStr">
        <is>
          <t>France</t>
        </is>
      </c>
    </row>
    <row r="1070">
      <c r="A1070" t="inlineStr">
        <is>
          <t>U1069</t>
        </is>
      </c>
      <c r="B1070" t="inlineStr">
        <is>
          <t>Parthenope University of Naples</t>
        </is>
      </c>
      <c r="C1070" t="inlineStr">
        <is>
          <t>IT</t>
        </is>
      </c>
      <c r="D1070" t="inlineStr">
        <is>
          <t>Italy</t>
        </is>
      </c>
    </row>
    <row r="1071">
      <c r="A1071" t="inlineStr">
        <is>
          <t>U1070</t>
        </is>
      </c>
      <c r="B1071" t="inlineStr">
        <is>
          <t>Paul Valéry University Montpellier</t>
        </is>
      </c>
      <c r="C1071" t="inlineStr">
        <is>
          <t>FR</t>
        </is>
      </c>
      <c r="D1071" t="inlineStr">
        <is>
          <t>France</t>
        </is>
      </c>
    </row>
    <row r="1072">
      <c r="A1072" t="inlineStr">
        <is>
          <t>U1071</t>
        </is>
      </c>
      <c r="B1072" t="inlineStr">
        <is>
          <t>Pavlov First Saint Petersburg State Medical University</t>
        </is>
      </c>
      <c r="C1072" t="inlineStr">
        <is>
          <t>RU</t>
        </is>
      </c>
      <c r="D1072" t="inlineStr">
        <is>
          <t>Russian Federation</t>
        </is>
      </c>
    </row>
    <row r="1073">
      <c r="A1073" t="inlineStr">
        <is>
          <t>U1072</t>
        </is>
      </c>
      <c r="B1073" t="inlineStr">
        <is>
          <t>Pavol Jozef Šafárik University in Košice</t>
        </is>
      </c>
      <c r="C1073" t="inlineStr">
        <is>
          <t>SL</t>
        </is>
      </c>
      <c r="D1073" t="inlineStr">
        <is>
          <t>Slovakia</t>
        </is>
      </c>
    </row>
    <row r="1074">
      <c r="A1074" t="inlineStr">
        <is>
          <t>U1073</t>
        </is>
      </c>
      <c r="B1074" t="inlineStr">
        <is>
          <t>Payame Noor University</t>
        </is>
      </c>
      <c r="C1074" t="inlineStr">
        <is>
          <t>IR</t>
        </is>
      </c>
      <c r="D1074" t="inlineStr">
        <is>
          <t>Iran</t>
        </is>
      </c>
    </row>
    <row r="1075">
      <c r="A1075" t="inlineStr">
        <is>
          <t>U1074</t>
        </is>
      </c>
      <c r="B1075" t="inlineStr">
        <is>
          <t>Pedagogical and Technological University of Colombia</t>
        </is>
      </c>
      <c r="C1075" t="inlineStr">
        <is>
          <t>CO</t>
        </is>
      </c>
      <c r="D1075" t="inlineStr">
        <is>
          <t>Colombia</t>
        </is>
      </c>
    </row>
    <row r="1076">
      <c r="A1076" t="inlineStr">
        <is>
          <t>U1075</t>
        </is>
      </c>
      <c r="B1076" t="inlineStr">
        <is>
          <t>Peking University</t>
        </is>
      </c>
      <c r="C1076" t="inlineStr">
        <is>
          <t>CH</t>
        </is>
      </c>
      <c r="D1076" t="inlineStr">
        <is>
          <t>China</t>
        </is>
      </c>
    </row>
    <row r="1077">
      <c r="A1077" t="inlineStr">
        <is>
          <t>U1076</t>
        </is>
      </c>
      <c r="B1077" t="inlineStr">
        <is>
          <t>Penn State (Main campus)</t>
        </is>
      </c>
      <c r="C1077" t="inlineStr">
        <is>
          <t>UN</t>
        </is>
      </c>
      <c r="D1077" t="inlineStr">
        <is>
          <t>United States</t>
        </is>
      </c>
    </row>
    <row r="1078">
      <c r="A1078" t="inlineStr">
        <is>
          <t>U1077</t>
        </is>
      </c>
      <c r="B1078" t="inlineStr">
        <is>
          <t>Pennsylvania State University</t>
        </is>
      </c>
      <c r="C1078" t="inlineStr">
        <is>
          <t>UN</t>
        </is>
      </c>
      <c r="D1078" t="inlineStr">
        <is>
          <t>United States</t>
        </is>
      </c>
    </row>
    <row r="1079">
      <c r="A1079" t="inlineStr">
        <is>
          <t>U1078</t>
        </is>
      </c>
      <c r="B1079" t="inlineStr">
        <is>
          <t>Penza State University</t>
        </is>
      </c>
      <c r="C1079" t="inlineStr">
        <is>
          <t>RU</t>
        </is>
      </c>
      <c r="D1079" t="inlineStr">
        <is>
          <t>Russian Federation</t>
        </is>
      </c>
    </row>
    <row r="1080">
      <c r="A1080" t="inlineStr">
        <is>
          <t>U1079</t>
        </is>
      </c>
      <c r="B1080" t="inlineStr">
        <is>
          <t>Perm National Research Polytechnic University</t>
        </is>
      </c>
      <c r="C1080" t="inlineStr">
        <is>
          <t>RU</t>
        </is>
      </c>
      <c r="D1080" t="inlineStr">
        <is>
          <t>Russian Federation</t>
        </is>
      </c>
    </row>
    <row r="1081">
      <c r="A1081" t="inlineStr">
        <is>
          <t>U1080</t>
        </is>
      </c>
      <c r="B1081" t="inlineStr">
        <is>
          <t>Perm State National Research University</t>
        </is>
      </c>
      <c r="C1081" t="inlineStr">
        <is>
          <t>RU</t>
        </is>
      </c>
      <c r="D1081" t="inlineStr">
        <is>
          <t>Russian Federation</t>
        </is>
      </c>
    </row>
    <row r="1082">
      <c r="A1082" t="inlineStr">
        <is>
          <t>U1081</t>
        </is>
      </c>
      <c r="B1082" t="inlineStr">
        <is>
          <t>Perm State University</t>
        </is>
      </c>
      <c r="C1082" t="inlineStr">
        <is>
          <t>RU</t>
        </is>
      </c>
      <c r="D1082" t="inlineStr">
        <is>
          <t>Russian Federation</t>
        </is>
      </c>
    </row>
    <row r="1083">
      <c r="A1083" t="inlineStr">
        <is>
          <t>U1082</t>
        </is>
      </c>
      <c r="B1083" t="inlineStr">
        <is>
          <t>Persian Gulf University</t>
        </is>
      </c>
      <c r="C1083" t="inlineStr">
        <is>
          <t>IR</t>
        </is>
      </c>
      <c r="D1083" t="inlineStr">
        <is>
          <t>Iran</t>
        </is>
      </c>
    </row>
    <row r="1084">
      <c r="A1084" t="inlineStr">
        <is>
          <t>U1083</t>
        </is>
      </c>
      <c r="B1084" t="inlineStr">
        <is>
          <t>Peter the Great St. Petersburg Polytechnic University</t>
        </is>
      </c>
      <c r="C1084" t="inlineStr">
        <is>
          <t>RU</t>
        </is>
      </c>
      <c r="D1084" t="inlineStr">
        <is>
          <t>Russian Federation</t>
        </is>
      </c>
    </row>
    <row r="1085">
      <c r="A1085" t="inlineStr">
        <is>
          <t>U1084</t>
        </is>
      </c>
      <c r="B1085" t="inlineStr">
        <is>
          <t xml:space="preserve">Philipps-Universität Marburg </t>
        </is>
      </c>
      <c r="C1085" t="inlineStr">
        <is>
          <t>GE</t>
        </is>
      </c>
      <c r="D1085" t="inlineStr">
        <is>
          <t>Germany</t>
        </is>
      </c>
    </row>
    <row r="1086">
      <c r="A1086" t="inlineStr">
        <is>
          <t>U1085</t>
        </is>
      </c>
      <c r="B1086" t="inlineStr">
        <is>
          <t>Pirogov Russian National Research Medical University</t>
        </is>
      </c>
      <c r="C1086" t="inlineStr">
        <is>
          <t>RU</t>
        </is>
      </c>
      <c r="D1086" t="inlineStr">
        <is>
          <t>Russian Federation</t>
        </is>
      </c>
    </row>
    <row r="1087">
      <c r="A1087" t="inlineStr">
        <is>
          <t>U1086</t>
        </is>
      </c>
      <c r="B1087" t="inlineStr">
        <is>
          <t>Plekhanov Russian University of Economics</t>
        </is>
      </c>
      <c r="C1087" t="inlineStr">
        <is>
          <t>RU</t>
        </is>
      </c>
      <c r="D1087" t="inlineStr">
        <is>
          <t>Russian Federation</t>
        </is>
      </c>
    </row>
    <row r="1088">
      <c r="A1088" t="inlineStr">
        <is>
          <t>U1087</t>
        </is>
      </c>
      <c r="B1088" t="inlineStr">
        <is>
          <t>PMAS Arid Agriculture University Rawalpindi</t>
        </is>
      </c>
      <c r="C1088" t="inlineStr">
        <is>
          <t>PA</t>
        </is>
      </c>
      <c r="D1088" t="inlineStr">
        <is>
          <t>Pakistan</t>
        </is>
      </c>
    </row>
    <row r="1089">
      <c r="A1089" t="inlineStr">
        <is>
          <t>U1088</t>
        </is>
      </c>
      <c r="B1089" t="inlineStr">
        <is>
          <t>Pohang University of Science And Technology (POSTECH)</t>
        </is>
      </c>
      <c r="C1089" t="inlineStr">
        <is>
          <t>SO</t>
        </is>
      </c>
      <c r="D1089" t="inlineStr">
        <is>
          <t>South Korea</t>
        </is>
      </c>
    </row>
    <row r="1090">
      <c r="A1090" t="inlineStr">
        <is>
          <t>U1089</t>
        </is>
      </c>
      <c r="B1090" t="inlineStr">
        <is>
          <t>Politecnico di Bari</t>
        </is>
      </c>
      <c r="C1090" t="inlineStr">
        <is>
          <t>IT</t>
        </is>
      </c>
      <c r="D1090" t="inlineStr">
        <is>
          <t>Italy</t>
        </is>
      </c>
    </row>
    <row r="1091">
      <c r="A1091" t="inlineStr">
        <is>
          <t>U1090</t>
        </is>
      </c>
      <c r="B1091" t="inlineStr">
        <is>
          <t>Politecnico di Milano</t>
        </is>
      </c>
      <c r="C1091" t="inlineStr">
        <is>
          <t>IT</t>
        </is>
      </c>
      <c r="D1091" t="inlineStr">
        <is>
          <t>Italy</t>
        </is>
      </c>
    </row>
    <row r="1092">
      <c r="A1092" t="inlineStr">
        <is>
          <t>U1091</t>
        </is>
      </c>
      <c r="B1092" t="inlineStr">
        <is>
          <t>Politecnico di Torino</t>
        </is>
      </c>
      <c r="C1092" t="inlineStr">
        <is>
          <t>IT</t>
        </is>
      </c>
      <c r="D1092" t="inlineStr">
        <is>
          <t>Italy</t>
        </is>
      </c>
    </row>
    <row r="1093">
      <c r="A1093" t="inlineStr">
        <is>
          <t>U1092</t>
        </is>
      </c>
      <c r="B1093" t="inlineStr">
        <is>
          <t>Polytechnic Institute of Porto</t>
        </is>
      </c>
      <c r="C1093" t="inlineStr">
        <is>
          <t>PO</t>
        </is>
      </c>
      <c r="D1093" t="inlineStr">
        <is>
          <t>Portugal</t>
        </is>
      </c>
    </row>
    <row r="1094">
      <c r="A1094" t="inlineStr">
        <is>
          <t>U1093</t>
        </is>
      </c>
      <c r="B1094" t="inlineStr">
        <is>
          <t>Polytechnic University of Bari</t>
        </is>
      </c>
      <c r="C1094" t="inlineStr">
        <is>
          <t>IT</t>
        </is>
      </c>
      <c r="D1094" t="inlineStr">
        <is>
          <t>Italy</t>
        </is>
      </c>
    </row>
    <row r="1095">
      <c r="A1095" t="inlineStr">
        <is>
          <t>U1094</t>
        </is>
      </c>
      <c r="B1095" t="inlineStr">
        <is>
          <t>Polytechnic University of Bucharest</t>
        </is>
      </c>
      <c r="C1095" t="inlineStr">
        <is>
          <t>RO</t>
        </is>
      </c>
      <c r="D1095" t="inlineStr">
        <is>
          <t>Romania</t>
        </is>
      </c>
    </row>
    <row r="1096">
      <c r="A1096" t="inlineStr">
        <is>
          <t>U1095</t>
        </is>
      </c>
      <c r="B1096" t="inlineStr">
        <is>
          <t>Polytechnic University of Timişoara</t>
        </is>
      </c>
      <c r="C1096" t="inlineStr">
        <is>
          <t>RO</t>
        </is>
      </c>
      <c r="D1096" t="inlineStr">
        <is>
          <t>Romania</t>
        </is>
      </c>
    </row>
    <row r="1097">
      <c r="A1097" t="inlineStr">
        <is>
          <t>U1096</t>
        </is>
      </c>
      <c r="B1097" t="inlineStr">
        <is>
          <t>Polytechnic University of Turin</t>
        </is>
      </c>
      <c r="C1097" t="inlineStr">
        <is>
          <t>IT</t>
        </is>
      </c>
      <c r="D1097" t="inlineStr">
        <is>
          <t>Italy</t>
        </is>
      </c>
    </row>
    <row r="1098">
      <c r="A1098" t="inlineStr">
        <is>
          <t>U1097</t>
        </is>
      </c>
      <c r="B1098" t="inlineStr">
        <is>
          <t>Polytechnic University of Valencia</t>
        </is>
      </c>
      <c r="C1098" t="inlineStr">
        <is>
          <t>SP</t>
        </is>
      </c>
      <c r="D1098" t="inlineStr">
        <is>
          <t>Spain</t>
        </is>
      </c>
    </row>
    <row r="1099">
      <c r="A1099" t="inlineStr">
        <is>
          <t>U1098</t>
        </is>
      </c>
      <c r="B1099" t="inlineStr">
        <is>
          <t>Pompeu Fabra University</t>
        </is>
      </c>
      <c r="C1099" t="inlineStr">
        <is>
          <t>SP</t>
        </is>
      </c>
      <c r="D1099" t="inlineStr">
        <is>
          <t>Spain</t>
        </is>
      </c>
    </row>
    <row r="1100">
      <c r="A1100" t="inlineStr">
        <is>
          <t>U1099</t>
        </is>
      </c>
      <c r="B1100" t="inlineStr">
        <is>
          <t>Pondicherry University</t>
        </is>
      </c>
      <c r="C1100" t="inlineStr">
        <is>
          <t>IN</t>
        </is>
      </c>
      <c r="D1100" t="inlineStr">
        <is>
          <t>India</t>
        </is>
      </c>
    </row>
    <row r="1101">
      <c r="A1101" t="inlineStr">
        <is>
          <t>U1100</t>
        </is>
      </c>
      <c r="B1101" t="inlineStr">
        <is>
          <t>Pontifícia Universidade Católica de Minas Gerais – PUC Minas</t>
        </is>
      </c>
      <c r="C1101" t="inlineStr">
        <is>
          <t>BR</t>
        </is>
      </c>
      <c r="D1101" t="inlineStr">
        <is>
          <t>Brazil</t>
        </is>
      </c>
    </row>
    <row r="1102">
      <c r="A1102" t="inlineStr">
        <is>
          <t>U1101</t>
        </is>
      </c>
      <c r="B1102" t="inlineStr">
        <is>
          <t>Pontifícia Universidade Católica de São Paulo</t>
        </is>
      </c>
      <c r="C1102" t="inlineStr">
        <is>
          <t>BR</t>
        </is>
      </c>
      <c r="D1102" t="inlineStr">
        <is>
          <t>Brazil</t>
        </is>
      </c>
    </row>
    <row r="1103">
      <c r="A1103" t="inlineStr">
        <is>
          <t>U1102</t>
        </is>
      </c>
      <c r="B1103" t="inlineStr">
        <is>
          <t>Pontifícia Universidade Católica do Paraná</t>
        </is>
      </c>
      <c r="C1103" t="inlineStr">
        <is>
          <t>BR</t>
        </is>
      </c>
      <c r="D1103" t="inlineStr">
        <is>
          <t>Brazil</t>
        </is>
      </c>
    </row>
    <row r="1104">
      <c r="A1104" t="inlineStr">
        <is>
          <t>U1103</t>
        </is>
      </c>
      <c r="B1104" t="inlineStr">
        <is>
          <t>Pontifícia Universidade Católica do Rio de Janeiro</t>
        </is>
      </c>
      <c r="C1104" t="inlineStr">
        <is>
          <t>BR</t>
        </is>
      </c>
      <c r="D1104" t="inlineStr">
        <is>
          <t>Brazil</t>
        </is>
      </c>
    </row>
    <row r="1105">
      <c r="A1105" t="inlineStr">
        <is>
          <t>U1104</t>
        </is>
      </c>
      <c r="B1105" t="inlineStr">
        <is>
          <t>Pontifícia Universidade Católica do Rio Grande do Sul (PUCRS)</t>
        </is>
      </c>
      <c r="C1105" t="inlineStr">
        <is>
          <t>BR</t>
        </is>
      </c>
      <c r="D1105" t="inlineStr">
        <is>
          <t>Brazil</t>
        </is>
      </c>
    </row>
    <row r="1106">
      <c r="A1106" t="inlineStr">
        <is>
          <t>U1105</t>
        </is>
      </c>
      <c r="B1106" t="inlineStr">
        <is>
          <t>Pontifical Catholic University of Minas Gerais</t>
        </is>
      </c>
      <c r="C1106" t="inlineStr">
        <is>
          <t>BR</t>
        </is>
      </c>
      <c r="D1106" t="inlineStr">
        <is>
          <t>Brazil</t>
        </is>
      </c>
    </row>
    <row r="1107">
      <c r="A1107" t="inlineStr">
        <is>
          <t>U1106</t>
        </is>
      </c>
      <c r="B1107" t="inlineStr">
        <is>
          <t>Pontifical Catholic University of Peru</t>
        </is>
      </c>
      <c r="C1107" t="inlineStr">
        <is>
          <t>PE</t>
        </is>
      </c>
      <c r="D1107" t="inlineStr">
        <is>
          <t>Peru</t>
        </is>
      </c>
    </row>
    <row r="1108">
      <c r="A1108" t="inlineStr">
        <is>
          <t>U1107</t>
        </is>
      </c>
      <c r="B1108" t="inlineStr">
        <is>
          <t>Pontifical Catholic University of Rio de Janeiro (PUC-Rio)</t>
        </is>
      </c>
      <c r="C1108" t="inlineStr">
        <is>
          <t>BR</t>
        </is>
      </c>
      <c r="D1108" t="inlineStr">
        <is>
          <t>Brazil</t>
        </is>
      </c>
    </row>
    <row r="1109">
      <c r="A1109" t="inlineStr">
        <is>
          <t>U1108</t>
        </is>
      </c>
      <c r="B1109" t="inlineStr">
        <is>
          <t>Pontifical Catholic University of Rio Grande do Sul (PUCRS)</t>
        </is>
      </c>
      <c r="C1109" t="inlineStr">
        <is>
          <t>BR</t>
        </is>
      </c>
      <c r="D1109" t="inlineStr">
        <is>
          <t>Brazil</t>
        </is>
      </c>
    </row>
    <row r="1110">
      <c r="A1110" t="inlineStr">
        <is>
          <t>U1109</t>
        </is>
      </c>
      <c r="B1110" t="inlineStr">
        <is>
          <t>Pontifical Catholic University of Valparaíso</t>
        </is>
      </c>
      <c r="C1110" t="inlineStr">
        <is>
          <t>CH</t>
        </is>
      </c>
      <c r="D1110" t="inlineStr">
        <is>
          <t>Chile</t>
        </is>
      </c>
    </row>
    <row r="1111">
      <c r="A1111" t="inlineStr">
        <is>
          <t>U1110</t>
        </is>
      </c>
      <c r="B1111" t="inlineStr">
        <is>
          <t>Pontifical Javeriana University</t>
        </is>
      </c>
      <c r="C1111" t="inlineStr">
        <is>
          <t>CO</t>
        </is>
      </c>
      <c r="D1111" t="inlineStr">
        <is>
          <t>Colombia</t>
        </is>
      </c>
    </row>
    <row r="1112">
      <c r="A1112" t="inlineStr">
        <is>
          <t>U1111</t>
        </is>
      </c>
      <c r="B1112" t="inlineStr">
        <is>
          <t>Pontificia Universidad Católica Argentina</t>
        </is>
      </c>
      <c r="C1112" t="inlineStr">
        <is>
          <t>AR</t>
        </is>
      </c>
      <c r="D1112" t="inlineStr">
        <is>
          <t>Argentina</t>
        </is>
      </c>
    </row>
    <row r="1113">
      <c r="A1113" t="inlineStr">
        <is>
          <t>U1112</t>
        </is>
      </c>
      <c r="B1113" t="inlineStr">
        <is>
          <t>Pontificia Universidad Católica de Chile (UC)</t>
        </is>
      </c>
      <c r="C1113" t="inlineStr">
        <is>
          <t>CH</t>
        </is>
      </c>
      <c r="D1113" t="inlineStr">
        <is>
          <t>Chile</t>
        </is>
      </c>
    </row>
    <row r="1114">
      <c r="A1114" t="inlineStr">
        <is>
          <t>U1113</t>
        </is>
      </c>
      <c r="B1114" t="inlineStr">
        <is>
          <t>Pontificia Universidad Católica de Valparaíso</t>
        </is>
      </c>
      <c r="C1114" t="inlineStr">
        <is>
          <t>CH</t>
        </is>
      </c>
      <c r="D1114" t="inlineStr">
        <is>
          <t>Chile</t>
        </is>
      </c>
    </row>
    <row r="1115">
      <c r="A1115" t="inlineStr">
        <is>
          <t>U1114</t>
        </is>
      </c>
      <c r="B1115" t="inlineStr">
        <is>
          <t>Pontificia Universidad Católica del Ecuador (PUCE)</t>
        </is>
      </c>
      <c r="C1115" t="inlineStr">
        <is>
          <t>EC</t>
        </is>
      </c>
      <c r="D1115" t="inlineStr">
        <is>
          <t>Ecuador</t>
        </is>
      </c>
    </row>
    <row r="1116">
      <c r="A1116" t="inlineStr">
        <is>
          <t>U1115</t>
        </is>
      </c>
      <c r="B1116" t="inlineStr">
        <is>
          <t>Pontificia Universidad Católica del Perú</t>
        </is>
      </c>
      <c r="C1116" t="inlineStr">
        <is>
          <t>PE</t>
        </is>
      </c>
      <c r="D1116" t="inlineStr">
        <is>
          <t>Peru</t>
        </is>
      </c>
    </row>
    <row r="1117">
      <c r="A1117" t="inlineStr">
        <is>
          <t>U1116</t>
        </is>
      </c>
      <c r="B1117" t="inlineStr">
        <is>
          <t>Pontificia Universidad Catolica Madre y Maestra</t>
        </is>
      </c>
      <c r="C1117" t="inlineStr">
        <is>
          <t>DO</t>
        </is>
      </c>
      <c r="D1117" t="inlineStr">
        <is>
          <t>Dominican Republic</t>
        </is>
      </c>
    </row>
    <row r="1118">
      <c r="A1118" t="inlineStr">
        <is>
          <t>U1117</t>
        </is>
      </c>
      <c r="B1118" t="inlineStr">
        <is>
          <t>Pontificia Universidad Javeriana</t>
        </is>
      </c>
      <c r="C1118" t="inlineStr">
        <is>
          <t>CO</t>
        </is>
      </c>
      <c r="D1118" t="inlineStr">
        <is>
          <t>Colombia</t>
        </is>
      </c>
    </row>
    <row r="1119">
      <c r="A1119" t="inlineStr">
        <is>
          <t>U1118</t>
        </is>
      </c>
      <c r="B1119" t="inlineStr">
        <is>
          <t>Pontificia Universidade Católica do Campinas - PUC Campinas</t>
        </is>
      </c>
      <c r="C1119" t="inlineStr">
        <is>
          <t>BR</t>
        </is>
      </c>
      <c r="D1119" t="inlineStr">
        <is>
          <t>Brazil</t>
        </is>
      </c>
    </row>
    <row r="1120">
      <c r="A1120" t="inlineStr">
        <is>
          <t>U1119</t>
        </is>
      </c>
      <c r="B1120" t="inlineStr">
        <is>
          <t>Port Said University</t>
        </is>
      </c>
      <c r="C1120" t="inlineStr">
        <is>
          <t>EG</t>
        </is>
      </c>
      <c r="D1120" t="inlineStr">
        <is>
          <t>Egypt</t>
        </is>
      </c>
    </row>
    <row r="1121">
      <c r="A1121" t="inlineStr">
        <is>
          <t>U1120</t>
        </is>
      </c>
      <c r="B1121" t="inlineStr">
        <is>
          <t>Portland State University</t>
        </is>
      </c>
      <c r="C1121" t="inlineStr">
        <is>
          <t>UN</t>
        </is>
      </c>
      <c r="D1121" t="inlineStr">
        <is>
          <t>United States</t>
        </is>
      </c>
    </row>
    <row r="1122">
      <c r="A1122" t="inlineStr">
        <is>
          <t>U1121</t>
        </is>
      </c>
      <c r="B1122" t="inlineStr">
        <is>
          <t>Poznań University of Life Sciences</t>
        </is>
      </c>
      <c r="C1122" t="inlineStr">
        <is>
          <t>PO</t>
        </is>
      </c>
      <c r="D1122" t="inlineStr">
        <is>
          <t>Poland</t>
        </is>
      </c>
    </row>
    <row r="1123">
      <c r="A1123" t="inlineStr">
        <is>
          <t>U1122</t>
        </is>
      </c>
      <c r="B1123" t="inlineStr">
        <is>
          <t>Pozna? University of Technology</t>
        </is>
      </c>
      <c r="C1123" t="inlineStr">
        <is>
          <t>PO</t>
        </is>
      </c>
      <c r="D1123" t="inlineStr">
        <is>
          <t>Poland</t>
        </is>
      </c>
    </row>
    <row r="1124">
      <c r="A1124" t="inlineStr">
        <is>
          <t>U1123</t>
        </is>
      </c>
      <c r="B1124" t="inlineStr">
        <is>
          <t>Poznan University of Life Sciences</t>
        </is>
      </c>
      <c r="C1124" t="inlineStr">
        <is>
          <t>PO</t>
        </is>
      </c>
      <c r="D1124" t="inlineStr">
        <is>
          <t>Poland</t>
        </is>
      </c>
    </row>
    <row r="1125">
      <c r="A1125" t="inlineStr">
        <is>
          <t>U1124</t>
        </is>
      </c>
      <c r="B1125" t="inlineStr">
        <is>
          <t>Poznan University of Medical Sciences</t>
        </is>
      </c>
      <c r="C1125" t="inlineStr">
        <is>
          <t>PO</t>
        </is>
      </c>
      <c r="D1125" t="inlineStr">
        <is>
          <t>Poland</t>
        </is>
      </c>
    </row>
    <row r="1126">
      <c r="A1126" t="inlineStr">
        <is>
          <t>U1125</t>
        </is>
      </c>
      <c r="B1126" t="inlineStr">
        <is>
          <t>Poznan University of Technology</t>
        </is>
      </c>
      <c r="C1126" t="inlineStr">
        <is>
          <t>PO</t>
        </is>
      </c>
      <c r="D1126" t="inlineStr">
        <is>
          <t>Poland</t>
        </is>
      </c>
    </row>
    <row r="1127">
      <c r="A1127" t="inlineStr">
        <is>
          <t>U1126</t>
        </is>
      </c>
      <c r="B1127" t="inlineStr">
        <is>
          <t>Prague University of Economics and Business</t>
        </is>
      </c>
      <c r="C1127" t="inlineStr">
        <is>
          <t>CZ</t>
        </is>
      </c>
      <c r="D1127" t="inlineStr">
        <is>
          <t>Czech Republic</t>
        </is>
      </c>
    </row>
    <row r="1128">
      <c r="A1128" t="inlineStr">
        <is>
          <t>U1127</t>
        </is>
      </c>
      <c r="B1128" t="inlineStr">
        <is>
          <t>Prince Mohammad Bin Fahd university</t>
        </is>
      </c>
      <c r="C1128" t="inlineStr">
        <is>
          <t>SA</t>
        </is>
      </c>
      <c r="D1128" t="inlineStr">
        <is>
          <t>Saudi Arabia</t>
        </is>
      </c>
    </row>
    <row r="1129">
      <c r="A1129" t="inlineStr">
        <is>
          <t>U1128</t>
        </is>
      </c>
      <c r="B1129" t="inlineStr">
        <is>
          <t>Prince of Songkla University</t>
        </is>
      </c>
      <c r="C1129" t="inlineStr">
        <is>
          <t>TH</t>
        </is>
      </c>
      <c r="D1129" t="inlineStr">
        <is>
          <t>Thailand</t>
        </is>
      </c>
    </row>
    <row r="1130">
      <c r="A1130" t="inlineStr">
        <is>
          <t>U1129</t>
        </is>
      </c>
      <c r="B1130" t="inlineStr">
        <is>
          <t>Prince Sattam Bin Abdulaziz University</t>
        </is>
      </c>
      <c r="C1130" t="inlineStr">
        <is>
          <t>SA</t>
        </is>
      </c>
      <c r="D1130" t="inlineStr">
        <is>
          <t>Saudi Arabia</t>
        </is>
      </c>
    </row>
    <row r="1131">
      <c r="A1131" t="inlineStr">
        <is>
          <t>U1130</t>
        </is>
      </c>
      <c r="B1131" t="inlineStr">
        <is>
          <t>Prince Sultan University</t>
        </is>
      </c>
      <c r="C1131" t="inlineStr">
        <is>
          <t>SA</t>
        </is>
      </c>
      <c r="D1131" t="inlineStr">
        <is>
          <t>Saudi Arabia</t>
        </is>
      </c>
    </row>
    <row r="1132">
      <c r="A1132" t="inlineStr">
        <is>
          <t>U1131</t>
        </is>
      </c>
      <c r="B1132" t="inlineStr">
        <is>
          <t>Princess Nourah bint Abdulrahman University</t>
        </is>
      </c>
      <c r="C1132" t="inlineStr">
        <is>
          <t>SA</t>
        </is>
      </c>
      <c r="D1132" t="inlineStr">
        <is>
          <t>Saudi Arabia</t>
        </is>
      </c>
    </row>
    <row r="1133">
      <c r="A1133" t="inlineStr">
        <is>
          <t>U1132</t>
        </is>
      </c>
      <c r="B1133" t="inlineStr">
        <is>
          <t>Princess Sumaya University for Technology</t>
        </is>
      </c>
      <c r="C1133" t="inlineStr">
        <is>
          <t>JO</t>
        </is>
      </c>
      <c r="D1133" t="inlineStr">
        <is>
          <t>Jordan</t>
        </is>
      </c>
    </row>
    <row r="1134">
      <c r="A1134" t="inlineStr">
        <is>
          <t>U1133</t>
        </is>
      </c>
      <c r="B1134" t="inlineStr">
        <is>
          <t>Princeton University</t>
        </is>
      </c>
      <c r="C1134" t="inlineStr">
        <is>
          <t>UN</t>
        </is>
      </c>
      <c r="D1134" t="inlineStr">
        <is>
          <t>United States</t>
        </is>
      </c>
    </row>
    <row r="1135">
      <c r="A1135" t="inlineStr">
        <is>
          <t>U1134</t>
        </is>
      </c>
      <c r="B1135" t="inlineStr">
        <is>
          <t>Privolzhsky Research Medical University</t>
        </is>
      </c>
      <c r="C1135" t="inlineStr">
        <is>
          <t>RU</t>
        </is>
      </c>
      <c r="D1135" t="inlineStr">
        <is>
          <t>Russian Federation</t>
        </is>
      </c>
    </row>
    <row r="1136">
      <c r="A1136" t="inlineStr">
        <is>
          <t>U1135</t>
        </is>
      </c>
      <c r="B1136" t="inlineStr">
        <is>
          <t>PSG College of Technology</t>
        </is>
      </c>
      <c r="C1136" t="inlineStr">
        <is>
          <t>IN</t>
        </is>
      </c>
      <c r="D1136" t="inlineStr">
        <is>
          <t>India</t>
        </is>
      </c>
    </row>
    <row r="1137">
      <c r="A1137" t="inlineStr">
        <is>
          <t>U1136</t>
        </is>
      </c>
      <c r="B1137" t="inlineStr">
        <is>
          <t>Public University of Navarre</t>
        </is>
      </c>
      <c r="C1137" t="inlineStr">
        <is>
          <t>SP</t>
        </is>
      </c>
      <c r="D1137" t="inlineStr">
        <is>
          <t>Spain</t>
        </is>
      </c>
    </row>
    <row r="1138">
      <c r="A1138" t="inlineStr">
        <is>
          <t>U1137</t>
        </is>
      </c>
      <c r="B1138" t="inlineStr">
        <is>
          <t xml:space="preserve">Pukyong National University </t>
        </is>
      </c>
      <c r="C1138" t="inlineStr">
        <is>
          <t>SO</t>
        </is>
      </c>
      <c r="D1138" t="inlineStr">
        <is>
          <t>South Korea</t>
        </is>
      </c>
    </row>
    <row r="1139">
      <c r="A1139" t="inlineStr">
        <is>
          <t>U1138</t>
        </is>
      </c>
      <c r="B1139" t="inlineStr">
        <is>
          <t>Purdue University</t>
        </is>
      </c>
      <c r="C1139" t="inlineStr">
        <is>
          <t>UN</t>
        </is>
      </c>
      <c r="D1139" t="inlineStr">
        <is>
          <t>United States</t>
        </is>
      </c>
    </row>
    <row r="1140">
      <c r="A1140" t="inlineStr">
        <is>
          <t>U1139</t>
        </is>
      </c>
      <c r="B1140" t="inlineStr">
        <is>
          <t>Purdue University West Lafayette</t>
        </is>
      </c>
      <c r="C1140" t="inlineStr">
        <is>
          <t>UN</t>
        </is>
      </c>
      <c r="D1140" t="inlineStr">
        <is>
          <t>United States</t>
        </is>
      </c>
    </row>
    <row r="1141">
      <c r="A1141" t="inlineStr">
        <is>
          <t>U1140</t>
        </is>
      </c>
      <c r="B1141" t="inlineStr">
        <is>
          <t>Pusan National University</t>
        </is>
      </c>
      <c r="C1141" t="inlineStr">
        <is>
          <t>SO</t>
        </is>
      </c>
      <c r="D1141" t="inlineStr">
        <is>
          <t>South Korea</t>
        </is>
      </c>
    </row>
    <row r="1142">
      <c r="A1142" t="inlineStr">
        <is>
          <t>U1141</t>
        </is>
      </c>
      <c r="B1142" t="inlineStr">
        <is>
          <t>Qassim University</t>
        </is>
      </c>
      <c r="C1142" t="inlineStr">
        <is>
          <t>SA</t>
        </is>
      </c>
      <c r="D1142" t="inlineStr">
        <is>
          <t>Saudi Arabia</t>
        </is>
      </c>
    </row>
    <row r="1143">
      <c r="A1143" t="inlineStr">
        <is>
          <t>U1142</t>
        </is>
      </c>
      <c r="B1143" t="inlineStr">
        <is>
          <t>Qatar University</t>
        </is>
      </c>
      <c r="C1143" t="inlineStr">
        <is>
          <t>QA</t>
        </is>
      </c>
      <c r="D1143" t="inlineStr">
        <is>
          <t>Qatar</t>
        </is>
      </c>
    </row>
    <row r="1144">
      <c r="A1144" t="inlineStr">
        <is>
          <t>U1143</t>
        </is>
      </c>
      <c r="B1144" t="inlineStr">
        <is>
          <t>Qazvin University of Medical Sciences</t>
        </is>
      </c>
      <c r="C1144" t="inlineStr">
        <is>
          <t>IR</t>
        </is>
      </c>
      <c r="D1144" t="inlineStr">
        <is>
          <t>Iran</t>
        </is>
      </c>
    </row>
    <row r="1145">
      <c r="A1145" t="inlineStr">
        <is>
          <t>U1144</t>
        </is>
      </c>
      <c r="B1145" t="inlineStr">
        <is>
          <t>Qingdao University</t>
        </is>
      </c>
      <c r="C1145" t="inlineStr">
        <is>
          <t>CH</t>
        </is>
      </c>
      <c r="D1145" t="inlineStr">
        <is>
          <t>China</t>
        </is>
      </c>
    </row>
    <row r="1146">
      <c r="A1146" t="inlineStr">
        <is>
          <t>U1145</t>
        </is>
      </c>
      <c r="B1146" t="inlineStr">
        <is>
          <t>Qom University of Medical Sciences</t>
        </is>
      </c>
      <c r="C1146" t="inlineStr">
        <is>
          <t>IR</t>
        </is>
      </c>
      <c r="D1146" t="inlineStr">
        <is>
          <t>Iran</t>
        </is>
      </c>
    </row>
    <row r="1147">
      <c r="A1147" t="inlineStr">
        <is>
          <t>U1146</t>
        </is>
      </c>
      <c r="B1147" t="inlineStr">
        <is>
          <t>Quaid-i-Azam University</t>
        </is>
      </c>
      <c r="C1147" t="inlineStr">
        <is>
          <t>PA</t>
        </is>
      </c>
      <c r="D1147" t="inlineStr">
        <is>
          <t>Pakistan</t>
        </is>
      </c>
    </row>
    <row r="1148">
      <c r="A1148" t="inlineStr">
        <is>
          <t>U1147</t>
        </is>
      </c>
      <c r="B1148" t="inlineStr">
        <is>
          <t>Queen Margaret University , Edinburgh</t>
        </is>
      </c>
      <c r="C1148" t="inlineStr">
        <is>
          <t>UN</t>
        </is>
      </c>
      <c r="D1148" t="inlineStr">
        <is>
          <t>United Kingdom</t>
        </is>
      </c>
    </row>
    <row r="1149">
      <c r="A1149" t="inlineStr">
        <is>
          <t>U1148</t>
        </is>
      </c>
      <c r="B1149" t="inlineStr">
        <is>
          <t>Queen Mary University of London</t>
        </is>
      </c>
      <c r="C1149" t="inlineStr">
        <is>
          <t>UN</t>
        </is>
      </c>
      <c r="D1149" t="inlineStr">
        <is>
          <t>United Kingdom</t>
        </is>
      </c>
    </row>
    <row r="1150">
      <c r="A1150" t="inlineStr">
        <is>
          <t>U1149</t>
        </is>
      </c>
      <c r="B1150" t="inlineStr">
        <is>
          <t>Queen’s University</t>
        </is>
      </c>
      <c r="C1150" t="inlineStr">
        <is>
          <t>CA</t>
        </is>
      </c>
      <c r="D1150" t="inlineStr">
        <is>
          <t>Canada</t>
        </is>
      </c>
    </row>
    <row r="1151">
      <c r="A1151" t="inlineStr">
        <is>
          <t>U1150</t>
        </is>
      </c>
      <c r="B1151" t="inlineStr">
        <is>
          <t>Queen's University at Kingston</t>
        </is>
      </c>
      <c r="C1151" t="inlineStr">
        <is>
          <t>CA</t>
        </is>
      </c>
      <c r="D1151" t="inlineStr">
        <is>
          <t>Canada</t>
        </is>
      </c>
    </row>
    <row r="1152">
      <c r="A1152" t="inlineStr">
        <is>
          <t>U1151</t>
        </is>
      </c>
      <c r="B1152" t="inlineStr">
        <is>
          <t>Queen's University Belfast</t>
        </is>
      </c>
      <c r="C1152" t="inlineStr">
        <is>
          <t>UN</t>
        </is>
      </c>
      <c r="D1152" t="inlineStr">
        <is>
          <t>United Kingdom</t>
        </is>
      </c>
    </row>
    <row r="1153">
      <c r="A1153" t="inlineStr">
        <is>
          <t>U1152</t>
        </is>
      </c>
      <c r="B1153" t="inlineStr">
        <is>
          <t>Queensland University of Technology (QUT)</t>
        </is>
      </c>
      <c r="C1153" t="inlineStr">
        <is>
          <t>AU</t>
        </is>
      </c>
      <c r="D1153" t="inlineStr">
        <is>
          <t>Australia</t>
        </is>
      </c>
    </row>
    <row r="1154">
      <c r="A1154" t="inlineStr">
        <is>
          <t>U1153</t>
        </is>
      </c>
      <c r="B1154" t="inlineStr">
        <is>
          <t>R V College of Engineering</t>
        </is>
      </c>
      <c r="C1154" t="inlineStr">
        <is>
          <t>IN</t>
        </is>
      </c>
      <c r="D1154" t="inlineStr">
        <is>
          <t>India</t>
        </is>
      </c>
    </row>
    <row r="1155">
      <c r="A1155" t="inlineStr">
        <is>
          <t>U1154</t>
        </is>
      </c>
      <c r="B1155" t="inlineStr">
        <is>
          <t xml:space="preserve">Radboud University </t>
        </is>
      </c>
      <c r="C1155" t="inlineStr">
        <is>
          <t>NE</t>
        </is>
      </c>
      <c r="D1155" t="inlineStr">
        <is>
          <t>Netherlands</t>
        </is>
      </c>
    </row>
    <row r="1156">
      <c r="A1156" t="inlineStr">
        <is>
          <t>U1155</t>
        </is>
      </c>
      <c r="B1156" t="inlineStr">
        <is>
          <t>Radboud University Nijmegen</t>
        </is>
      </c>
      <c r="C1156" t="inlineStr">
        <is>
          <t>NE</t>
        </is>
      </c>
      <c r="D1156" t="inlineStr">
        <is>
          <t>Netherlands</t>
        </is>
      </c>
    </row>
    <row r="1157">
      <c r="A1157" t="inlineStr">
        <is>
          <t>U1156</t>
        </is>
      </c>
      <c r="B1157" t="inlineStr">
        <is>
          <t>Rajshahi University</t>
        </is>
      </c>
      <c r="C1157" t="inlineStr">
        <is>
          <t>BA</t>
        </is>
      </c>
      <c r="D1157" t="inlineStr">
        <is>
          <t>Bangladesh</t>
        </is>
      </c>
    </row>
    <row r="1158">
      <c r="A1158" t="inlineStr">
        <is>
          <t>U1157</t>
        </is>
      </c>
      <c r="B1158" t="inlineStr">
        <is>
          <t>Razi University</t>
        </is>
      </c>
      <c r="C1158" t="inlineStr">
        <is>
          <t>IR</t>
        </is>
      </c>
      <c r="D1158" t="inlineStr">
        <is>
          <t>Iran</t>
        </is>
      </c>
    </row>
    <row r="1159">
      <c r="A1159" t="inlineStr">
        <is>
          <t>U1158</t>
        </is>
      </c>
      <c r="B1159" t="inlineStr">
        <is>
          <t>RCSI University of Medicine and Health Sciences</t>
        </is>
      </c>
      <c r="C1159" t="inlineStr">
        <is>
          <t>IR</t>
        </is>
      </c>
      <c r="D1159" t="inlineStr">
        <is>
          <t>Ireland</t>
        </is>
      </c>
    </row>
    <row r="1160">
      <c r="A1160" t="inlineStr">
        <is>
          <t>U1159</t>
        </is>
      </c>
      <c r="B1160" t="inlineStr">
        <is>
          <t>Örebro University</t>
        </is>
      </c>
      <c r="C1160" t="inlineStr">
        <is>
          <t>SW</t>
        </is>
      </c>
      <c r="D1160" t="inlineStr">
        <is>
          <t>Sweden</t>
        </is>
      </c>
    </row>
    <row r="1161">
      <c r="A1161" t="inlineStr">
        <is>
          <t>U1160</t>
        </is>
      </c>
      <c r="B1161" t="inlineStr">
        <is>
          <t>Recep Tayyip Erdoğan University</t>
        </is>
      </c>
      <c r="C1161" t="inlineStr">
        <is>
          <t>TU</t>
        </is>
      </c>
      <c r="D1161" t="inlineStr">
        <is>
          <t>Turkey</t>
        </is>
      </c>
    </row>
    <row r="1162">
      <c r="A1162" t="inlineStr">
        <is>
          <t>U1161</t>
        </is>
      </c>
      <c r="B1162" t="inlineStr">
        <is>
          <t>Reichman University</t>
        </is>
      </c>
      <c r="C1162" t="inlineStr">
        <is>
          <t>IS</t>
        </is>
      </c>
      <c r="D1162" t="inlineStr">
        <is>
          <t>Israel</t>
        </is>
      </c>
    </row>
    <row r="1163">
      <c r="A1163" t="inlineStr">
        <is>
          <t>U1162</t>
        </is>
      </c>
      <c r="B1163" t="inlineStr">
        <is>
          <t>Renmin (People's) University of China</t>
        </is>
      </c>
      <c r="C1163" t="inlineStr">
        <is>
          <t>CH</t>
        </is>
      </c>
      <c r="D1163" t="inlineStr">
        <is>
          <t>China</t>
        </is>
      </c>
    </row>
    <row r="1164">
      <c r="A1164" t="inlineStr">
        <is>
          <t>U1163</t>
        </is>
      </c>
      <c r="B1164" t="inlineStr">
        <is>
          <t>Rensselaer Polytechnic Institute</t>
        </is>
      </c>
      <c r="C1164" t="inlineStr">
        <is>
          <t>UN</t>
        </is>
      </c>
      <c r="D1164" t="inlineStr">
        <is>
          <t>United States</t>
        </is>
      </c>
    </row>
    <row r="1165">
      <c r="A1165" t="inlineStr">
        <is>
          <t>U1164</t>
        </is>
      </c>
      <c r="B1165" t="inlineStr">
        <is>
          <t>Reshetnev Siberian State University of Science and Technology</t>
        </is>
      </c>
      <c r="C1165" t="inlineStr">
        <is>
          <t>RU</t>
        </is>
      </c>
      <c r="D1165" t="inlineStr">
        <is>
          <t>Russian Federation</t>
        </is>
      </c>
    </row>
    <row r="1166">
      <c r="A1166" t="inlineStr">
        <is>
          <t>U1165</t>
        </is>
      </c>
      <c r="B1166" t="inlineStr">
        <is>
          <t>REVA University</t>
        </is>
      </c>
      <c r="C1166" t="inlineStr">
        <is>
          <t>IN</t>
        </is>
      </c>
      <c r="D1166" t="inlineStr">
        <is>
          <t>India</t>
        </is>
      </c>
    </row>
    <row r="1167">
      <c r="A1167" t="inlineStr">
        <is>
          <t>U1166</t>
        </is>
      </c>
      <c r="B1167" t="inlineStr">
        <is>
          <t>Reykjavík University</t>
        </is>
      </c>
      <c r="C1167" t="inlineStr">
        <is>
          <t>IC</t>
        </is>
      </c>
      <c r="D1167" t="inlineStr">
        <is>
          <t>Iceland</t>
        </is>
      </c>
    </row>
    <row r="1168">
      <c r="A1168" t="inlineStr">
        <is>
          <t>U1167</t>
        </is>
      </c>
      <c r="B1168" t="inlineStr">
        <is>
          <t>Rheinische Friedrich-Wilhelms-Universität Bonn</t>
        </is>
      </c>
      <c r="C1168" t="inlineStr">
        <is>
          <t>GE</t>
        </is>
      </c>
      <c r="D1168" t="inlineStr">
        <is>
          <t>Germany</t>
        </is>
      </c>
    </row>
    <row r="1169">
      <c r="A1169" t="inlineStr">
        <is>
          <t>U1168</t>
        </is>
      </c>
      <c r="B1169" t="inlineStr">
        <is>
          <t xml:space="preserve">Rhodes University </t>
        </is>
      </c>
      <c r="C1169" t="inlineStr">
        <is>
          <t>SO</t>
        </is>
      </c>
      <c r="D1169" t="inlineStr">
        <is>
          <t>South Africa</t>
        </is>
      </c>
    </row>
    <row r="1170">
      <c r="A1170" t="inlineStr">
        <is>
          <t>U1169</t>
        </is>
      </c>
      <c r="B1170" t="inlineStr">
        <is>
          <t>Rice University</t>
        </is>
      </c>
      <c r="C1170" t="inlineStr">
        <is>
          <t>UN</t>
        </is>
      </c>
      <c r="D1170" t="inlineStr">
        <is>
          <t>United States</t>
        </is>
      </c>
    </row>
    <row r="1171">
      <c r="A1171" t="inlineStr">
        <is>
          <t>U1170</t>
        </is>
      </c>
      <c r="B1171" t="inlineStr">
        <is>
          <t>Riga Stradiņš University</t>
        </is>
      </c>
      <c r="C1171" t="inlineStr">
        <is>
          <t>LA</t>
        </is>
      </c>
      <c r="D1171" t="inlineStr">
        <is>
          <t>Latvia</t>
        </is>
      </c>
    </row>
    <row r="1172">
      <c r="A1172" t="inlineStr">
        <is>
          <t>U1171</t>
        </is>
      </c>
      <c r="B1172" t="inlineStr">
        <is>
          <t>Riga Stradins University</t>
        </is>
      </c>
      <c r="C1172" t="inlineStr">
        <is>
          <t>LA</t>
        </is>
      </c>
      <c r="D1172" t="inlineStr">
        <is>
          <t>Latvia</t>
        </is>
      </c>
    </row>
    <row r="1173">
      <c r="A1173" t="inlineStr">
        <is>
          <t>U1172</t>
        </is>
      </c>
      <c r="B1173" t="inlineStr">
        <is>
          <t>Riga Technical University</t>
        </is>
      </c>
      <c r="C1173" t="inlineStr">
        <is>
          <t>LA</t>
        </is>
      </c>
      <c r="D1173" t="inlineStr">
        <is>
          <t>Latvia</t>
        </is>
      </c>
    </row>
    <row r="1174">
      <c r="A1174" t="inlineStr">
        <is>
          <t>U1173</t>
        </is>
      </c>
      <c r="B1174" t="inlineStr">
        <is>
          <t>Rikkyo University</t>
        </is>
      </c>
      <c r="C1174" t="inlineStr">
        <is>
          <t>JA</t>
        </is>
      </c>
      <c r="D1174" t="inlineStr">
        <is>
          <t>Japan</t>
        </is>
      </c>
    </row>
    <row r="1175">
      <c r="A1175" t="inlineStr">
        <is>
          <t>U1174</t>
        </is>
      </c>
      <c r="B1175" t="inlineStr">
        <is>
          <t>Riphah International University</t>
        </is>
      </c>
      <c r="C1175" t="inlineStr">
        <is>
          <t>PA</t>
        </is>
      </c>
      <c r="D1175" t="inlineStr">
        <is>
          <t>Pakistan</t>
        </is>
      </c>
    </row>
    <row r="1176">
      <c r="A1176" t="inlineStr">
        <is>
          <t>U1175</t>
        </is>
      </c>
      <c r="B1176" t="inlineStr">
        <is>
          <t>Ritsumeikan Asia Pacific University</t>
        </is>
      </c>
      <c r="C1176" t="inlineStr">
        <is>
          <t>JA</t>
        </is>
      </c>
      <c r="D1176" t="inlineStr">
        <is>
          <t>Japan</t>
        </is>
      </c>
    </row>
    <row r="1177">
      <c r="A1177" t="inlineStr">
        <is>
          <t>U1176</t>
        </is>
      </c>
      <c r="B1177" t="inlineStr">
        <is>
          <t>Ritsumeikan University</t>
        </is>
      </c>
      <c r="C1177" t="inlineStr">
        <is>
          <t>JA</t>
        </is>
      </c>
      <c r="D1177" t="inlineStr">
        <is>
          <t>Japan</t>
        </is>
      </c>
    </row>
    <row r="1178">
      <c r="A1178" t="inlineStr">
        <is>
          <t>U1177</t>
        </is>
      </c>
      <c r="B1178" t="inlineStr">
        <is>
          <t>RMIT University</t>
        </is>
      </c>
      <c r="C1178" t="inlineStr">
        <is>
          <t>AU</t>
        </is>
      </c>
      <c r="D1178" t="inlineStr">
        <is>
          <t>Australia</t>
        </is>
      </c>
    </row>
    <row r="1179">
      <c r="A1179" t="inlineStr">
        <is>
          <t>U1178</t>
        </is>
      </c>
      <c r="B1179" t="inlineStr">
        <is>
          <t>Robert Gordon University</t>
        </is>
      </c>
      <c r="C1179" t="inlineStr">
        <is>
          <t>UN</t>
        </is>
      </c>
      <c r="D1179" t="inlineStr">
        <is>
          <t>United Kingdom</t>
        </is>
      </c>
    </row>
    <row r="1180">
      <c r="A1180" t="inlineStr">
        <is>
          <t>U1179</t>
        </is>
      </c>
      <c r="B1180" t="inlineStr">
        <is>
          <t>Rochester Institute of Technology (RIT)</t>
        </is>
      </c>
      <c r="C1180" t="inlineStr">
        <is>
          <t>UN</t>
        </is>
      </c>
      <c r="D1180" t="inlineStr">
        <is>
          <t>United States</t>
        </is>
      </c>
    </row>
    <row r="1181">
      <c r="A1181" t="inlineStr">
        <is>
          <t>U1180</t>
        </is>
      </c>
      <c r="B1181" t="inlineStr">
        <is>
          <t>Roskilde University</t>
        </is>
      </c>
      <c r="C1181" t="inlineStr">
        <is>
          <t>DE</t>
        </is>
      </c>
      <c r="D1181" t="inlineStr">
        <is>
          <t>Denmark</t>
        </is>
      </c>
    </row>
    <row r="1182">
      <c r="A1182" t="inlineStr">
        <is>
          <t>U1181</t>
        </is>
      </c>
      <c r="B1182" t="inlineStr">
        <is>
          <t>Rovira i Virgili University</t>
        </is>
      </c>
      <c r="C1182" t="inlineStr">
        <is>
          <t>SP</t>
        </is>
      </c>
      <c r="D1182" t="inlineStr">
        <is>
          <t>Spain</t>
        </is>
      </c>
    </row>
    <row r="1183">
      <c r="A1183" t="inlineStr">
        <is>
          <t>U1182</t>
        </is>
      </c>
      <c r="B1183" t="inlineStr">
        <is>
          <t>Rowan University</t>
        </is>
      </c>
      <c r="C1183" t="inlineStr">
        <is>
          <t>UN</t>
        </is>
      </c>
      <c r="D1183" t="inlineStr">
        <is>
          <t>United States</t>
        </is>
      </c>
    </row>
    <row r="1184">
      <c r="A1184" t="inlineStr">
        <is>
          <t>U1183</t>
        </is>
      </c>
      <c r="B1184" t="inlineStr">
        <is>
          <t>Royal Holloway University of London</t>
        </is>
      </c>
      <c r="C1184" t="inlineStr">
        <is>
          <t>UN</t>
        </is>
      </c>
      <c r="D1184" t="inlineStr">
        <is>
          <t>United Kingdom</t>
        </is>
      </c>
    </row>
    <row r="1185">
      <c r="A1185" t="inlineStr">
        <is>
          <t>U1184</t>
        </is>
      </c>
      <c r="B1185" t="inlineStr">
        <is>
          <t>Royal Veterinary College</t>
        </is>
      </c>
      <c r="C1185" t="inlineStr">
        <is>
          <t>UN</t>
        </is>
      </c>
      <c r="D1185" t="inlineStr">
        <is>
          <t>United Kingdom</t>
        </is>
      </c>
    </row>
    <row r="1186">
      <c r="A1186" t="inlineStr">
        <is>
          <t>U1185</t>
        </is>
      </c>
      <c r="B1186" t="inlineStr">
        <is>
          <t>RUDN University</t>
        </is>
      </c>
      <c r="C1186" t="inlineStr">
        <is>
          <t>RU</t>
        </is>
      </c>
      <c r="D1186" t="inlineStr">
        <is>
          <t>Russian Federation</t>
        </is>
      </c>
    </row>
    <row r="1187">
      <c r="A1187" t="inlineStr">
        <is>
          <t>U1186</t>
        </is>
      </c>
      <c r="B1187" t="inlineStr">
        <is>
          <t>Ruhr-Universität Bochum</t>
        </is>
      </c>
      <c r="C1187" t="inlineStr">
        <is>
          <t>GE</t>
        </is>
      </c>
      <c r="D1187" t="inlineStr">
        <is>
          <t>Germany</t>
        </is>
      </c>
    </row>
    <row r="1188">
      <c r="A1188" t="inlineStr">
        <is>
          <t>U1187</t>
        </is>
      </c>
      <c r="B1188" t="inlineStr">
        <is>
          <t>Ruhr University Bochum</t>
        </is>
      </c>
      <c r="C1188" t="inlineStr">
        <is>
          <t>GE</t>
        </is>
      </c>
      <c r="D1188" t="inlineStr">
        <is>
          <t>Germany</t>
        </is>
      </c>
    </row>
    <row r="1189">
      <c r="A1189" t="inlineStr">
        <is>
          <t>U1188</t>
        </is>
      </c>
      <c r="B1189" t="inlineStr">
        <is>
          <t>Ruprecht-Karls-Universität Heidelberg</t>
        </is>
      </c>
      <c r="C1189" t="inlineStr">
        <is>
          <t>GE</t>
        </is>
      </c>
      <c r="D1189" t="inlineStr">
        <is>
          <t>Germany</t>
        </is>
      </c>
    </row>
    <row r="1190">
      <c r="A1190" t="inlineStr">
        <is>
          <t>U1189</t>
        </is>
      </c>
      <c r="B1190" t="inlineStr">
        <is>
          <t>Rush University</t>
        </is>
      </c>
      <c r="C1190" t="inlineStr">
        <is>
          <t>UN</t>
        </is>
      </c>
      <c r="D1190" t="inlineStr">
        <is>
          <t>United States</t>
        </is>
      </c>
    </row>
    <row r="1191">
      <c r="A1191" t="inlineStr">
        <is>
          <t>U1190</t>
        </is>
      </c>
      <c r="B1191" t="inlineStr">
        <is>
          <t>Russian Presidential Academy of National Economy and Public Administration</t>
        </is>
      </c>
      <c r="C1191" t="inlineStr">
        <is>
          <t>RU</t>
        </is>
      </c>
      <c r="D1191" t="inlineStr">
        <is>
          <t>Russian Federation</t>
        </is>
      </c>
    </row>
    <row r="1192">
      <c r="A1192" t="inlineStr">
        <is>
          <t>U1191</t>
        </is>
      </c>
      <c r="B1192" t="inlineStr">
        <is>
          <t>Russian State Agrarian University - Moscow Timiryazev Agricultural Academy</t>
        </is>
      </c>
      <c r="C1192" t="inlineStr">
        <is>
          <t>RU</t>
        </is>
      </c>
      <c r="D1192" t="inlineStr">
        <is>
          <t>Russian Federation</t>
        </is>
      </c>
    </row>
    <row r="1193">
      <c r="A1193" t="inlineStr">
        <is>
          <t>U1192</t>
        </is>
      </c>
      <c r="B1193" t="inlineStr">
        <is>
          <t xml:space="preserve">Russian State University for the Humanities </t>
        </is>
      </c>
      <c r="C1193" t="inlineStr">
        <is>
          <t>RU</t>
        </is>
      </c>
      <c r="D1193" t="inlineStr">
        <is>
          <t>Russian Federation</t>
        </is>
      </c>
    </row>
    <row r="1194">
      <c r="A1194" t="inlineStr">
        <is>
          <t>U1193</t>
        </is>
      </c>
      <c r="B1194" t="inlineStr">
        <is>
          <t>Rutgers University–New Brunswick</t>
        </is>
      </c>
      <c r="C1194" t="inlineStr">
        <is>
          <t>UN</t>
        </is>
      </c>
      <c r="D1194" t="inlineStr">
        <is>
          <t>United States</t>
        </is>
      </c>
    </row>
    <row r="1195">
      <c r="A1195" t="inlineStr">
        <is>
          <t>U1194</t>
        </is>
      </c>
      <c r="B1195" t="inlineStr">
        <is>
          <t>Rutgers University–Newark</t>
        </is>
      </c>
      <c r="C1195" t="inlineStr">
        <is>
          <t>UN</t>
        </is>
      </c>
      <c r="D1195" t="inlineStr">
        <is>
          <t>United States</t>
        </is>
      </c>
    </row>
    <row r="1196">
      <c r="A1196" t="inlineStr">
        <is>
          <t>U1195</t>
        </is>
      </c>
      <c r="B1196" t="inlineStr">
        <is>
          <t>RWTH Aachen University</t>
        </is>
      </c>
      <c r="C1196" t="inlineStr">
        <is>
          <t>GE</t>
        </is>
      </c>
      <c r="D1196" t="inlineStr">
        <is>
          <t>Germany</t>
        </is>
      </c>
    </row>
    <row r="1197">
      <c r="A1197" t="inlineStr">
        <is>
          <t>U1196</t>
        </is>
      </c>
      <c r="B1197" t="inlineStr">
        <is>
          <t>Ryukoku University</t>
        </is>
      </c>
      <c r="C1197" t="inlineStr">
        <is>
          <t>JA</t>
        </is>
      </c>
      <c r="D1197" t="inlineStr">
        <is>
          <t>Japan</t>
        </is>
      </c>
    </row>
    <row r="1198">
      <c r="A1198" t="inlineStr">
        <is>
          <t>U1197</t>
        </is>
      </c>
      <c r="B1198" t="inlineStr">
        <is>
          <t>Rzeszów University of Technology</t>
        </is>
      </c>
      <c r="C1198" t="inlineStr">
        <is>
          <t>PO</t>
        </is>
      </c>
      <c r="D1198" t="inlineStr">
        <is>
          <t>Poland</t>
        </is>
      </c>
    </row>
    <row r="1199">
      <c r="A1199" t="inlineStr">
        <is>
          <t>U1198</t>
        </is>
      </c>
      <c r="B1199" t="inlineStr">
        <is>
          <t>S.D. Asfendiyarov Kazakh National Medical University</t>
        </is>
      </c>
      <c r="C1199" t="inlineStr">
        <is>
          <t>KA</t>
        </is>
      </c>
      <c r="D1199" t="inlineStr">
        <is>
          <t>Kazakhstan</t>
        </is>
      </c>
    </row>
    <row r="1200">
      <c r="A1200" t="inlineStr">
        <is>
          <t>U1199</t>
        </is>
      </c>
      <c r="B1200" t="inlineStr">
        <is>
          <t>Süleyman Demirel University</t>
        </is>
      </c>
      <c r="C1200" t="inlineStr">
        <is>
          <t>TU</t>
        </is>
      </c>
      <c r="D1200" t="inlineStr">
        <is>
          <t>Turkey</t>
        </is>
      </c>
    </row>
    <row r="1201">
      <c r="A1201" t="inlineStr">
        <is>
          <t>U1200</t>
        </is>
      </c>
      <c r="B1201" t="inlineStr">
        <is>
          <t>Sabancı University</t>
        </is>
      </c>
      <c r="C1201" t="inlineStr">
        <is>
          <t>TU</t>
        </is>
      </c>
      <c r="D1201" t="inlineStr">
        <is>
          <t>Turkey</t>
        </is>
      </c>
    </row>
    <row r="1202">
      <c r="A1202" t="inlineStr">
        <is>
          <t>U1201</t>
        </is>
      </c>
      <c r="B1202" t="inlineStr">
        <is>
          <t>Sabanci University</t>
        </is>
      </c>
      <c r="C1202" t="inlineStr">
        <is>
          <t>TU</t>
        </is>
      </c>
      <c r="D1202" t="inlineStr">
        <is>
          <t>Turkey</t>
        </is>
      </c>
    </row>
    <row r="1203">
      <c r="A1203" t="inlineStr">
        <is>
          <t>U1202</t>
        </is>
      </c>
      <c r="B1203" t="inlineStr">
        <is>
          <t>Saga University</t>
        </is>
      </c>
      <c r="C1203" t="inlineStr">
        <is>
          <t>JA</t>
        </is>
      </c>
      <c r="D1203" t="inlineStr">
        <is>
          <t>Japan</t>
        </is>
      </c>
    </row>
    <row r="1204">
      <c r="A1204" t="inlineStr">
        <is>
          <t>U1203</t>
        </is>
      </c>
      <c r="B1204" t="inlineStr">
        <is>
          <t>Sahand University of Technology</t>
        </is>
      </c>
      <c r="C1204" t="inlineStr">
        <is>
          <t>IR</t>
        </is>
      </c>
      <c r="D1204" t="inlineStr">
        <is>
          <t>Iran</t>
        </is>
      </c>
    </row>
    <row r="1205">
      <c r="A1205" t="inlineStr">
        <is>
          <t>U1204</t>
        </is>
      </c>
      <c r="B1205" t="inlineStr">
        <is>
          <t xml:space="preserve">Saint Joseph University of Beirut (USJ) </t>
        </is>
      </c>
      <c r="C1205" t="inlineStr">
        <is>
          <t>LE</t>
        </is>
      </c>
      <c r="D1205" t="inlineStr">
        <is>
          <t>Lebanon</t>
        </is>
      </c>
    </row>
    <row r="1206">
      <c r="A1206" t="inlineStr">
        <is>
          <t>U1205</t>
        </is>
      </c>
      <c r="B1206" t="inlineStr">
        <is>
          <t>Saint Louis University</t>
        </is>
      </c>
      <c r="C1206" t="inlineStr">
        <is>
          <t>UN</t>
        </is>
      </c>
      <c r="D1206" t="inlineStr">
        <is>
          <t>United States</t>
        </is>
      </c>
    </row>
    <row r="1207">
      <c r="A1207" t="inlineStr">
        <is>
          <t>U1206</t>
        </is>
      </c>
      <c r="B1207" t="inlineStr">
        <is>
          <t>Saint Petersburg Electrotechnical University ETU-LETI</t>
        </is>
      </c>
      <c r="C1207" t="inlineStr">
        <is>
          <t>RU</t>
        </is>
      </c>
      <c r="D1207" t="inlineStr">
        <is>
          <t>Russian Federation</t>
        </is>
      </c>
    </row>
    <row r="1208">
      <c r="A1208" t="inlineStr">
        <is>
          <t>U1207</t>
        </is>
      </c>
      <c r="B1208" t="inlineStr">
        <is>
          <t>Saint-Petersburg Mining University</t>
        </is>
      </c>
      <c r="C1208" t="inlineStr">
        <is>
          <t>RU</t>
        </is>
      </c>
      <c r="D1208" t="inlineStr">
        <is>
          <t>Russian Federation</t>
        </is>
      </c>
    </row>
    <row r="1209">
      <c r="A1209" t="inlineStr">
        <is>
          <t>U1208</t>
        </is>
      </c>
      <c r="B1209" t="inlineStr">
        <is>
          <t>Saint Petersburg State University</t>
        </is>
      </c>
      <c r="C1209" t="inlineStr">
        <is>
          <t>RU</t>
        </is>
      </c>
      <c r="D1209" t="inlineStr">
        <is>
          <t>Russian Federation</t>
        </is>
      </c>
    </row>
    <row r="1210">
      <c r="A1210" t="inlineStr">
        <is>
          <t>U1209</t>
        </is>
      </c>
      <c r="B1210" t="inlineStr">
        <is>
          <t>Saints Cyril and Methodius University in Skopje</t>
        </is>
      </c>
      <c r="C1210" t="inlineStr">
        <is>
          <t>NO</t>
        </is>
      </c>
      <c r="D1210" t="inlineStr">
        <is>
          <t>North Macedonia</t>
        </is>
      </c>
    </row>
    <row r="1211">
      <c r="A1211" t="inlineStr">
        <is>
          <t>U1210</t>
        </is>
      </c>
      <c r="B1211" t="inlineStr">
        <is>
          <t>Saitama Medical University</t>
        </is>
      </c>
      <c r="C1211" t="inlineStr">
        <is>
          <t>JA</t>
        </is>
      </c>
      <c r="D1211" t="inlineStr">
        <is>
          <t>Japan</t>
        </is>
      </c>
    </row>
    <row r="1212">
      <c r="A1212" t="inlineStr">
        <is>
          <t>U1211</t>
        </is>
      </c>
      <c r="B1212" t="inlineStr">
        <is>
          <t>Saitama University</t>
        </is>
      </c>
      <c r="C1212" t="inlineStr">
        <is>
          <t>JA</t>
        </is>
      </c>
      <c r="D1212" t="inlineStr">
        <is>
          <t>Japan</t>
        </is>
      </c>
    </row>
    <row r="1213">
      <c r="A1213" t="inlineStr">
        <is>
          <t>U1212</t>
        </is>
      </c>
      <c r="B1213" t="inlineStr">
        <is>
          <t>Sakarya University</t>
        </is>
      </c>
      <c r="C1213" t="inlineStr">
        <is>
          <t>TU</t>
        </is>
      </c>
      <c r="D1213" t="inlineStr">
        <is>
          <t>Turkey</t>
        </is>
      </c>
    </row>
    <row r="1214">
      <c r="A1214" t="inlineStr">
        <is>
          <t>U1213</t>
        </is>
      </c>
      <c r="B1214" t="inlineStr">
        <is>
          <t>Saken Seifullin Kazakh Agrotechnical University</t>
        </is>
      </c>
      <c r="C1214" t="inlineStr">
        <is>
          <t>KA</t>
        </is>
      </c>
      <c r="D1214" t="inlineStr">
        <is>
          <t>Kazakhstan</t>
        </is>
      </c>
    </row>
    <row r="1215">
      <c r="A1215" t="inlineStr">
        <is>
          <t>U1214</t>
        </is>
      </c>
      <c r="B1215" t="inlineStr">
        <is>
          <t>Samara National Research University (Samara University)</t>
        </is>
      </c>
      <c r="C1215" t="inlineStr">
        <is>
          <t>RU</t>
        </is>
      </c>
      <c r="D1215" t="inlineStr">
        <is>
          <t>Russian Federation</t>
        </is>
      </c>
    </row>
    <row r="1216">
      <c r="A1216" t="inlineStr">
        <is>
          <t>U1215</t>
        </is>
      </c>
      <c r="B1216" t="inlineStr">
        <is>
          <t>Samara State Technical University</t>
        </is>
      </c>
      <c r="C1216" t="inlineStr">
        <is>
          <t>RU</t>
        </is>
      </c>
      <c r="D1216" t="inlineStr">
        <is>
          <t>Russian Federation</t>
        </is>
      </c>
    </row>
    <row r="1217">
      <c r="A1217" t="inlineStr">
        <is>
          <t>U1216</t>
        </is>
      </c>
      <c r="B1217" t="inlineStr">
        <is>
          <t>San Diego State University</t>
        </is>
      </c>
      <c r="C1217" t="inlineStr">
        <is>
          <t>UN</t>
        </is>
      </c>
      <c r="D1217" t="inlineStr">
        <is>
          <t>United States</t>
        </is>
      </c>
    </row>
    <row r="1218">
      <c r="A1218" t="inlineStr">
        <is>
          <t>U1217</t>
        </is>
      </c>
      <c r="B1218" t="inlineStr">
        <is>
          <t>San Francisco State University</t>
        </is>
      </c>
      <c r="C1218" t="inlineStr">
        <is>
          <t>UN</t>
        </is>
      </c>
      <c r="D1218" t="inlineStr">
        <is>
          <t>United States</t>
        </is>
      </c>
    </row>
    <row r="1219">
      <c r="A1219" t="inlineStr">
        <is>
          <t>U1218</t>
        </is>
      </c>
      <c r="B1219" t="inlineStr">
        <is>
          <t>San Sebastián University</t>
        </is>
      </c>
      <c r="C1219" t="inlineStr">
        <is>
          <t>CH</t>
        </is>
      </c>
      <c r="D1219" t="inlineStr">
        <is>
          <t>Chile</t>
        </is>
      </c>
    </row>
    <row r="1220">
      <c r="A1220" t="inlineStr">
        <is>
          <t>U1219</t>
        </is>
      </c>
      <c r="B1220" t="inlineStr">
        <is>
          <t>Sant’Anna School of Advanced Studies – Pisa</t>
        </is>
      </c>
      <c r="C1220" t="inlineStr">
        <is>
          <t>IT</t>
        </is>
      </c>
      <c r="D1220" t="inlineStr">
        <is>
          <t>Italy</t>
        </is>
      </c>
    </row>
    <row r="1221">
      <c r="A1221" t="inlineStr">
        <is>
          <t>U1220</t>
        </is>
      </c>
      <c r="B1221" t="inlineStr">
        <is>
          <t>Sapienza University of Rome</t>
        </is>
      </c>
      <c r="C1221" t="inlineStr">
        <is>
          <t>IT</t>
        </is>
      </c>
      <c r="D1221" t="inlineStr">
        <is>
          <t>Italy</t>
        </is>
      </c>
    </row>
    <row r="1222">
      <c r="A1222" t="inlineStr">
        <is>
          <t>U1221</t>
        </is>
      </c>
      <c r="B1222" t="inlineStr">
        <is>
          <t>Sapporo Medical University</t>
        </is>
      </c>
      <c r="C1222" t="inlineStr">
        <is>
          <t>JA</t>
        </is>
      </c>
      <c r="D1222" t="inlineStr">
        <is>
          <t>Japan</t>
        </is>
      </c>
    </row>
    <row r="1223">
      <c r="A1223" t="inlineStr">
        <is>
          <t>U1222</t>
        </is>
      </c>
      <c r="B1223" t="inlineStr">
        <is>
          <t>Saratov State Medical University</t>
        </is>
      </c>
      <c r="C1223" t="inlineStr">
        <is>
          <t>RU</t>
        </is>
      </c>
      <c r="D1223" t="inlineStr">
        <is>
          <t>Russian Federation</t>
        </is>
      </c>
    </row>
    <row r="1224">
      <c r="A1224" t="inlineStr">
        <is>
          <t>U1223</t>
        </is>
      </c>
      <c r="B1224" t="inlineStr">
        <is>
          <t>SASTRA University</t>
        </is>
      </c>
      <c r="C1224" t="inlineStr">
        <is>
          <t>IN</t>
        </is>
      </c>
      <c r="D1224" t="inlineStr">
        <is>
          <t>India</t>
        </is>
      </c>
    </row>
    <row r="1225">
      <c r="A1225" t="inlineStr">
        <is>
          <t>U1224</t>
        </is>
      </c>
      <c r="B1225" t="inlineStr">
        <is>
          <t>Satbayev University</t>
        </is>
      </c>
      <c r="C1225" t="inlineStr">
        <is>
          <t>KA</t>
        </is>
      </c>
      <c r="D1225" t="inlineStr">
        <is>
          <t>Kazakhstan</t>
        </is>
      </c>
    </row>
    <row r="1226">
      <c r="A1226" t="inlineStr">
        <is>
          <t>U1225</t>
        </is>
      </c>
      <c r="B1226" t="inlineStr">
        <is>
          <t>Sathyabama Institute of Science and Technology (deemed to be university)</t>
        </is>
      </c>
      <c r="C1226" t="inlineStr">
        <is>
          <t>IN</t>
        </is>
      </c>
      <c r="D1226" t="inlineStr">
        <is>
          <t>India</t>
        </is>
      </c>
    </row>
    <row r="1227">
      <c r="A1227" t="inlineStr">
        <is>
          <t>U1226</t>
        </is>
      </c>
      <c r="B1227" t="inlineStr">
        <is>
          <t>Saveetha Institute of Medical and Technical Sciences (deemed to be university)</t>
        </is>
      </c>
      <c r="C1227" t="inlineStr">
        <is>
          <t>IN</t>
        </is>
      </c>
      <c r="D1227" t="inlineStr">
        <is>
          <t>India</t>
        </is>
      </c>
    </row>
    <row r="1228">
      <c r="A1228" t="inlineStr">
        <is>
          <t>U1227</t>
        </is>
      </c>
      <c r="B1228" t="inlineStr">
        <is>
          <t>Savitribai Phule Pune University</t>
        </is>
      </c>
      <c r="C1228" t="inlineStr">
        <is>
          <t>IN</t>
        </is>
      </c>
      <c r="D1228" t="inlineStr">
        <is>
          <t>India</t>
        </is>
      </c>
    </row>
    <row r="1229">
      <c r="A1229" t="inlineStr">
        <is>
          <t>U1228</t>
        </is>
      </c>
      <c r="B1229" t="inlineStr">
        <is>
          <t xml:space="preserve">Sciences Po </t>
        </is>
      </c>
      <c r="C1229" t="inlineStr">
        <is>
          <t>FR</t>
        </is>
      </c>
      <c r="D1229" t="inlineStr">
        <is>
          <t>France</t>
        </is>
      </c>
    </row>
    <row r="1230">
      <c r="A1230" t="inlineStr">
        <is>
          <t>U1229</t>
        </is>
      </c>
      <c r="B1230" t="inlineStr">
        <is>
          <t>Scuola Normale Superiore di Pisa</t>
        </is>
      </c>
      <c r="C1230" t="inlineStr">
        <is>
          <t>IT</t>
        </is>
      </c>
      <c r="D1230" t="inlineStr">
        <is>
          <t>Italy</t>
        </is>
      </c>
    </row>
    <row r="1231">
      <c r="A1231" t="inlineStr">
        <is>
          <t>U1230</t>
        </is>
      </c>
      <c r="B1231" t="inlineStr">
        <is>
          <t>Seattle University</t>
        </is>
      </c>
      <c r="C1231" t="inlineStr">
        <is>
          <t>UN</t>
        </is>
      </c>
      <c r="D1231" t="inlineStr">
        <is>
          <t>United States</t>
        </is>
      </c>
    </row>
    <row r="1232">
      <c r="A1232" t="inlineStr">
        <is>
          <t>U1231</t>
        </is>
      </c>
      <c r="B1232" t="inlineStr">
        <is>
          <t>Sechenov University</t>
        </is>
      </c>
      <c r="C1232" t="inlineStr">
        <is>
          <t>RU</t>
        </is>
      </c>
      <c r="D1232" t="inlineStr">
        <is>
          <t>Russian Federation</t>
        </is>
      </c>
    </row>
    <row r="1233">
      <c r="A1233" t="inlineStr">
        <is>
          <t>U1232</t>
        </is>
      </c>
      <c r="B1233" t="inlineStr">
        <is>
          <t xml:space="preserve">Sejong University </t>
        </is>
      </c>
      <c r="C1233" t="inlineStr">
        <is>
          <t>SO</t>
        </is>
      </c>
      <c r="D1233" t="inlineStr">
        <is>
          <t>South Korea</t>
        </is>
      </c>
    </row>
    <row r="1234">
      <c r="A1234" t="inlineStr">
        <is>
          <t>U1233</t>
        </is>
      </c>
      <c r="B1234" t="inlineStr">
        <is>
          <t>Selçuk University</t>
        </is>
      </c>
      <c r="C1234" t="inlineStr">
        <is>
          <t>TU</t>
        </is>
      </c>
      <c r="D1234" t="inlineStr">
        <is>
          <t>Turkey</t>
        </is>
      </c>
    </row>
    <row r="1235">
      <c r="A1235" t="inlineStr">
        <is>
          <t>U1234</t>
        </is>
      </c>
      <c r="B1235" t="inlineStr">
        <is>
          <t>Semmelweis University</t>
        </is>
      </c>
      <c r="C1235" t="inlineStr">
        <is>
          <t>HU</t>
        </is>
      </c>
      <c r="D1235" t="inlineStr">
        <is>
          <t>Hungary</t>
        </is>
      </c>
    </row>
    <row r="1236">
      <c r="A1236" t="inlineStr">
        <is>
          <t>U1235</t>
        </is>
      </c>
      <c r="B1236" t="inlineStr">
        <is>
          <t>Semnan University</t>
        </is>
      </c>
      <c r="C1236" t="inlineStr">
        <is>
          <t>IR</t>
        </is>
      </c>
      <c r="D1236" t="inlineStr">
        <is>
          <t>Iran</t>
        </is>
      </c>
    </row>
    <row r="1237">
      <c r="A1237" t="inlineStr">
        <is>
          <t>U1236</t>
        </is>
      </c>
      <c r="B1237" t="inlineStr">
        <is>
          <t>Semnan University of Medical Sciences and Health Services</t>
        </is>
      </c>
      <c r="C1237" t="inlineStr">
        <is>
          <t>IR</t>
        </is>
      </c>
      <c r="D1237" t="inlineStr">
        <is>
          <t>Iran</t>
        </is>
      </c>
    </row>
    <row r="1238">
      <c r="A1238" t="inlineStr">
        <is>
          <t>U1237</t>
        </is>
      </c>
      <c r="B1238" t="inlineStr">
        <is>
          <t>Seoul National University</t>
        </is>
      </c>
      <c r="C1238" t="inlineStr">
        <is>
          <t>SO</t>
        </is>
      </c>
      <c r="D1238" t="inlineStr">
        <is>
          <t>South Korea</t>
        </is>
      </c>
    </row>
    <row r="1239">
      <c r="A1239" t="inlineStr">
        <is>
          <t>U1238</t>
        </is>
      </c>
      <c r="B1239" t="inlineStr">
        <is>
          <t>Seoul National University of Science and Technology</t>
        </is>
      </c>
      <c r="C1239" t="inlineStr">
        <is>
          <t>SO</t>
        </is>
      </c>
      <c r="D1239" t="inlineStr">
        <is>
          <t>South Korea</t>
        </is>
      </c>
    </row>
    <row r="1240">
      <c r="A1240" t="inlineStr">
        <is>
          <t>U1239</t>
        </is>
      </c>
      <c r="B1240" t="inlineStr">
        <is>
          <t>SGH Warsaw School of Economics</t>
        </is>
      </c>
      <c r="C1240" t="inlineStr">
        <is>
          <t>PO</t>
        </is>
      </c>
      <c r="D1240" t="inlineStr">
        <is>
          <t>Poland</t>
        </is>
      </c>
    </row>
    <row r="1241">
      <c r="A1241" t="inlineStr">
        <is>
          <t>U1240</t>
        </is>
      </c>
      <c r="B1241" t="inlineStr">
        <is>
          <t>Shahed University</t>
        </is>
      </c>
      <c r="C1241" t="inlineStr">
        <is>
          <t>IR</t>
        </is>
      </c>
      <c r="D1241" t="inlineStr">
        <is>
          <t>Iran</t>
        </is>
      </c>
    </row>
    <row r="1242">
      <c r="A1242" t="inlineStr">
        <is>
          <t>U1241</t>
        </is>
      </c>
      <c r="B1242" t="inlineStr">
        <is>
          <t>Shahid Bahonar University of Kerman</t>
        </is>
      </c>
      <c r="C1242" t="inlineStr">
        <is>
          <t>IR</t>
        </is>
      </c>
      <c r="D1242" t="inlineStr">
        <is>
          <t>Iran</t>
        </is>
      </c>
    </row>
    <row r="1243">
      <c r="A1243" t="inlineStr">
        <is>
          <t>U1242</t>
        </is>
      </c>
      <c r="B1243" t="inlineStr">
        <is>
          <t>Shahid Beheshti University (SBU)</t>
        </is>
      </c>
      <c r="C1243" t="inlineStr">
        <is>
          <t>IR</t>
        </is>
      </c>
      <c r="D1243" t="inlineStr">
        <is>
          <t>Iran</t>
        </is>
      </c>
    </row>
    <row r="1244">
      <c r="A1244" t="inlineStr">
        <is>
          <t>U1243</t>
        </is>
      </c>
      <c r="B1244" t="inlineStr">
        <is>
          <t>Shahid Beheshti University of Medical Sciences</t>
        </is>
      </c>
      <c r="C1244" t="inlineStr">
        <is>
          <t>IR</t>
        </is>
      </c>
      <c r="D1244" t="inlineStr">
        <is>
          <t>Iran</t>
        </is>
      </c>
    </row>
    <row r="1245">
      <c r="A1245" t="inlineStr">
        <is>
          <t>U1244</t>
        </is>
      </c>
      <c r="B1245" t="inlineStr">
        <is>
          <t>​Shahid Chamran University of Ahvaz</t>
        </is>
      </c>
      <c r="C1245" t="inlineStr">
        <is>
          <t>IR</t>
        </is>
      </c>
      <c r="D1245" t="inlineStr">
        <is>
          <t>Iran</t>
        </is>
      </c>
    </row>
    <row r="1246">
      <c r="A1246" t="inlineStr">
        <is>
          <t>U1245</t>
        </is>
      </c>
      <c r="B1246" t="inlineStr">
        <is>
          <t>Shahid Sadoughi University of Medical Sciences</t>
        </is>
      </c>
      <c r="C1246" t="inlineStr">
        <is>
          <t>IR</t>
        </is>
      </c>
      <c r="D1246" t="inlineStr">
        <is>
          <t>Iran</t>
        </is>
      </c>
    </row>
    <row r="1247">
      <c r="A1247" t="inlineStr">
        <is>
          <t>U1246</t>
        </is>
      </c>
      <c r="B1247" t="inlineStr">
        <is>
          <t>Shahjalal University of Science and Technology</t>
        </is>
      </c>
      <c r="C1247" t="inlineStr">
        <is>
          <t>BA</t>
        </is>
      </c>
      <c r="D1247" t="inlineStr">
        <is>
          <t>Bangladesh</t>
        </is>
      </c>
    </row>
    <row r="1248">
      <c r="A1248" t="inlineStr">
        <is>
          <t>U1247</t>
        </is>
      </c>
      <c r="B1248" t="inlineStr">
        <is>
          <t>Shahrekord University</t>
        </is>
      </c>
      <c r="C1248" t="inlineStr">
        <is>
          <t>IR</t>
        </is>
      </c>
      <c r="D1248" t="inlineStr">
        <is>
          <t>Iran</t>
        </is>
      </c>
    </row>
    <row r="1249">
      <c r="A1249" t="inlineStr">
        <is>
          <t>U1248</t>
        </is>
      </c>
      <c r="B1249" t="inlineStr">
        <is>
          <t>Shahrekord University of Medical Sciences</t>
        </is>
      </c>
      <c r="C1249" t="inlineStr">
        <is>
          <t>IR</t>
        </is>
      </c>
      <c r="D1249" t="inlineStr">
        <is>
          <t>Iran</t>
        </is>
      </c>
    </row>
    <row r="1250">
      <c r="A1250" t="inlineStr">
        <is>
          <t>U1249</t>
        </is>
      </c>
      <c r="B1250" t="inlineStr">
        <is>
          <t>Shahrood University of Technology</t>
        </is>
      </c>
      <c r="C1250" t="inlineStr">
        <is>
          <t>IR</t>
        </is>
      </c>
      <c r="D1250" t="inlineStr">
        <is>
          <t>Iran</t>
        </is>
      </c>
    </row>
    <row r="1251">
      <c r="A1251" t="inlineStr">
        <is>
          <t>U1250</t>
        </is>
      </c>
      <c r="B1251" t="inlineStr">
        <is>
          <t>Shandong University</t>
        </is>
      </c>
      <c r="C1251" t="inlineStr">
        <is>
          <t>CH</t>
        </is>
      </c>
      <c r="D1251" t="inlineStr">
        <is>
          <t>China</t>
        </is>
      </c>
    </row>
    <row r="1252">
      <c r="A1252" t="inlineStr">
        <is>
          <t>U1251</t>
        </is>
      </c>
      <c r="B1252" t="inlineStr">
        <is>
          <t>Shanghai International Studies University</t>
        </is>
      </c>
      <c r="C1252" t="inlineStr">
        <is>
          <t>CH</t>
        </is>
      </c>
      <c r="D1252" t="inlineStr">
        <is>
          <t>China</t>
        </is>
      </c>
    </row>
    <row r="1253">
      <c r="A1253" t="inlineStr">
        <is>
          <t>U1252</t>
        </is>
      </c>
      <c r="B1253" t="inlineStr">
        <is>
          <t>Shanghai Jiao Tong University</t>
        </is>
      </c>
      <c r="C1253" t="inlineStr">
        <is>
          <t>CH</t>
        </is>
      </c>
      <c r="D1253" t="inlineStr">
        <is>
          <t>China</t>
        </is>
      </c>
    </row>
    <row r="1254">
      <c r="A1254" t="inlineStr">
        <is>
          <t>U1253</t>
        </is>
      </c>
      <c r="B1254" t="inlineStr">
        <is>
          <t>Shanghai Maritime University</t>
        </is>
      </c>
      <c r="C1254" t="inlineStr">
        <is>
          <t>CH</t>
        </is>
      </c>
      <c r="D1254" t="inlineStr">
        <is>
          <t>China</t>
        </is>
      </c>
    </row>
    <row r="1255">
      <c r="A1255" t="inlineStr">
        <is>
          <t>U1254</t>
        </is>
      </c>
      <c r="B1255" t="inlineStr">
        <is>
          <t>Shanghai Normal University</t>
        </is>
      </c>
      <c r="C1255" t="inlineStr">
        <is>
          <t>CH</t>
        </is>
      </c>
      <c r="D1255" t="inlineStr">
        <is>
          <t>China</t>
        </is>
      </c>
    </row>
    <row r="1256">
      <c r="A1256" t="inlineStr">
        <is>
          <t>U1255</t>
        </is>
      </c>
      <c r="B1256" t="inlineStr">
        <is>
          <t>Shanghai University</t>
        </is>
      </c>
      <c r="C1256" t="inlineStr">
        <is>
          <t>CH</t>
        </is>
      </c>
      <c r="D1256" t="inlineStr">
        <is>
          <t>China</t>
        </is>
      </c>
    </row>
    <row r="1257">
      <c r="A1257" t="inlineStr">
        <is>
          <t>U1256</t>
        </is>
      </c>
      <c r="B1257" t="inlineStr">
        <is>
          <t>Shanghai University of Finance and Economics</t>
        </is>
      </c>
      <c r="C1257" t="inlineStr">
        <is>
          <t>CH</t>
        </is>
      </c>
      <c r="D1257" t="inlineStr">
        <is>
          <t>China</t>
        </is>
      </c>
    </row>
    <row r="1258">
      <c r="A1258" t="inlineStr">
        <is>
          <t>U1257</t>
        </is>
      </c>
      <c r="B1258" t="inlineStr">
        <is>
          <t>Shantou University</t>
        </is>
      </c>
      <c r="C1258" t="inlineStr">
        <is>
          <t>CH</t>
        </is>
      </c>
      <c r="D1258" t="inlineStr">
        <is>
          <t>China</t>
        </is>
      </c>
    </row>
    <row r="1259">
      <c r="A1259" t="inlineStr">
        <is>
          <t>U1258</t>
        </is>
      </c>
      <c r="B1259" t="inlineStr">
        <is>
          <t>Sharif University of Technology</t>
        </is>
      </c>
      <c r="C1259" t="inlineStr">
        <is>
          <t>IR</t>
        </is>
      </c>
      <c r="D1259" t="inlineStr">
        <is>
          <t>Iran</t>
        </is>
      </c>
    </row>
    <row r="1260">
      <c r="A1260" t="inlineStr">
        <is>
          <t>U1259</t>
        </is>
      </c>
      <c r="B1260" t="inlineStr">
        <is>
          <t>Sheffield Hallam University</t>
        </is>
      </c>
      <c r="C1260" t="inlineStr">
        <is>
          <t>UN</t>
        </is>
      </c>
      <c r="D1260" t="inlineStr">
        <is>
          <t>United Kingdom</t>
        </is>
      </c>
    </row>
    <row r="1261">
      <c r="A1261" t="inlineStr">
        <is>
          <t>U1260</t>
        </is>
      </c>
      <c r="B1261" t="inlineStr">
        <is>
          <t>Shenzhen University</t>
        </is>
      </c>
      <c r="C1261" t="inlineStr">
        <is>
          <t>CH</t>
        </is>
      </c>
      <c r="D1261" t="inlineStr">
        <is>
          <t>China</t>
        </is>
      </c>
    </row>
    <row r="1262">
      <c r="A1262" t="inlineStr">
        <is>
          <t>U1261</t>
        </is>
      </c>
      <c r="B1262" t="inlineStr">
        <is>
          <t>Shibaura Institute of Technology</t>
        </is>
      </c>
      <c r="C1262" t="inlineStr">
        <is>
          <t>JA</t>
        </is>
      </c>
      <c r="D1262" t="inlineStr">
        <is>
          <t>Japan</t>
        </is>
      </c>
    </row>
    <row r="1263">
      <c r="A1263" t="inlineStr">
        <is>
          <t>U1262</t>
        </is>
      </c>
      <c r="B1263" t="inlineStr">
        <is>
          <t>Shiga University of Medical Science</t>
        </is>
      </c>
      <c r="C1263" t="inlineStr">
        <is>
          <t>JA</t>
        </is>
      </c>
      <c r="D1263" t="inlineStr">
        <is>
          <t>Japan</t>
        </is>
      </c>
    </row>
    <row r="1264">
      <c r="A1264" t="inlineStr">
        <is>
          <t>U1263</t>
        </is>
      </c>
      <c r="B1264" t="inlineStr">
        <is>
          <t>Shimane University</t>
        </is>
      </c>
      <c r="C1264" t="inlineStr">
        <is>
          <t>JA</t>
        </is>
      </c>
      <c r="D1264" t="inlineStr">
        <is>
          <t>Japan</t>
        </is>
      </c>
    </row>
    <row r="1265">
      <c r="A1265" t="inlineStr">
        <is>
          <t>U1264</t>
        </is>
      </c>
      <c r="B1265" t="inlineStr">
        <is>
          <t xml:space="preserve">Shinshu University </t>
        </is>
      </c>
      <c r="C1265" t="inlineStr">
        <is>
          <t>JA</t>
        </is>
      </c>
      <c r="D1265" t="inlineStr">
        <is>
          <t>Japan</t>
        </is>
      </c>
    </row>
    <row r="1266">
      <c r="A1266" t="inlineStr">
        <is>
          <t>U1265</t>
        </is>
      </c>
      <c r="B1266" t="inlineStr">
        <is>
          <t>Shiraz University</t>
        </is>
      </c>
      <c r="C1266" t="inlineStr">
        <is>
          <t>IR</t>
        </is>
      </c>
      <c r="D1266" t="inlineStr">
        <is>
          <t>Iran</t>
        </is>
      </c>
    </row>
    <row r="1267">
      <c r="A1267" t="inlineStr">
        <is>
          <t>U1266</t>
        </is>
      </c>
      <c r="B1267" t="inlineStr">
        <is>
          <t>Shiraz University of Medical Sciences</t>
        </is>
      </c>
      <c r="C1267" t="inlineStr">
        <is>
          <t>IR</t>
        </is>
      </c>
      <c r="D1267" t="inlineStr">
        <is>
          <t>Iran</t>
        </is>
      </c>
    </row>
    <row r="1268">
      <c r="A1268" t="inlineStr">
        <is>
          <t>U1267</t>
        </is>
      </c>
      <c r="B1268" t="inlineStr">
        <is>
          <t>Shiraz University of Technology</t>
        </is>
      </c>
      <c r="C1268" t="inlineStr">
        <is>
          <t>IR</t>
        </is>
      </c>
      <c r="D1268" t="inlineStr">
        <is>
          <t>Iran</t>
        </is>
      </c>
    </row>
    <row r="1269">
      <c r="A1269" t="inlineStr">
        <is>
          <t>U1268</t>
        </is>
      </c>
      <c r="B1269" t="inlineStr">
        <is>
          <t>Shizuoka University</t>
        </is>
      </c>
      <c r="C1269" t="inlineStr">
        <is>
          <t>JA</t>
        </is>
      </c>
      <c r="D1269" t="inlineStr">
        <is>
          <t>Japan</t>
        </is>
      </c>
    </row>
    <row r="1270">
      <c r="A1270" t="inlineStr">
        <is>
          <t>U1269</t>
        </is>
      </c>
      <c r="B1270" t="inlineStr">
        <is>
          <t>Shoolini University of Biotechnology and Management Sciences</t>
        </is>
      </c>
      <c r="C1270" t="inlineStr">
        <is>
          <t>IN</t>
        </is>
      </c>
      <c r="D1270" t="inlineStr">
        <is>
          <t>India</t>
        </is>
      </c>
    </row>
    <row r="1271">
      <c r="A1271" t="inlineStr">
        <is>
          <t>U1270</t>
        </is>
      </c>
      <c r="B1271" t="inlineStr">
        <is>
          <t>Showa University</t>
        </is>
      </c>
      <c r="C1271" t="inlineStr">
        <is>
          <t>JA</t>
        </is>
      </c>
      <c r="D1271" t="inlineStr">
        <is>
          <t>Japan</t>
        </is>
      </c>
    </row>
    <row r="1272">
      <c r="A1272" t="inlineStr">
        <is>
          <t>U1271</t>
        </is>
      </c>
      <c r="B1272" t="inlineStr">
        <is>
          <t>Shri Mata Vaishno Devi University</t>
        </is>
      </c>
      <c r="C1272" t="inlineStr">
        <is>
          <t>IN</t>
        </is>
      </c>
      <c r="D1272" t="inlineStr">
        <is>
          <t>India</t>
        </is>
      </c>
    </row>
    <row r="1273">
      <c r="A1273" t="inlineStr">
        <is>
          <t>U1272</t>
        </is>
      </c>
      <c r="B1273" t="inlineStr">
        <is>
          <t>Siberian Federal University</t>
        </is>
      </c>
      <c r="C1273" t="inlineStr">
        <is>
          <t>RU</t>
        </is>
      </c>
      <c r="D1273" t="inlineStr">
        <is>
          <t>Russian Federation</t>
        </is>
      </c>
    </row>
    <row r="1274">
      <c r="A1274" t="inlineStr">
        <is>
          <t>U1273</t>
        </is>
      </c>
      <c r="B1274" t="inlineStr">
        <is>
          <t>Siberian Federal University, SibFU</t>
        </is>
      </c>
      <c r="C1274" t="inlineStr">
        <is>
          <t>RU</t>
        </is>
      </c>
      <c r="D1274" t="inlineStr">
        <is>
          <t>Russian Federation</t>
        </is>
      </c>
    </row>
    <row r="1275">
      <c r="A1275" t="inlineStr">
        <is>
          <t>U1274</t>
        </is>
      </c>
      <c r="B1275" t="inlineStr">
        <is>
          <t>Siberian State Medical University</t>
        </is>
      </c>
      <c r="C1275" t="inlineStr">
        <is>
          <t>RU</t>
        </is>
      </c>
      <c r="D1275" t="inlineStr">
        <is>
          <t>Russian Federation</t>
        </is>
      </c>
    </row>
    <row r="1276">
      <c r="A1276" t="inlineStr">
        <is>
          <t>U1275</t>
        </is>
      </c>
      <c r="B1276" t="inlineStr">
        <is>
          <t>Sichuan University</t>
        </is>
      </c>
      <c r="C1276" t="inlineStr">
        <is>
          <t>CH</t>
        </is>
      </c>
      <c r="D1276" t="inlineStr">
        <is>
          <t>China</t>
        </is>
      </c>
    </row>
    <row r="1277">
      <c r="A1277" t="inlineStr">
        <is>
          <t>U1276</t>
        </is>
      </c>
      <c r="B1277" t="inlineStr">
        <is>
          <t>Sichuan University of Science and Engineering</t>
        </is>
      </c>
      <c r="C1277" t="inlineStr">
        <is>
          <t>CH</t>
        </is>
      </c>
      <c r="D1277" t="inlineStr">
        <is>
          <t>China</t>
        </is>
      </c>
    </row>
    <row r="1278">
      <c r="A1278" t="inlineStr">
        <is>
          <t>U1277</t>
        </is>
      </c>
      <c r="B1278" t="inlineStr">
        <is>
          <t>Sidi Mohamed Ben Abdellah University</t>
        </is>
      </c>
      <c r="C1278" t="inlineStr">
        <is>
          <t>MO</t>
        </is>
      </c>
      <c r="D1278" t="inlineStr">
        <is>
          <t>Morocco</t>
        </is>
      </c>
    </row>
    <row r="1279">
      <c r="A1279" t="inlineStr">
        <is>
          <t>U1278</t>
        </is>
      </c>
      <c r="B1279" t="inlineStr">
        <is>
          <t>Siksha 'O' Anusandhan (Deemed to be University)</t>
        </is>
      </c>
      <c r="C1279" t="inlineStr">
        <is>
          <t>IN</t>
        </is>
      </c>
      <c r="D1279" t="inlineStr">
        <is>
          <t>India</t>
        </is>
      </c>
    </row>
    <row r="1280">
      <c r="A1280" t="inlineStr">
        <is>
          <t>U1279</t>
        </is>
      </c>
      <c r="B1280" t="inlineStr">
        <is>
          <t>Silesian University of Technology</t>
        </is>
      </c>
      <c r="C1280" t="inlineStr">
        <is>
          <t>PO</t>
        </is>
      </c>
      <c r="D1280" t="inlineStr">
        <is>
          <t>Poland</t>
        </is>
      </c>
    </row>
    <row r="1281">
      <c r="A1281" t="inlineStr">
        <is>
          <t>U1280</t>
        </is>
      </c>
      <c r="B1281" t="inlineStr">
        <is>
          <t>Silpakorn University</t>
        </is>
      </c>
      <c r="C1281" t="inlineStr">
        <is>
          <t>TH</t>
        </is>
      </c>
      <c r="D1281" t="inlineStr">
        <is>
          <t>Thailand</t>
        </is>
      </c>
    </row>
    <row r="1282">
      <c r="A1282" t="inlineStr">
        <is>
          <t>U1281</t>
        </is>
      </c>
      <c r="B1282" t="inlineStr">
        <is>
          <t>Simon Fraser University</t>
        </is>
      </c>
      <c r="C1282" t="inlineStr">
        <is>
          <t>CA</t>
        </is>
      </c>
      <c r="D1282" t="inlineStr">
        <is>
          <t>Canada</t>
        </is>
      </c>
    </row>
    <row r="1283">
      <c r="A1283" t="inlineStr">
        <is>
          <t>U1282</t>
        </is>
      </c>
      <c r="B1283" t="inlineStr">
        <is>
          <t>Singapore Management University</t>
        </is>
      </c>
      <c r="C1283" t="inlineStr">
        <is>
          <t>SI</t>
        </is>
      </c>
      <c r="D1283" t="inlineStr">
        <is>
          <t>Singapore</t>
        </is>
      </c>
    </row>
    <row r="1284">
      <c r="A1284" t="inlineStr">
        <is>
          <t>U1283</t>
        </is>
      </c>
      <c r="B1284" t="inlineStr">
        <is>
          <t>Singapore University of Technology and Design</t>
        </is>
      </c>
      <c r="C1284" t="inlineStr">
        <is>
          <t>SI</t>
        </is>
      </c>
      <c r="D1284" t="inlineStr">
        <is>
          <t>Singapore</t>
        </is>
      </c>
    </row>
    <row r="1285">
      <c r="A1285" t="inlineStr">
        <is>
          <t>U1284</t>
        </is>
      </c>
      <c r="B1285" t="inlineStr">
        <is>
          <t>Sivas Cumhuriyet University</t>
        </is>
      </c>
      <c r="C1285" t="inlineStr">
        <is>
          <t>TU</t>
        </is>
      </c>
      <c r="D1285" t="inlineStr">
        <is>
          <t>Turkey</t>
        </is>
      </c>
    </row>
    <row r="1286">
      <c r="A1286" t="inlineStr">
        <is>
          <t>U1285</t>
        </is>
      </c>
      <c r="B1286" t="inlineStr">
        <is>
          <t>Slovak University of Agriculture in Nitra</t>
        </is>
      </c>
      <c r="C1286" t="inlineStr">
        <is>
          <t>SL</t>
        </is>
      </c>
      <c r="D1286" t="inlineStr">
        <is>
          <t>Slovakia</t>
        </is>
      </c>
    </row>
    <row r="1287">
      <c r="A1287" t="inlineStr">
        <is>
          <t>U1286</t>
        </is>
      </c>
      <c r="B1287" t="inlineStr">
        <is>
          <t>Slovak University of Technology in Bratislava</t>
        </is>
      </c>
      <c r="C1287" t="inlineStr">
        <is>
          <t>SL</t>
        </is>
      </c>
      <c r="D1287" t="inlineStr">
        <is>
          <t>Slovakia</t>
        </is>
      </c>
    </row>
    <row r="1288">
      <c r="A1288" t="inlineStr">
        <is>
          <t>U1287</t>
        </is>
      </c>
      <c r="B1288" t="inlineStr">
        <is>
          <t xml:space="preserve">SOAS University of London </t>
        </is>
      </c>
      <c r="C1288" t="inlineStr">
        <is>
          <t>UN</t>
        </is>
      </c>
      <c r="D1288" t="inlineStr">
        <is>
          <t>United Kingdom</t>
        </is>
      </c>
    </row>
    <row r="1289">
      <c r="A1289" t="inlineStr">
        <is>
          <t>U1288</t>
        </is>
      </c>
      <c r="B1289" t="inlineStr">
        <is>
          <t>Sofia University</t>
        </is>
      </c>
      <c r="C1289" t="inlineStr">
        <is>
          <t>BU</t>
        </is>
      </c>
      <c r="D1289" t="inlineStr">
        <is>
          <t>Bulgaria</t>
        </is>
      </c>
    </row>
    <row r="1290">
      <c r="A1290" t="inlineStr">
        <is>
          <t>U1289</t>
        </is>
      </c>
      <c r="B1290" t="inlineStr">
        <is>
          <t>Sofia University "St. Kliment Ohridski"</t>
        </is>
      </c>
      <c r="C1290" t="inlineStr">
        <is>
          <t>BU</t>
        </is>
      </c>
      <c r="D1290" t="inlineStr">
        <is>
          <t>Bulgaria</t>
        </is>
      </c>
    </row>
    <row r="1291">
      <c r="A1291" t="inlineStr">
        <is>
          <t>U1290</t>
        </is>
      </c>
      <c r="B1291" t="inlineStr">
        <is>
          <t>Sogang University</t>
        </is>
      </c>
      <c r="C1291" t="inlineStr">
        <is>
          <t>SO</t>
        </is>
      </c>
      <c r="D1291" t="inlineStr">
        <is>
          <t>South Korea</t>
        </is>
      </c>
    </row>
    <row r="1292">
      <c r="A1292" t="inlineStr">
        <is>
          <t>U1291</t>
        </is>
      </c>
      <c r="B1292" t="inlineStr">
        <is>
          <t>Sohag University</t>
        </is>
      </c>
      <c r="C1292" t="inlineStr">
        <is>
          <t>EG</t>
        </is>
      </c>
      <c r="D1292" t="inlineStr">
        <is>
          <t>Egypt</t>
        </is>
      </c>
    </row>
    <row r="1293">
      <c r="A1293" t="inlineStr">
        <is>
          <t>U1292</t>
        </is>
      </c>
      <c r="B1293" t="inlineStr">
        <is>
          <t>Sohar University</t>
        </is>
      </c>
      <c r="C1293" t="inlineStr">
        <is>
          <t>OM</t>
        </is>
      </c>
      <c r="D1293" t="inlineStr">
        <is>
          <t>Oman</t>
        </is>
      </c>
    </row>
    <row r="1294">
      <c r="A1294" t="inlineStr">
        <is>
          <t>U1293</t>
        </is>
      </c>
      <c r="B1294" t="inlineStr">
        <is>
          <t>Soochow University</t>
        </is>
      </c>
      <c r="C1294" t="inlineStr">
        <is>
          <t>CH</t>
        </is>
      </c>
      <c r="D1294" t="inlineStr">
        <is>
          <t>China</t>
        </is>
      </c>
    </row>
    <row r="1295">
      <c r="A1295" t="inlineStr">
        <is>
          <t>U1294</t>
        </is>
      </c>
      <c r="B1295" t="inlineStr">
        <is>
          <t>Soochow University (Taiwan)</t>
        </is>
      </c>
      <c r="C1295" t="inlineStr">
        <is>
          <t>TA</t>
        </is>
      </c>
      <c r="D1295" t="inlineStr">
        <is>
          <t>Taiwan</t>
        </is>
      </c>
    </row>
    <row r="1296">
      <c r="A1296" t="inlineStr">
        <is>
          <t>U1295</t>
        </is>
      </c>
      <c r="B1296" t="inlineStr">
        <is>
          <t>Soochow University, China</t>
        </is>
      </c>
      <c r="C1296" t="inlineStr">
        <is>
          <t>CH</t>
        </is>
      </c>
      <c r="D1296" t="inlineStr">
        <is>
          <t>China</t>
        </is>
      </c>
    </row>
    <row r="1297">
      <c r="A1297" t="inlineStr">
        <is>
          <t>U1296</t>
        </is>
      </c>
      <c r="B1297" t="inlineStr">
        <is>
          <t xml:space="preserve">Sookmyung Women's University </t>
        </is>
      </c>
      <c r="C1297" t="inlineStr">
        <is>
          <t>SO</t>
        </is>
      </c>
      <c r="D1297" t="inlineStr">
        <is>
          <t>South Korea</t>
        </is>
      </c>
    </row>
    <row r="1298">
      <c r="A1298" t="inlineStr">
        <is>
          <t>U1297</t>
        </is>
      </c>
      <c r="B1298" t="inlineStr">
        <is>
          <t>Soonchunhyang University</t>
        </is>
      </c>
      <c r="C1298" t="inlineStr">
        <is>
          <t>SO</t>
        </is>
      </c>
      <c r="D1298" t="inlineStr">
        <is>
          <t>South Korea</t>
        </is>
      </c>
    </row>
    <row r="1299">
      <c r="A1299" t="inlineStr">
        <is>
          <t>U1298</t>
        </is>
      </c>
      <c r="B1299" t="inlineStr">
        <is>
          <t>Soongsil University</t>
        </is>
      </c>
      <c r="C1299" t="inlineStr">
        <is>
          <t>SO</t>
        </is>
      </c>
      <c r="D1299" t="inlineStr">
        <is>
          <t>South Korea</t>
        </is>
      </c>
    </row>
    <row r="1300">
      <c r="A1300" t="inlineStr">
        <is>
          <t>U1299</t>
        </is>
      </c>
      <c r="B1300" t="inlineStr">
        <is>
          <t xml:space="preserve">Sophia University </t>
        </is>
      </c>
      <c r="C1300" t="inlineStr">
        <is>
          <t>JA</t>
        </is>
      </c>
      <c r="D1300" t="inlineStr">
        <is>
          <t>Japan</t>
        </is>
      </c>
    </row>
    <row r="1301">
      <c r="A1301" t="inlineStr">
        <is>
          <t>U1300</t>
        </is>
      </c>
      <c r="B1301" t="inlineStr">
        <is>
          <t>Sorbonne University</t>
        </is>
      </c>
      <c r="C1301" t="inlineStr">
        <is>
          <t>FR</t>
        </is>
      </c>
      <c r="D1301" t="inlineStr">
        <is>
          <t>France</t>
        </is>
      </c>
    </row>
    <row r="1302">
      <c r="A1302" t="inlineStr">
        <is>
          <t>U1301</t>
        </is>
      </c>
      <c r="B1302" t="inlineStr">
        <is>
          <t>South China Normal University</t>
        </is>
      </c>
      <c r="C1302" t="inlineStr">
        <is>
          <t>CH</t>
        </is>
      </c>
      <c r="D1302" t="inlineStr">
        <is>
          <t>China</t>
        </is>
      </c>
    </row>
    <row r="1303">
      <c r="A1303" t="inlineStr">
        <is>
          <t>U1302</t>
        </is>
      </c>
      <c r="B1303" t="inlineStr">
        <is>
          <t>South China University of Technology</t>
        </is>
      </c>
      <c r="C1303" t="inlineStr">
        <is>
          <t>CH</t>
        </is>
      </c>
      <c r="D1303" t="inlineStr">
        <is>
          <t>China</t>
        </is>
      </c>
    </row>
    <row r="1304">
      <c r="A1304" t="inlineStr">
        <is>
          <t>U1303</t>
        </is>
      </c>
      <c r="B1304" t="inlineStr">
        <is>
          <t>South Ural State University (National Research University)</t>
        </is>
      </c>
      <c r="C1304" t="inlineStr">
        <is>
          <t>RU</t>
        </is>
      </c>
      <c r="D1304" t="inlineStr">
        <is>
          <t>Russian Federation</t>
        </is>
      </c>
    </row>
    <row r="1305">
      <c r="A1305" t="inlineStr">
        <is>
          <t>U1304</t>
        </is>
      </c>
      <c r="B1305" t="inlineStr">
        <is>
          <t>South Valley University</t>
        </is>
      </c>
      <c r="C1305" t="inlineStr">
        <is>
          <t>EG</t>
        </is>
      </c>
      <c r="D1305" t="inlineStr">
        <is>
          <t>Egypt</t>
        </is>
      </c>
    </row>
    <row r="1306">
      <c r="A1306" t="inlineStr">
        <is>
          <t>U1305</t>
        </is>
      </c>
      <c r="B1306" t="inlineStr">
        <is>
          <t>Southeast University</t>
        </is>
      </c>
      <c r="C1306" t="inlineStr">
        <is>
          <t>CH</t>
        </is>
      </c>
      <c r="D1306" t="inlineStr">
        <is>
          <t>China</t>
        </is>
      </c>
    </row>
    <row r="1307">
      <c r="A1307" t="inlineStr">
        <is>
          <t>U1306</t>
        </is>
      </c>
      <c r="B1307" t="inlineStr">
        <is>
          <t xml:space="preserve">Southern Cross University </t>
        </is>
      </c>
      <c r="C1307" t="inlineStr">
        <is>
          <t>AU</t>
        </is>
      </c>
      <c r="D1307" t="inlineStr">
        <is>
          <t>Australia</t>
        </is>
      </c>
    </row>
    <row r="1308">
      <c r="A1308" t="inlineStr">
        <is>
          <t>U1307</t>
        </is>
      </c>
      <c r="B1308" t="inlineStr">
        <is>
          <t>Southern Federal University</t>
        </is>
      </c>
      <c r="C1308" t="inlineStr">
        <is>
          <t>RU</t>
        </is>
      </c>
      <c r="D1308" t="inlineStr">
        <is>
          <t>Russian Federation</t>
        </is>
      </c>
    </row>
    <row r="1309">
      <c r="A1309" t="inlineStr">
        <is>
          <t>U1308</t>
        </is>
      </c>
      <c r="B1309" t="inlineStr">
        <is>
          <t>Southern Medical University</t>
        </is>
      </c>
      <c r="C1309" t="inlineStr">
        <is>
          <t>CH</t>
        </is>
      </c>
      <c r="D1309" t="inlineStr">
        <is>
          <t>China</t>
        </is>
      </c>
    </row>
    <row r="1310">
      <c r="A1310" t="inlineStr">
        <is>
          <t>U1309</t>
        </is>
      </c>
      <c r="B1310" t="inlineStr">
        <is>
          <t>Southern Methodist University</t>
        </is>
      </c>
      <c r="C1310" t="inlineStr">
        <is>
          <t>UN</t>
        </is>
      </c>
      <c r="D1310" t="inlineStr">
        <is>
          <t>United States</t>
        </is>
      </c>
    </row>
    <row r="1311">
      <c r="A1311" t="inlineStr">
        <is>
          <t>U1310</t>
        </is>
      </c>
      <c r="B1311" t="inlineStr">
        <is>
          <t>Southern University of Science and Technology</t>
        </is>
      </c>
      <c r="C1311" t="inlineStr">
        <is>
          <t>CH</t>
        </is>
      </c>
      <c r="D1311" t="inlineStr">
        <is>
          <t>China</t>
        </is>
      </c>
    </row>
    <row r="1312">
      <c r="A1312" t="inlineStr">
        <is>
          <t>U1311</t>
        </is>
      </c>
      <c r="B1312" t="inlineStr">
        <is>
          <t>Southwest Petroleum University</t>
        </is>
      </c>
      <c r="C1312" t="inlineStr">
        <is>
          <t>CH</t>
        </is>
      </c>
      <c r="D1312" t="inlineStr">
        <is>
          <t>China</t>
        </is>
      </c>
    </row>
    <row r="1313">
      <c r="A1313" t="inlineStr">
        <is>
          <t>U1312</t>
        </is>
      </c>
      <c r="B1313" t="inlineStr">
        <is>
          <t>Southwest State University</t>
        </is>
      </c>
      <c r="C1313" t="inlineStr">
        <is>
          <t>RU</t>
        </is>
      </c>
      <c r="D1313" t="inlineStr">
        <is>
          <t>Russian Federation</t>
        </is>
      </c>
    </row>
    <row r="1314">
      <c r="A1314" t="inlineStr">
        <is>
          <t>U1313</t>
        </is>
      </c>
      <c r="B1314" t="inlineStr">
        <is>
          <t>Southwest University</t>
        </is>
      </c>
      <c r="C1314" t="inlineStr">
        <is>
          <t>CH</t>
        </is>
      </c>
      <c r="D1314" t="inlineStr">
        <is>
          <t>China</t>
        </is>
      </c>
    </row>
    <row r="1315">
      <c r="A1315" t="inlineStr">
        <is>
          <t>U1314</t>
        </is>
      </c>
      <c r="B1315" t="inlineStr">
        <is>
          <t>Sri Venkateswara University</t>
        </is>
      </c>
      <c r="C1315" t="inlineStr">
        <is>
          <t>IN</t>
        </is>
      </c>
      <c r="D1315" t="inlineStr">
        <is>
          <t>India</t>
        </is>
      </c>
    </row>
    <row r="1316">
      <c r="A1316" t="inlineStr">
        <is>
          <t>U1315</t>
        </is>
      </c>
      <c r="B1316" t="inlineStr">
        <is>
          <t>Srinakharinwirot University</t>
        </is>
      </c>
      <c r="C1316" t="inlineStr">
        <is>
          <t>TH</t>
        </is>
      </c>
      <c r="D1316" t="inlineStr">
        <is>
          <t>Thailand</t>
        </is>
      </c>
    </row>
    <row r="1317">
      <c r="A1317" t="inlineStr">
        <is>
          <t>U1316</t>
        </is>
      </c>
      <c r="B1317" t="inlineStr">
        <is>
          <t>SRM INSTITUTE OF SCIENCE AND TECHNOLOGY</t>
        </is>
      </c>
      <c r="C1317" t="inlineStr">
        <is>
          <t>IN</t>
        </is>
      </c>
      <c r="D1317" t="inlineStr">
        <is>
          <t>India</t>
        </is>
      </c>
    </row>
    <row r="1318">
      <c r="A1318" t="inlineStr">
        <is>
          <t>U1317</t>
        </is>
      </c>
      <c r="B1318" t="inlineStr">
        <is>
          <t>SRUC (Scotland’s Rural College)</t>
        </is>
      </c>
      <c r="C1318" t="inlineStr">
        <is>
          <t>UN</t>
        </is>
      </c>
      <c r="D1318" t="inlineStr">
        <is>
          <t>United Kingdom</t>
        </is>
      </c>
    </row>
    <row r="1319">
      <c r="A1319" t="inlineStr">
        <is>
          <t>U1318</t>
        </is>
      </c>
      <c r="B1319" t="inlineStr">
        <is>
          <t>St George’s, University of London</t>
        </is>
      </c>
      <c r="C1319" t="inlineStr">
        <is>
          <t>UN</t>
        </is>
      </c>
      <c r="D1319" t="inlineStr">
        <is>
          <t>United Kingdom</t>
        </is>
      </c>
    </row>
    <row r="1320">
      <c r="A1320" t="inlineStr">
        <is>
          <t>U1319</t>
        </is>
      </c>
      <c r="B1320" t="inlineStr">
        <is>
          <t>St. Louis University</t>
        </is>
      </c>
      <c r="C1320" t="inlineStr">
        <is>
          <t>UN</t>
        </is>
      </c>
      <c r="D1320" t="inlineStr">
        <is>
          <t>United States</t>
        </is>
      </c>
    </row>
    <row r="1321">
      <c r="A1321" t="inlineStr">
        <is>
          <t>U1320</t>
        </is>
      </c>
      <c r="B1321" t="inlineStr">
        <is>
          <t>St Marianna University School of Medicine</t>
        </is>
      </c>
      <c r="C1321" t="inlineStr">
        <is>
          <t>JA</t>
        </is>
      </c>
      <c r="D1321" t="inlineStr">
        <is>
          <t>Japan</t>
        </is>
      </c>
    </row>
    <row r="1322">
      <c r="A1322" t="inlineStr">
        <is>
          <t>U1321</t>
        </is>
      </c>
      <c r="B1322" t="inlineStr">
        <is>
          <t>St Petersburg Electrotechnical University (LETI)</t>
        </is>
      </c>
      <c r="C1322" t="inlineStr">
        <is>
          <t>RU</t>
        </is>
      </c>
      <c r="D1322" t="inlineStr">
        <is>
          <t>Russian Federation</t>
        </is>
      </c>
    </row>
    <row r="1323">
      <c r="A1323" t="inlineStr">
        <is>
          <t>U1322</t>
        </is>
      </c>
      <c r="B1323" t="inlineStr">
        <is>
          <t>Staffordshire University</t>
        </is>
      </c>
      <c r="C1323" t="inlineStr">
        <is>
          <t>UN</t>
        </is>
      </c>
      <c r="D1323" t="inlineStr">
        <is>
          <t>United Kingdom</t>
        </is>
      </c>
    </row>
    <row r="1324">
      <c r="A1324" t="inlineStr">
        <is>
          <t>U1323</t>
        </is>
      </c>
      <c r="B1324" t="inlineStr">
        <is>
          <t>Stamford University Bangladesh</t>
        </is>
      </c>
      <c r="C1324" t="inlineStr">
        <is>
          <t>BA</t>
        </is>
      </c>
      <c r="D1324" t="inlineStr">
        <is>
          <t>Bangladesh</t>
        </is>
      </c>
    </row>
    <row r="1325">
      <c r="A1325" t="inlineStr">
        <is>
          <t>U1324</t>
        </is>
      </c>
      <c r="B1325" t="inlineStr">
        <is>
          <t>Stanford University</t>
        </is>
      </c>
      <c r="C1325" t="inlineStr">
        <is>
          <t>UN</t>
        </is>
      </c>
      <c r="D1325" t="inlineStr">
        <is>
          <t>United States</t>
        </is>
      </c>
    </row>
    <row r="1326">
      <c r="A1326" t="inlineStr">
        <is>
          <t>U1325</t>
        </is>
      </c>
      <c r="B1326" t="inlineStr">
        <is>
          <t>State University of Bahia</t>
        </is>
      </c>
      <c r="C1326" t="inlineStr">
        <is>
          <t>BR</t>
        </is>
      </c>
      <c r="D1326" t="inlineStr">
        <is>
          <t>Brazil</t>
        </is>
      </c>
    </row>
    <row r="1327">
      <c r="A1327" t="inlineStr">
        <is>
          <t>U1326</t>
        </is>
      </c>
      <c r="B1327" t="inlineStr">
        <is>
          <t>State University of Malang</t>
        </is>
      </c>
      <c r="C1327" t="inlineStr">
        <is>
          <t>IN</t>
        </is>
      </c>
      <c r="D1327" t="inlineStr">
        <is>
          <t>Indonesia</t>
        </is>
      </c>
    </row>
    <row r="1328">
      <c r="A1328" t="inlineStr">
        <is>
          <t>U1327</t>
        </is>
      </c>
      <c r="B1328" t="inlineStr">
        <is>
          <t>State University of Ponta Grossa</t>
        </is>
      </c>
      <c r="C1328" t="inlineStr">
        <is>
          <t>BR</t>
        </is>
      </c>
      <c r="D1328" t="inlineStr">
        <is>
          <t>Brazil</t>
        </is>
      </c>
    </row>
    <row r="1329">
      <c r="A1329" t="inlineStr">
        <is>
          <t>U1328</t>
        </is>
      </c>
      <c r="B1329" t="inlineStr">
        <is>
          <t>State University of Santa Cruz</t>
        </is>
      </c>
      <c r="C1329" t="inlineStr">
        <is>
          <t>BR</t>
        </is>
      </c>
      <c r="D1329" t="inlineStr">
        <is>
          <t>Brazil</t>
        </is>
      </c>
    </row>
    <row r="1330">
      <c r="A1330" t="inlineStr">
        <is>
          <t>U1329</t>
        </is>
      </c>
      <c r="B1330" t="inlineStr">
        <is>
          <t>Stefan cel Mare University of Suceava</t>
        </is>
      </c>
      <c r="C1330" t="inlineStr">
        <is>
          <t>RO</t>
        </is>
      </c>
      <c r="D1330" t="inlineStr">
        <is>
          <t>Romania</t>
        </is>
      </c>
    </row>
    <row r="1331">
      <c r="A1331" t="inlineStr">
        <is>
          <t>U1330</t>
        </is>
      </c>
      <c r="B1331" t="inlineStr">
        <is>
          <t>Stellenbosch University</t>
        </is>
      </c>
      <c r="C1331" t="inlineStr">
        <is>
          <t>SO</t>
        </is>
      </c>
      <c r="D1331" t="inlineStr">
        <is>
          <t>South Africa</t>
        </is>
      </c>
    </row>
    <row r="1332">
      <c r="A1332" t="inlineStr">
        <is>
          <t>U1331</t>
        </is>
      </c>
      <c r="B1332" t="inlineStr">
        <is>
          <t>Stevens Institute of Technology</t>
        </is>
      </c>
      <c r="C1332" t="inlineStr">
        <is>
          <t>UN</t>
        </is>
      </c>
      <c r="D1332" t="inlineStr">
        <is>
          <t>United States</t>
        </is>
      </c>
    </row>
    <row r="1333">
      <c r="A1333" t="inlineStr">
        <is>
          <t>U1332</t>
        </is>
      </c>
      <c r="B1333" t="inlineStr">
        <is>
          <t>Stockholm University</t>
        </is>
      </c>
      <c r="C1333" t="inlineStr">
        <is>
          <t>SW</t>
        </is>
      </c>
      <c r="D1333" t="inlineStr">
        <is>
          <t>Sweden</t>
        </is>
      </c>
    </row>
    <row r="1334">
      <c r="A1334" t="inlineStr">
        <is>
          <t>U1333</t>
        </is>
      </c>
      <c r="B1334" t="inlineStr">
        <is>
          <t>Stony Brook University</t>
        </is>
      </c>
      <c r="C1334" t="inlineStr">
        <is>
          <t>UN</t>
        </is>
      </c>
      <c r="D1334" t="inlineStr">
        <is>
          <t>United States</t>
        </is>
      </c>
    </row>
    <row r="1335">
      <c r="A1335" t="inlineStr">
        <is>
          <t>U1334</t>
        </is>
      </c>
      <c r="B1335" t="inlineStr">
        <is>
          <t>Stony Brook University, State University of New York</t>
        </is>
      </c>
      <c r="C1335" t="inlineStr">
        <is>
          <t>UN</t>
        </is>
      </c>
      <c r="D1335" t="inlineStr">
        <is>
          <t>United States</t>
        </is>
      </c>
    </row>
    <row r="1336">
      <c r="A1336" t="inlineStr">
        <is>
          <t>U1335</t>
        </is>
      </c>
      <c r="B1336" t="inlineStr">
        <is>
          <t>Suez Canal University</t>
        </is>
      </c>
      <c r="C1336" t="inlineStr">
        <is>
          <t>EG</t>
        </is>
      </c>
      <c r="D1336" t="inlineStr">
        <is>
          <t>Egypt</t>
        </is>
      </c>
    </row>
    <row r="1337">
      <c r="A1337" t="inlineStr">
        <is>
          <t>U1336</t>
        </is>
      </c>
      <c r="B1337" t="inlineStr">
        <is>
          <t>Suez University</t>
        </is>
      </c>
      <c r="C1337" t="inlineStr">
        <is>
          <t>EG</t>
        </is>
      </c>
      <c r="D1337" t="inlineStr">
        <is>
          <t>Egypt</t>
        </is>
      </c>
    </row>
    <row r="1338">
      <c r="A1338" t="inlineStr">
        <is>
          <t>U1337</t>
        </is>
      </c>
      <c r="B1338" t="inlineStr">
        <is>
          <t>Suleyman Demirel University</t>
        </is>
      </c>
      <c r="C1338" t="inlineStr">
        <is>
          <t>TU</t>
        </is>
      </c>
      <c r="D1338" t="inlineStr">
        <is>
          <t>Turkey</t>
        </is>
      </c>
    </row>
    <row r="1339">
      <c r="A1339" t="inlineStr">
        <is>
          <t>U1338</t>
        </is>
      </c>
      <c r="B1339" t="inlineStr">
        <is>
          <t>Suleyman Demirel University, Kazakhstan</t>
        </is>
      </c>
      <c r="C1339" t="inlineStr">
        <is>
          <t>KA</t>
        </is>
      </c>
      <c r="D1339" t="inlineStr">
        <is>
          <t>Kazakhstan</t>
        </is>
      </c>
    </row>
    <row r="1340">
      <c r="A1340" t="inlineStr">
        <is>
          <t>U1339</t>
        </is>
      </c>
      <c r="B1340" t="inlineStr">
        <is>
          <t>Sultan Qaboos University</t>
        </is>
      </c>
      <c r="C1340" t="inlineStr">
        <is>
          <t>OM</t>
        </is>
      </c>
      <c r="D1340" t="inlineStr">
        <is>
          <t>Oman</t>
        </is>
      </c>
    </row>
    <row r="1341">
      <c r="A1341" t="inlineStr">
        <is>
          <t>U1340</t>
        </is>
      </c>
      <c r="B1341" t="inlineStr">
        <is>
          <t>Sumy State University</t>
        </is>
      </c>
      <c r="C1341" t="inlineStr">
        <is>
          <t>UK</t>
        </is>
      </c>
      <c r="D1341" t="inlineStr">
        <is>
          <t>Ukraine</t>
        </is>
      </c>
    </row>
    <row r="1342">
      <c r="A1342" t="inlineStr">
        <is>
          <t>U1341</t>
        </is>
      </c>
      <c r="B1342" t="inlineStr">
        <is>
          <t>Sun Yat-sen University</t>
        </is>
      </c>
      <c r="C1342" t="inlineStr">
        <is>
          <t>CH</t>
        </is>
      </c>
      <c r="D1342" t="inlineStr">
        <is>
          <t>China</t>
        </is>
      </c>
    </row>
    <row r="1343">
      <c r="A1343" t="inlineStr">
        <is>
          <t>U1342</t>
        </is>
      </c>
      <c r="B1343" t="inlineStr">
        <is>
          <t>Sungkyunkwan University(SKKU)</t>
        </is>
      </c>
      <c r="C1343" t="inlineStr">
        <is>
          <t>SO</t>
        </is>
      </c>
      <c r="D1343" t="inlineStr">
        <is>
          <t>South Korea</t>
        </is>
      </c>
    </row>
    <row r="1344">
      <c r="A1344" t="inlineStr">
        <is>
          <t>U1343</t>
        </is>
      </c>
      <c r="B1344" t="inlineStr">
        <is>
          <t>Sungshin Women's University</t>
        </is>
      </c>
      <c r="C1344" t="inlineStr">
        <is>
          <t>SO</t>
        </is>
      </c>
      <c r="D1344" t="inlineStr">
        <is>
          <t>South Korea</t>
        </is>
      </c>
    </row>
    <row r="1345">
      <c r="A1345" t="inlineStr">
        <is>
          <t>U1344</t>
        </is>
      </c>
      <c r="B1345" t="inlineStr">
        <is>
          <t>Sunway University</t>
        </is>
      </c>
      <c r="C1345" t="inlineStr">
        <is>
          <t>MA</t>
        </is>
      </c>
      <c r="D1345" t="inlineStr">
        <is>
          <t>Malaysia</t>
        </is>
      </c>
    </row>
    <row r="1346">
      <c r="A1346" t="inlineStr">
        <is>
          <t>U1345</t>
        </is>
      </c>
      <c r="B1346" t="inlineStr">
        <is>
          <t>SUNY Binghamton University</t>
        </is>
      </c>
      <c r="C1346" t="inlineStr">
        <is>
          <t>UN</t>
        </is>
      </c>
      <c r="D1346" t="inlineStr">
        <is>
          <t>United States</t>
        </is>
      </c>
    </row>
    <row r="1347">
      <c r="A1347" t="inlineStr">
        <is>
          <t>U1346</t>
        </is>
      </c>
      <c r="B1347" t="inlineStr">
        <is>
          <t xml:space="preserve">Suranaree University of Technology </t>
        </is>
      </c>
      <c r="C1347" t="inlineStr">
        <is>
          <t>TH</t>
        </is>
      </c>
      <c r="D1347" t="inlineStr">
        <is>
          <t>Thailand</t>
        </is>
      </c>
    </row>
    <row r="1348">
      <c r="A1348" t="inlineStr">
        <is>
          <t>U1347</t>
        </is>
      </c>
      <c r="B1348" t="inlineStr">
        <is>
          <t>Swansea University</t>
        </is>
      </c>
      <c r="C1348" t="inlineStr">
        <is>
          <t>UN</t>
        </is>
      </c>
      <c r="D1348" t="inlineStr">
        <is>
          <t>United Kingdom</t>
        </is>
      </c>
    </row>
    <row r="1349">
      <c r="A1349" t="inlineStr">
        <is>
          <t>U1348</t>
        </is>
      </c>
      <c r="B1349" t="inlineStr">
        <is>
          <t>Swarthmore College</t>
        </is>
      </c>
      <c r="C1349" t="inlineStr">
        <is>
          <t>UN</t>
        </is>
      </c>
      <c r="D1349" t="inlineStr">
        <is>
          <t>United States</t>
        </is>
      </c>
    </row>
    <row r="1350">
      <c r="A1350" t="inlineStr">
        <is>
          <t>U1349</t>
        </is>
      </c>
      <c r="B1350" t="inlineStr">
        <is>
          <t>Swedish University of Agricultural Sciences</t>
        </is>
      </c>
      <c r="C1350" t="inlineStr">
        <is>
          <t>SW</t>
        </is>
      </c>
      <c r="D1350" t="inlineStr">
        <is>
          <t>Sweden</t>
        </is>
      </c>
    </row>
    <row r="1351">
      <c r="A1351" t="inlineStr">
        <is>
          <t>U1350</t>
        </is>
      </c>
      <c r="B1351" t="inlineStr">
        <is>
          <t>Swinburne University of Technology</t>
        </is>
      </c>
      <c r="C1351" t="inlineStr">
        <is>
          <t>AU</t>
        </is>
      </c>
      <c r="D1351" t="inlineStr">
        <is>
          <t>Australia</t>
        </is>
      </c>
    </row>
    <row r="1352">
      <c r="A1352" t="inlineStr">
        <is>
          <t>U1351</t>
        </is>
      </c>
      <c r="B1352" t="inlineStr">
        <is>
          <t>SWPS University of Social Sciences and Humanities</t>
        </is>
      </c>
      <c r="C1352" t="inlineStr">
        <is>
          <t>PO</t>
        </is>
      </c>
      <c r="D1352" t="inlineStr">
        <is>
          <t>Poland</t>
        </is>
      </c>
    </row>
    <row r="1353">
      <c r="A1353" t="inlineStr">
        <is>
          <t>U1352</t>
        </is>
      </c>
      <c r="B1353" t="inlineStr">
        <is>
          <t>Symbiosis International (Deemed University)</t>
        </is>
      </c>
      <c r="C1353" t="inlineStr">
        <is>
          <t>IN</t>
        </is>
      </c>
      <c r="D1353" t="inlineStr">
        <is>
          <t>India</t>
        </is>
      </c>
    </row>
    <row r="1354">
      <c r="A1354" t="inlineStr">
        <is>
          <t>U1353</t>
        </is>
      </c>
      <c r="B1354" t="inlineStr">
        <is>
          <t>Symbiosis International University</t>
        </is>
      </c>
      <c r="C1354" t="inlineStr">
        <is>
          <t>IN</t>
        </is>
      </c>
      <c r="D1354" t="inlineStr">
        <is>
          <t>India</t>
        </is>
      </c>
    </row>
    <row r="1355">
      <c r="A1355" t="inlineStr">
        <is>
          <t>U1354</t>
        </is>
      </c>
      <c r="B1355" t="inlineStr">
        <is>
          <t>Syracuse University</t>
        </is>
      </c>
      <c r="C1355" t="inlineStr">
        <is>
          <t>UN</t>
        </is>
      </c>
      <c r="D1355" t="inlineStr">
        <is>
          <t>United States</t>
        </is>
      </c>
    </row>
    <row r="1356">
      <c r="A1356" t="inlineStr">
        <is>
          <t>U1355</t>
        </is>
      </c>
      <c r="B1356" t="inlineStr">
        <is>
          <t>Széchenyi István University</t>
        </is>
      </c>
      <c r="C1356" t="inlineStr">
        <is>
          <t>HU</t>
        </is>
      </c>
      <c r="D1356" t="inlineStr">
        <is>
          <t>Hungary</t>
        </is>
      </c>
    </row>
    <row r="1357">
      <c r="A1357" t="inlineStr">
        <is>
          <t>U1356</t>
        </is>
      </c>
      <c r="B1357" t="inlineStr">
        <is>
          <t>Tabriz University of Medical Sciences</t>
        </is>
      </c>
      <c r="C1357" t="inlineStr">
        <is>
          <t>IR</t>
        </is>
      </c>
      <c r="D1357" t="inlineStr">
        <is>
          <t>Iran</t>
        </is>
      </c>
    </row>
    <row r="1358">
      <c r="A1358" t="inlineStr">
        <is>
          <t>U1357</t>
        </is>
      </c>
      <c r="B1358" t="inlineStr">
        <is>
          <t>Taibah University</t>
        </is>
      </c>
      <c r="C1358" t="inlineStr">
        <is>
          <t>SA</t>
        </is>
      </c>
      <c r="D1358" t="inlineStr">
        <is>
          <t>Saudi Arabia</t>
        </is>
      </c>
    </row>
    <row r="1359">
      <c r="A1359" t="inlineStr">
        <is>
          <t>U1358</t>
        </is>
      </c>
      <c r="B1359" t="inlineStr">
        <is>
          <t>Taif University</t>
        </is>
      </c>
      <c r="C1359" t="inlineStr">
        <is>
          <t>SA</t>
        </is>
      </c>
      <c r="D1359" t="inlineStr">
        <is>
          <t>Saudi Arabia</t>
        </is>
      </c>
    </row>
    <row r="1360">
      <c r="A1360" t="inlineStr">
        <is>
          <t>U1359</t>
        </is>
      </c>
      <c r="B1360" t="inlineStr">
        <is>
          <t>Taipei Medical University (TMU)</t>
        </is>
      </c>
      <c r="C1360" t="inlineStr">
        <is>
          <t>TA</t>
        </is>
      </c>
      <c r="D1360" t="inlineStr">
        <is>
          <t>Taiwan</t>
        </is>
      </c>
    </row>
    <row r="1361">
      <c r="A1361" t="inlineStr">
        <is>
          <t>U1360</t>
        </is>
      </c>
      <c r="B1361" t="inlineStr">
        <is>
          <t xml:space="preserve">Tallinn University </t>
        </is>
      </c>
      <c r="C1361" t="inlineStr">
        <is>
          <t>ES</t>
        </is>
      </c>
      <c r="D1361" t="inlineStr">
        <is>
          <t>Estonia</t>
        </is>
      </c>
    </row>
    <row r="1362">
      <c r="A1362" t="inlineStr">
        <is>
          <t>U1361</t>
        </is>
      </c>
      <c r="B1362" t="inlineStr">
        <is>
          <t>Tallinn University of Technology (TalTech)</t>
        </is>
      </c>
      <c r="C1362" t="inlineStr">
        <is>
          <t>ES</t>
        </is>
      </c>
      <c r="D1362" t="inlineStr">
        <is>
          <t>Estonia</t>
        </is>
      </c>
    </row>
    <row r="1363">
      <c r="A1363" t="inlineStr">
        <is>
          <t>U1362</t>
        </is>
      </c>
      <c r="B1363" t="inlineStr">
        <is>
          <t>Tamil Nadu Agricultural University</t>
        </is>
      </c>
      <c r="C1363" t="inlineStr">
        <is>
          <t>IN</t>
        </is>
      </c>
      <c r="D1363" t="inlineStr">
        <is>
          <t>India</t>
        </is>
      </c>
    </row>
    <row r="1364">
      <c r="A1364" t="inlineStr">
        <is>
          <t>U1363</t>
        </is>
      </c>
      <c r="B1364" t="inlineStr">
        <is>
          <t>Tamkang University</t>
        </is>
      </c>
      <c r="C1364" t="inlineStr">
        <is>
          <t>TA</t>
        </is>
      </c>
      <c r="D1364" t="inlineStr">
        <is>
          <t>Taiwan</t>
        </is>
      </c>
    </row>
    <row r="1365">
      <c r="A1365" t="inlineStr">
        <is>
          <t>U1364</t>
        </is>
      </c>
      <c r="B1365" t="inlineStr">
        <is>
          <t>Tampere University</t>
        </is>
      </c>
      <c r="C1365" t="inlineStr">
        <is>
          <t>FI</t>
        </is>
      </c>
      <c r="D1365" t="inlineStr">
        <is>
          <t>Finland</t>
        </is>
      </c>
    </row>
    <row r="1366">
      <c r="A1366" t="inlineStr">
        <is>
          <t>U1365</t>
        </is>
      </c>
      <c r="B1366" t="inlineStr">
        <is>
          <t xml:space="preserve">Tanta University </t>
        </is>
      </c>
      <c r="C1366" t="inlineStr">
        <is>
          <t>EG</t>
        </is>
      </c>
      <c r="D1366" t="inlineStr">
        <is>
          <t>Egypt</t>
        </is>
      </c>
    </row>
    <row r="1367">
      <c r="A1367" t="inlineStr">
        <is>
          <t>U1366</t>
        </is>
      </c>
      <c r="B1367" t="inlineStr">
        <is>
          <t>Taras Shevchenko National University of Kyiv</t>
        </is>
      </c>
      <c r="C1367" t="inlineStr">
        <is>
          <t>UK</t>
        </is>
      </c>
      <c r="D1367" t="inlineStr">
        <is>
          <t>Ukraine</t>
        </is>
      </c>
    </row>
    <row r="1368">
      <c r="A1368" t="inlineStr">
        <is>
          <t>U1367</t>
        </is>
      </c>
      <c r="B1368" t="inlineStr">
        <is>
          <t>Tashkent Institute of Irrigation and Agricultural Mechanization Engineers - National Research University (TIIAME-NRU)</t>
        </is>
      </c>
      <c r="C1368" t="inlineStr">
        <is>
          <t>UZ</t>
        </is>
      </c>
      <c r="D1368" t="inlineStr">
        <is>
          <t>Uzbekistan</t>
        </is>
      </c>
    </row>
    <row r="1369">
      <c r="A1369" t="inlineStr">
        <is>
          <t>U1368</t>
        </is>
      </c>
      <c r="B1369" t="inlineStr">
        <is>
          <t>Taylor's University</t>
        </is>
      </c>
      <c r="C1369" t="inlineStr">
        <is>
          <t>MA</t>
        </is>
      </c>
      <c r="D1369" t="inlineStr">
        <is>
          <t>Malaysia</t>
        </is>
      </c>
    </row>
    <row r="1370">
      <c r="A1370" t="inlineStr">
        <is>
          <t>U1369</t>
        </is>
      </c>
      <c r="B1370" t="inlineStr">
        <is>
          <t>Technical University of Berlin</t>
        </is>
      </c>
      <c r="C1370" t="inlineStr">
        <is>
          <t>GE</t>
        </is>
      </c>
      <c r="D1370" t="inlineStr">
        <is>
          <t>Germany</t>
        </is>
      </c>
    </row>
    <row r="1371">
      <c r="A1371" t="inlineStr">
        <is>
          <t>U1370</t>
        </is>
      </c>
      <c r="B1371" t="inlineStr">
        <is>
          <t>Technical University of Cartagena</t>
        </is>
      </c>
      <c r="C1371" t="inlineStr">
        <is>
          <t>SP</t>
        </is>
      </c>
      <c r="D1371" t="inlineStr">
        <is>
          <t>Spain</t>
        </is>
      </c>
    </row>
    <row r="1372">
      <c r="A1372" t="inlineStr">
        <is>
          <t>U1371</t>
        </is>
      </c>
      <c r="B1372" t="inlineStr">
        <is>
          <t>Technical University of Cluj-Napoca</t>
        </is>
      </c>
      <c r="C1372" t="inlineStr">
        <is>
          <t>RO</t>
        </is>
      </c>
      <c r="D1372" t="inlineStr">
        <is>
          <t>Romania</t>
        </is>
      </c>
    </row>
    <row r="1373">
      <c r="A1373" t="inlineStr">
        <is>
          <t>U1372</t>
        </is>
      </c>
      <c r="B1373" t="inlineStr">
        <is>
          <t>Technical University of Crete</t>
        </is>
      </c>
      <c r="C1373" t="inlineStr">
        <is>
          <t>GR</t>
        </is>
      </c>
      <c r="D1373" t="inlineStr">
        <is>
          <t>Greece</t>
        </is>
      </c>
    </row>
    <row r="1374">
      <c r="A1374" t="inlineStr">
        <is>
          <t>U1373</t>
        </is>
      </c>
      <c r="B1374" t="inlineStr">
        <is>
          <t>Technical University of Darmstadt</t>
        </is>
      </c>
      <c r="C1374" t="inlineStr">
        <is>
          <t>GE</t>
        </is>
      </c>
      <c r="D1374" t="inlineStr">
        <is>
          <t>Germany</t>
        </is>
      </c>
    </row>
    <row r="1375">
      <c r="A1375" t="inlineStr">
        <is>
          <t>U1374</t>
        </is>
      </c>
      <c r="B1375" t="inlineStr">
        <is>
          <t>Technical University of Denmark</t>
        </is>
      </c>
      <c r="C1375" t="inlineStr">
        <is>
          <t>DE</t>
        </is>
      </c>
      <c r="D1375" t="inlineStr">
        <is>
          <t>Denmark</t>
        </is>
      </c>
    </row>
    <row r="1376">
      <c r="A1376" t="inlineStr">
        <is>
          <t>U1375</t>
        </is>
      </c>
      <c r="B1376" t="inlineStr">
        <is>
          <t>Technical University of Košice</t>
        </is>
      </c>
      <c r="C1376" t="inlineStr">
        <is>
          <t>SL</t>
        </is>
      </c>
      <c r="D1376" t="inlineStr">
        <is>
          <t>Slovakia</t>
        </is>
      </c>
    </row>
    <row r="1377">
      <c r="A1377" t="inlineStr">
        <is>
          <t>U1376</t>
        </is>
      </c>
      <c r="B1377" t="inlineStr">
        <is>
          <t>Technical University of Kosice</t>
        </is>
      </c>
      <c r="C1377" t="inlineStr">
        <is>
          <t>SL</t>
        </is>
      </c>
      <c r="D1377" t="inlineStr">
        <is>
          <t>Slovakia</t>
        </is>
      </c>
    </row>
    <row r="1378">
      <c r="A1378" t="inlineStr">
        <is>
          <t>U1377</t>
        </is>
      </c>
      <c r="B1378" t="inlineStr">
        <is>
          <t>Technical University of Liberec</t>
        </is>
      </c>
      <c r="C1378" t="inlineStr">
        <is>
          <t>CZ</t>
        </is>
      </c>
      <c r="D1378" t="inlineStr">
        <is>
          <t>Czech Republic</t>
        </is>
      </c>
    </row>
    <row r="1379">
      <c r="A1379" t="inlineStr">
        <is>
          <t>U1378</t>
        </is>
      </c>
      <c r="B1379" t="inlineStr">
        <is>
          <t>Technical University of Loja</t>
        </is>
      </c>
      <c r="C1379" t="inlineStr">
        <is>
          <t>EC</t>
        </is>
      </c>
      <c r="D1379" t="inlineStr">
        <is>
          <t>Ecuador</t>
        </is>
      </c>
    </row>
    <row r="1380">
      <c r="A1380" t="inlineStr">
        <is>
          <t>U1379</t>
        </is>
      </c>
      <c r="B1380" t="inlineStr">
        <is>
          <t>Technical University of Lublin</t>
        </is>
      </c>
      <c r="C1380" t="inlineStr">
        <is>
          <t>PO</t>
        </is>
      </c>
      <c r="D1380" t="inlineStr">
        <is>
          <t>Poland</t>
        </is>
      </c>
    </row>
    <row r="1381">
      <c r="A1381" t="inlineStr">
        <is>
          <t>U1380</t>
        </is>
      </c>
      <c r="B1381" t="inlineStr">
        <is>
          <t>Technical University of Madrid</t>
        </is>
      </c>
      <c r="C1381" t="inlineStr">
        <is>
          <t>SP</t>
        </is>
      </c>
      <c r="D1381" t="inlineStr">
        <is>
          <t>Spain</t>
        </is>
      </c>
    </row>
    <row r="1382">
      <c r="A1382" t="inlineStr">
        <is>
          <t>U1381</t>
        </is>
      </c>
      <c r="B1382" t="inlineStr">
        <is>
          <t>Technical University of Munich</t>
        </is>
      </c>
      <c r="C1382" t="inlineStr">
        <is>
          <t>GE</t>
        </is>
      </c>
      <c r="D1382" t="inlineStr">
        <is>
          <t>Germany</t>
        </is>
      </c>
    </row>
    <row r="1383">
      <c r="A1383" t="inlineStr">
        <is>
          <t>U1382</t>
        </is>
      </c>
      <c r="B1383" t="inlineStr">
        <is>
          <t>Technical University of Sofia</t>
        </is>
      </c>
      <c r="C1383" t="inlineStr">
        <is>
          <t>BU</t>
        </is>
      </c>
      <c r="D1383" t="inlineStr">
        <is>
          <t>Bulgaria</t>
        </is>
      </c>
    </row>
    <row r="1384">
      <c r="A1384" t="inlineStr">
        <is>
          <t>U1383</t>
        </is>
      </c>
      <c r="B1384" t="inlineStr">
        <is>
          <t>Technion - Israel Institute of Technology</t>
        </is>
      </c>
      <c r="C1384" t="inlineStr">
        <is>
          <t>IS</t>
        </is>
      </c>
      <c r="D1384" t="inlineStr">
        <is>
          <t>Israel</t>
        </is>
      </c>
    </row>
    <row r="1385">
      <c r="A1385" t="inlineStr">
        <is>
          <t>U1384</t>
        </is>
      </c>
      <c r="B1385" t="inlineStr">
        <is>
          <t>Technische Universität Bergakademie Freiberg</t>
        </is>
      </c>
      <c r="C1385" t="inlineStr">
        <is>
          <t>GE</t>
        </is>
      </c>
      <c r="D1385" t="inlineStr">
        <is>
          <t>Germany</t>
        </is>
      </c>
    </row>
    <row r="1386">
      <c r="A1386" t="inlineStr">
        <is>
          <t>U1385</t>
        </is>
      </c>
      <c r="B1386" t="inlineStr">
        <is>
          <t>Technische Universität Berlin (TU Berlin)</t>
        </is>
      </c>
      <c r="C1386" t="inlineStr">
        <is>
          <t>GE</t>
        </is>
      </c>
      <c r="D1386" t="inlineStr">
        <is>
          <t>Germany</t>
        </is>
      </c>
    </row>
    <row r="1387">
      <c r="A1387" t="inlineStr">
        <is>
          <t>U1386</t>
        </is>
      </c>
      <c r="B1387" t="inlineStr">
        <is>
          <t>Technische Universität Braunschweig</t>
        </is>
      </c>
      <c r="C1387" t="inlineStr">
        <is>
          <t>GE</t>
        </is>
      </c>
      <c r="D1387" t="inlineStr">
        <is>
          <t>Germany</t>
        </is>
      </c>
    </row>
    <row r="1388">
      <c r="A1388" t="inlineStr">
        <is>
          <t>U1387</t>
        </is>
      </c>
      <c r="B1388" t="inlineStr">
        <is>
          <t>Technische Universität Dresden</t>
        </is>
      </c>
      <c r="C1388" t="inlineStr">
        <is>
          <t>GE</t>
        </is>
      </c>
      <c r="D1388" t="inlineStr">
        <is>
          <t>Germany</t>
        </is>
      </c>
    </row>
    <row r="1389">
      <c r="A1389" t="inlineStr">
        <is>
          <t>U1388</t>
        </is>
      </c>
      <c r="B1389" t="inlineStr">
        <is>
          <t>Technische Universität Kaiserslautern</t>
        </is>
      </c>
      <c r="C1389" t="inlineStr">
        <is>
          <t>GE</t>
        </is>
      </c>
      <c r="D1389" t="inlineStr">
        <is>
          <t>Germany</t>
        </is>
      </c>
    </row>
    <row r="1390">
      <c r="A1390" t="inlineStr">
        <is>
          <t>U1389</t>
        </is>
      </c>
      <c r="B1390" t="inlineStr">
        <is>
          <t>Technische Universität Wien</t>
        </is>
      </c>
      <c r="C1390" t="inlineStr">
        <is>
          <t>AU</t>
        </is>
      </c>
      <c r="D1390" t="inlineStr">
        <is>
          <t>Austria</t>
        </is>
      </c>
    </row>
    <row r="1391">
      <c r="A1391" t="inlineStr">
        <is>
          <t>U1390</t>
        </is>
      </c>
      <c r="B1391" t="inlineStr">
        <is>
          <t>Technological University Dublin</t>
        </is>
      </c>
      <c r="C1391" t="inlineStr">
        <is>
          <t>IR</t>
        </is>
      </c>
      <c r="D1391" t="inlineStr">
        <is>
          <t>Ireland</t>
        </is>
      </c>
    </row>
    <row r="1392">
      <c r="A1392" t="inlineStr">
        <is>
          <t>U1391</t>
        </is>
      </c>
      <c r="B1392" t="inlineStr">
        <is>
          <t>Technological University of Pereira</t>
        </is>
      </c>
      <c r="C1392" t="inlineStr">
        <is>
          <t>CO</t>
        </is>
      </c>
      <c r="D1392" t="inlineStr">
        <is>
          <t>Colombia</t>
        </is>
      </c>
    </row>
    <row r="1393">
      <c r="A1393" t="inlineStr">
        <is>
          <t>U1392</t>
        </is>
      </c>
      <c r="B1393" t="inlineStr">
        <is>
          <t>Tecnológico de Costa Rica -TEC</t>
        </is>
      </c>
      <c r="C1393" t="inlineStr">
        <is>
          <t>CO</t>
        </is>
      </c>
      <c r="D1393" t="inlineStr">
        <is>
          <t>Costa Rica</t>
        </is>
      </c>
    </row>
    <row r="1394">
      <c r="A1394" t="inlineStr">
        <is>
          <t>U1393</t>
        </is>
      </c>
      <c r="B1394" t="inlineStr">
        <is>
          <t>Tecnológico de Monterrey</t>
        </is>
      </c>
      <c r="C1394" t="inlineStr">
        <is>
          <t>ME</t>
        </is>
      </c>
      <c r="D1394" t="inlineStr">
        <is>
          <t>Mexico</t>
        </is>
      </c>
    </row>
    <row r="1395">
      <c r="A1395" t="inlineStr">
        <is>
          <t>U1394</t>
        </is>
      </c>
      <c r="B1395" t="inlineStr">
        <is>
          <t>Teesside University</t>
        </is>
      </c>
      <c r="C1395" t="inlineStr">
        <is>
          <t>UN</t>
        </is>
      </c>
      <c r="D1395" t="inlineStr">
        <is>
          <t>United Kingdom</t>
        </is>
      </c>
    </row>
    <row r="1396">
      <c r="A1396" t="inlineStr">
        <is>
          <t>U1395</t>
        </is>
      </c>
      <c r="B1396" t="inlineStr">
        <is>
          <t>Ştefan cel Mare University of Suceava</t>
        </is>
      </c>
      <c r="C1396" t="inlineStr">
        <is>
          <t>RO</t>
        </is>
      </c>
      <c r="D1396" t="inlineStr">
        <is>
          <t>Romania</t>
        </is>
      </c>
    </row>
    <row r="1397">
      <c r="A1397" t="inlineStr">
        <is>
          <t>U1396</t>
        </is>
      </c>
      <c r="B1397" t="inlineStr">
        <is>
          <t>Tehran University of Medical Sciences</t>
        </is>
      </c>
      <c r="C1397" t="inlineStr">
        <is>
          <t>IR</t>
        </is>
      </c>
      <c r="D1397" t="inlineStr">
        <is>
          <t>Iran</t>
        </is>
      </c>
    </row>
    <row r="1398">
      <c r="A1398" t="inlineStr">
        <is>
          <t>U1397</t>
        </is>
      </c>
      <c r="B1398" t="inlineStr">
        <is>
          <t>Teikyo University</t>
        </is>
      </c>
      <c r="C1398" t="inlineStr">
        <is>
          <t>JA</t>
        </is>
      </c>
      <c r="D1398" t="inlineStr">
        <is>
          <t>Japan</t>
        </is>
      </c>
    </row>
    <row r="1399">
      <c r="A1399" t="inlineStr">
        <is>
          <t>U1398</t>
        </is>
      </c>
      <c r="B1399" t="inlineStr">
        <is>
          <t>Tel Aviv University</t>
        </is>
      </c>
      <c r="C1399" t="inlineStr">
        <is>
          <t>IS</t>
        </is>
      </c>
      <c r="D1399" t="inlineStr">
        <is>
          <t>Israel</t>
        </is>
      </c>
    </row>
    <row r="1400">
      <c r="A1400" t="inlineStr">
        <is>
          <t>U1399</t>
        </is>
      </c>
      <c r="B1400" t="inlineStr">
        <is>
          <t>Telkom University</t>
        </is>
      </c>
      <c r="C1400" t="inlineStr">
        <is>
          <t>IN</t>
        </is>
      </c>
      <c r="D1400" t="inlineStr">
        <is>
          <t>Indonesia</t>
        </is>
      </c>
    </row>
    <row r="1401">
      <c r="A1401" t="inlineStr">
        <is>
          <t>U1400</t>
        </is>
      </c>
      <c r="B1401" t="inlineStr">
        <is>
          <t>Temple University</t>
        </is>
      </c>
      <c r="C1401" t="inlineStr">
        <is>
          <t>UN</t>
        </is>
      </c>
      <c r="D1401" t="inlineStr">
        <is>
          <t>United States</t>
        </is>
      </c>
    </row>
    <row r="1402">
      <c r="A1402" t="inlineStr">
        <is>
          <t>U1401</t>
        </is>
      </c>
      <c r="B1402" t="inlineStr">
        <is>
          <t>Temuco Catholic University</t>
        </is>
      </c>
      <c r="C1402" t="inlineStr">
        <is>
          <t>CH</t>
        </is>
      </c>
      <c r="D1402" t="inlineStr">
        <is>
          <t>Chile</t>
        </is>
      </c>
    </row>
    <row r="1403">
      <c r="A1403" t="inlineStr">
        <is>
          <t>U1402</t>
        </is>
      </c>
      <c r="B1403" t="inlineStr">
        <is>
          <t>Texas A&amp;M University</t>
        </is>
      </c>
      <c r="C1403" t="inlineStr">
        <is>
          <t>UN</t>
        </is>
      </c>
      <c r="D1403" t="inlineStr">
        <is>
          <t>United States</t>
        </is>
      </c>
    </row>
    <row r="1404">
      <c r="A1404" t="inlineStr">
        <is>
          <t>U1403</t>
        </is>
      </c>
      <c r="B1404" t="inlineStr">
        <is>
          <t>Texas State University</t>
        </is>
      </c>
      <c r="C1404" t="inlineStr">
        <is>
          <t>UN</t>
        </is>
      </c>
      <c r="D1404" t="inlineStr">
        <is>
          <t>United States</t>
        </is>
      </c>
    </row>
    <row r="1405">
      <c r="A1405" t="inlineStr">
        <is>
          <t>U1404</t>
        </is>
      </c>
      <c r="B1405" t="inlineStr">
        <is>
          <t>Texas Tech University</t>
        </is>
      </c>
      <c r="C1405" t="inlineStr">
        <is>
          <t>UN</t>
        </is>
      </c>
      <c r="D1405" t="inlineStr">
        <is>
          <t>United States</t>
        </is>
      </c>
    </row>
    <row r="1406">
      <c r="A1406" t="inlineStr">
        <is>
          <t>U1405</t>
        </is>
      </c>
      <c r="B1406" t="inlineStr">
        <is>
          <t>Tezpur University</t>
        </is>
      </c>
      <c r="C1406" t="inlineStr">
        <is>
          <t>IN</t>
        </is>
      </c>
      <c r="D1406" t="inlineStr">
        <is>
          <t>India</t>
        </is>
      </c>
    </row>
    <row r="1407">
      <c r="A1407" t="inlineStr">
        <is>
          <t>U1406</t>
        </is>
      </c>
      <c r="B1407" t="inlineStr">
        <is>
          <t>Thammasat University</t>
        </is>
      </c>
      <c r="C1407" t="inlineStr">
        <is>
          <t>TH</t>
        </is>
      </c>
      <c r="D1407" t="inlineStr">
        <is>
          <t>Thailand</t>
        </is>
      </c>
    </row>
    <row r="1408">
      <c r="A1408" t="inlineStr">
        <is>
          <t>U1407</t>
        </is>
      </c>
      <c r="B1408" t="inlineStr">
        <is>
          <t>Thapar Institute of Engineering &amp; Technology</t>
        </is>
      </c>
      <c r="C1408" t="inlineStr">
        <is>
          <t>IN</t>
        </is>
      </c>
      <c r="D1408" t="inlineStr">
        <is>
          <t>India</t>
        </is>
      </c>
    </row>
    <row r="1409">
      <c r="A1409" t="inlineStr">
        <is>
          <t>U1408</t>
        </is>
      </c>
      <c r="B1409" t="inlineStr">
        <is>
          <t>Thiagarajar College of Engineering</t>
        </is>
      </c>
      <c r="C1409" t="inlineStr">
        <is>
          <t>IN</t>
        </is>
      </c>
      <c r="D1409" t="inlineStr">
        <is>
          <t>India</t>
        </is>
      </c>
    </row>
    <row r="1410">
      <c r="A1410" t="inlineStr">
        <is>
          <t>U1409</t>
        </is>
      </c>
      <c r="B1410" t="inlineStr">
        <is>
          <t>Tianjin University</t>
        </is>
      </c>
      <c r="C1410" t="inlineStr">
        <is>
          <t>CH</t>
        </is>
      </c>
      <c r="D1410" t="inlineStr">
        <is>
          <t>China</t>
        </is>
      </c>
    </row>
    <row r="1411">
      <c r="A1411" t="inlineStr">
        <is>
          <t>U1410</t>
        </is>
      </c>
      <c r="B1411" t="inlineStr">
        <is>
          <t>Tilburg University</t>
        </is>
      </c>
      <c r="C1411" t="inlineStr">
        <is>
          <t>NE</t>
        </is>
      </c>
      <c r="D1411" t="inlineStr">
        <is>
          <t>Netherlands</t>
        </is>
      </c>
    </row>
    <row r="1412">
      <c r="A1412" t="inlineStr">
        <is>
          <t>U1411</t>
        </is>
      </c>
      <c r="B1412" t="inlineStr">
        <is>
          <t>TOBB University of Economics and Technology</t>
        </is>
      </c>
      <c r="C1412" t="inlineStr">
        <is>
          <t>TU</t>
        </is>
      </c>
      <c r="D1412" t="inlineStr">
        <is>
          <t>Turkey</t>
        </is>
      </c>
    </row>
    <row r="1413">
      <c r="A1413" t="inlineStr">
        <is>
          <t>U1412</t>
        </is>
      </c>
      <c r="B1413" t="inlineStr">
        <is>
          <t>Toho University</t>
        </is>
      </c>
      <c r="C1413" t="inlineStr">
        <is>
          <t>JA</t>
        </is>
      </c>
      <c r="D1413" t="inlineStr">
        <is>
          <t>Japan</t>
        </is>
      </c>
    </row>
    <row r="1414">
      <c r="A1414" t="inlineStr">
        <is>
          <t>U1413</t>
        </is>
      </c>
      <c r="B1414" t="inlineStr">
        <is>
          <t>Tohoku University</t>
        </is>
      </c>
      <c r="C1414" t="inlineStr">
        <is>
          <t>JA</t>
        </is>
      </c>
      <c r="D1414" t="inlineStr">
        <is>
          <t>Japan</t>
        </is>
      </c>
    </row>
    <row r="1415">
      <c r="A1415" t="inlineStr">
        <is>
          <t>U1414</t>
        </is>
      </c>
      <c r="B1415" t="inlineStr">
        <is>
          <t>Tokai University</t>
        </is>
      </c>
      <c r="C1415" t="inlineStr">
        <is>
          <t>JA</t>
        </is>
      </c>
      <c r="D1415" t="inlineStr">
        <is>
          <t>Japan</t>
        </is>
      </c>
    </row>
    <row r="1416">
      <c r="A1416" t="inlineStr">
        <is>
          <t>U1415</t>
        </is>
      </c>
      <c r="B1416" t="inlineStr">
        <is>
          <t>Tokat Gaziosmanpaşa University</t>
        </is>
      </c>
      <c r="C1416" t="inlineStr">
        <is>
          <t>TU</t>
        </is>
      </c>
      <c r="D1416" t="inlineStr">
        <is>
          <t>Turkey</t>
        </is>
      </c>
    </row>
    <row r="1417">
      <c r="A1417" t="inlineStr">
        <is>
          <t>U1416</t>
        </is>
      </c>
      <c r="B1417" t="inlineStr">
        <is>
          <t>Tokushima University</t>
        </is>
      </c>
      <c r="C1417" t="inlineStr">
        <is>
          <t>JA</t>
        </is>
      </c>
      <c r="D1417" t="inlineStr">
        <is>
          <t>Japan</t>
        </is>
      </c>
    </row>
    <row r="1418">
      <c r="A1418" t="inlineStr">
        <is>
          <t>U1417</t>
        </is>
      </c>
      <c r="B1418" t="inlineStr">
        <is>
          <t>Tokyo City University</t>
        </is>
      </c>
      <c r="C1418" t="inlineStr">
        <is>
          <t>JA</t>
        </is>
      </c>
      <c r="D1418" t="inlineStr">
        <is>
          <t>Japan</t>
        </is>
      </c>
    </row>
    <row r="1419">
      <c r="A1419" t="inlineStr">
        <is>
          <t>U1418</t>
        </is>
      </c>
      <c r="B1419" t="inlineStr">
        <is>
          <t>Tokyo Denki University</t>
        </is>
      </c>
      <c r="C1419" t="inlineStr">
        <is>
          <t>JA</t>
        </is>
      </c>
      <c r="D1419" t="inlineStr">
        <is>
          <t>Japan</t>
        </is>
      </c>
    </row>
    <row r="1420">
      <c r="A1420" t="inlineStr">
        <is>
          <t>U1419</t>
        </is>
      </c>
      <c r="B1420" t="inlineStr">
        <is>
          <t>Tokyo Institute of Technology (Tokyo Tech)</t>
        </is>
      </c>
      <c r="C1420" t="inlineStr">
        <is>
          <t>JA</t>
        </is>
      </c>
      <c r="D1420" t="inlineStr">
        <is>
          <t>Japan</t>
        </is>
      </c>
    </row>
    <row r="1421">
      <c r="A1421" t="inlineStr">
        <is>
          <t>U1420</t>
        </is>
      </c>
      <c r="B1421" t="inlineStr">
        <is>
          <t>Tokyo Medical and Dental University (TMDU)</t>
        </is>
      </c>
      <c r="C1421" t="inlineStr">
        <is>
          <t>JA</t>
        </is>
      </c>
      <c r="D1421" t="inlineStr">
        <is>
          <t>Japan</t>
        </is>
      </c>
    </row>
    <row r="1422">
      <c r="A1422" t="inlineStr">
        <is>
          <t>U1421</t>
        </is>
      </c>
      <c r="B1422" t="inlineStr">
        <is>
          <t>Tokyo Medical University</t>
        </is>
      </c>
      <c r="C1422" t="inlineStr">
        <is>
          <t>JA</t>
        </is>
      </c>
      <c r="D1422" t="inlineStr">
        <is>
          <t>Japan</t>
        </is>
      </c>
    </row>
    <row r="1423">
      <c r="A1423" t="inlineStr">
        <is>
          <t>U1422</t>
        </is>
      </c>
      <c r="B1423" t="inlineStr">
        <is>
          <t>Tokyo Metropolitan University</t>
        </is>
      </c>
      <c r="C1423" t="inlineStr">
        <is>
          <t>JA</t>
        </is>
      </c>
      <c r="D1423" t="inlineStr">
        <is>
          <t>Japan</t>
        </is>
      </c>
    </row>
    <row r="1424">
      <c r="A1424" t="inlineStr">
        <is>
          <t>U1423</t>
        </is>
      </c>
      <c r="B1424" t="inlineStr">
        <is>
          <t>Tokyo University of Agriculture</t>
        </is>
      </c>
      <c r="C1424" t="inlineStr">
        <is>
          <t>JA</t>
        </is>
      </c>
      <c r="D1424" t="inlineStr">
        <is>
          <t>Japan</t>
        </is>
      </c>
    </row>
    <row r="1425">
      <c r="A1425" t="inlineStr">
        <is>
          <t>U1424</t>
        </is>
      </c>
      <c r="B1425" t="inlineStr">
        <is>
          <t xml:space="preserve">Tokyo University of Agriculture and Technology </t>
        </is>
      </c>
      <c r="C1425" t="inlineStr">
        <is>
          <t>JA</t>
        </is>
      </c>
      <c r="D1425" t="inlineStr">
        <is>
          <t>Japan</t>
        </is>
      </c>
    </row>
    <row r="1426">
      <c r="A1426" t="inlineStr">
        <is>
          <t>U1425</t>
        </is>
      </c>
      <c r="B1426" t="inlineStr">
        <is>
          <t>Tokyo University of Marine Science and Technology</t>
        </is>
      </c>
      <c r="C1426" t="inlineStr">
        <is>
          <t>JA</t>
        </is>
      </c>
      <c r="D1426" t="inlineStr">
        <is>
          <t>Japan</t>
        </is>
      </c>
    </row>
    <row r="1427">
      <c r="A1427" t="inlineStr">
        <is>
          <t>U1426</t>
        </is>
      </c>
      <c r="B1427" t="inlineStr">
        <is>
          <t>Tokyo University of Science</t>
        </is>
      </c>
      <c r="C1427" t="inlineStr">
        <is>
          <t>JA</t>
        </is>
      </c>
      <c r="D1427" t="inlineStr">
        <is>
          <t>Japan</t>
        </is>
      </c>
    </row>
    <row r="1428">
      <c r="A1428" t="inlineStr">
        <is>
          <t>U1427</t>
        </is>
      </c>
      <c r="B1428" t="inlineStr">
        <is>
          <t>Tomas Bata University in Zlín</t>
        </is>
      </c>
      <c r="C1428" t="inlineStr">
        <is>
          <t>CZ</t>
        </is>
      </c>
      <c r="D1428" t="inlineStr">
        <is>
          <t>Czech Republic</t>
        </is>
      </c>
    </row>
    <row r="1429">
      <c r="A1429" t="inlineStr">
        <is>
          <t>U1428</t>
        </is>
      </c>
      <c r="B1429" t="inlineStr">
        <is>
          <t>Tomas Bata University in Zlin</t>
        </is>
      </c>
      <c r="C1429" t="inlineStr">
        <is>
          <t>CZ</t>
        </is>
      </c>
      <c r="D1429" t="inlineStr">
        <is>
          <t>Czech Republic</t>
        </is>
      </c>
    </row>
    <row r="1430">
      <c r="A1430" t="inlineStr">
        <is>
          <t>U1429</t>
        </is>
      </c>
      <c r="B1430" t="inlineStr">
        <is>
          <t>Tomsk Polytechnic University</t>
        </is>
      </c>
      <c r="C1430" t="inlineStr">
        <is>
          <t>RU</t>
        </is>
      </c>
      <c r="D1430" t="inlineStr">
        <is>
          <t>Russian Federation</t>
        </is>
      </c>
    </row>
    <row r="1431">
      <c r="A1431" t="inlineStr">
        <is>
          <t>U1430</t>
        </is>
      </c>
      <c r="B1431" t="inlineStr">
        <is>
          <t>Tomsk State University</t>
        </is>
      </c>
      <c r="C1431" t="inlineStr">
        <is>
          <t>RU</t>
        </is>
      </c>
      <c r="D1431" t="inlineStr">
        <is>
          <t>Russian Federation</t>
        </is>
      </c>
    </row>
    <row r="1432">
      <c r="A1432" t="inlineStr">
        <is>
          <t>U1431</t>
        </is>
      </c>
      <c r="B1432" t="inlineStr">
        <is>
          <t>Tomsk State University of Control Systems and Radioelectronics</t>
        </is>
      </c>
      <c r="C1432" t="inlineStr">
        <is>
          <t>RU</t>
        </is>
      </c>
      <c r="D1432" t="inlineStr">
        <is>
          <t>Russian Federation</t>
        </is>
      </c>
    </row>
    <row r="1433">
      <c r="A1433" t="inlineStr">
        <is>
          <t>U1432</t>
        </is>
      </c>
      <c r="B1433" t="inlineStr">
        <is>
          <t>Ton Duc Thang University</t>
        </is>
      </c>
      <c r="C1433" t="inlineStr">
        <is>
          <t>VI</t>
        </is>
      </c>
      <c r="D1433" t="inlineStr">
        <is>
          <t>Vietnam</t>
        </is>
      </c>
    </row>
    <row r="1434">
      <c r="A1434" t="inlineStr">
        <is>
          <t>U1433</t>
        </is>
      </c>
      <c r="B1434" t="inlineStr">
        <is>
          <t>Tongji University</t>
        </is>
      </c>
      <c r="C1434" t="inlineStr">
        <is>
          <t>CH</t>
        </is>
      </c>
      <c r="D1434" t="inlineStr">
        <is>
          <t>China</t>
        </is>
      </c>
    </row>
    <row r="1435">
      <c r="A1435" t="inlineStr">
        <is>
          <t>U1434</t>
        </is>
      </c>
      <c r="B1435" t="inlineStr">
        <is>
          <t>Toraighyrov University</t>
        </is>
      </c>
      <c r="C1435" t="inlineStr">
        <is>
          <t>KA</t>
        </is>
      </c>
      <c r="D1435" t="inlineStr">
        <is>
          <t>Kazakhstan</t>
        </is>
      </c>
    </row>
    <row r="1436">
      <c r="A1436" t="inlineStr">
        <is>
          <t>U1435</t>
        </is>
      </c>
      <c r="B1436" t="inlineStr">
        <is>
          <t>Toronto Metropolitan University</t>
        </is>
      </c>
      <c r="C1436" t="inlineStr">
        <is>
          <t>CA</t>
        </is>
      </c>
      <c r="D1436" t="inlineStr">
        <is>
          <t>Canada</t>
        </is>
      </c>
    </row>
    <row r="1437">
      <c r="A1437" t="inlineStr">
        <is>
          <t>U1436</t>
        </is>
      </c>
      <c r="B1437" t="inlineStr">
        <is>
          <t>Tottori University</t>
        </is>
      </c>
      <c r="C1437" t="inlineStr">
        <is>
          <t>JA</t>
        </is>
      </c>
      <c r="D1437" t="inlineStr">
        <is>
          <t>Japan</t>
        </is>
      </c>
    </row>
    <row r="1438">
      <c r="A1438" t="inlineStr">
        <is>
          <t>U1437</t>
        </is>
      </c>
      <c r="B1438" t="inlineStr">
        <is>
          <t>Toyama Prefectural University</t>
        </is>
      </c>
      <c r="C1438" t="inlineStr">
        <is>
          <t>JA</t>
        </is>
      </c>
      <c r="D1438" t="inlineStr">
        <is>
          <t>Japan</t>
        </is>
      </c>
    </row>
    <row r="1439">
      <c r="A1439" t="inlineStr">
        <is>
          <t>U1438</t>
        </is>
      </c>
      <c r="B1439" t="inlineStr">
        <is>
          <t>Toyo University</t>
        </is>
      </c>
      <c r="C1439" t="inlineStr">
        <is>
          <t>JA</t>
        </is>
      </c>
      <c r="D1439" t="inlineStr">
        <is>
          <t>Japan</t>
        </is>
      </c>
    </row>
    <row r="1440">
      <c r="A1440" t="inlineStr">
        <is>
          <t>U1439</t>
        </is>
      </c>
      <c r="B1440" t="inlineStr">
        <is>
          <t>Toyohashi University of Technology (TUT)</t>
        </is>
      </c>
      <c r="C1440" t="inlineStr">
        <is>
          <t>JA</t>
        </is>
      </c>
      <c r="D1440" t="inlineStr">
        <is>
          <t>Japan</t>
        </is>
      </c>
    </row>
    <row r="1441">
      <c r="A1441" t="inlineStr">
        <is>
          <t>U1440</t>
        </is>
      </c>
      <c r="B1441" t="inlineStr">
        <is>
          <t>Toyota Technological Institute</t>
        </is>
      </c>
      <c r="C1441" t="inlineStr">
        <is>
          <t>JA</t>
        </is>
      </c>
      <c r="D1441" t="inlineStr">
        <is>
          <t>Japan</t>
        </is>
      </c>
    </row>
    <row r="1442">
      <c r="A1442" t="inlineStr">
        <is>
          <t>U1441</t>
        </is>
      </c>
      <c r="B1442" t="inlineStr">
        <is>
          <t>Transilvania University of Brașov</t>
        </is>
      </c>
      <c r="C1442" t="inlineStr">
        <is>
          <t>RO</t>
        </is>
      </c>
      <c r="D1442" t="inlineStr">
        <is>
          <t>Romania</t>
        </is>
      </c>
    </row>
    <row r="1443">
      <c r="A1443" t="inlineStr">
        <is>
          <t>U1442</t>
        </is>
      </c>
      <c r="B1443" t="inlineStr">
        <is>
          <t>Transilvania University of Brasov</t>
        </is>
      </c>
      <c r="C1443" t="inlineStr">
        <is>
          <t>RO</t>
        </is>
      </c>
      <c r="D1443" t="inlineStr">
        <is>
          <t>Romania</t>
        </is>
      </c>
    </row>
    <row r="1444">
      <c r="A1444" t="inlineStr">
        <is>
          <t>U1443</t>
        </is>
      </c>
      <c r="B1444" t="inlineStr">
        <is>
          <t>Tribhuvan University</t>
        </is>
      </c>
      <c r="C1444" t="inlineStr">
        <is>
          <t>NE</t>
        </is>
      </c>
      <c r="D1444" t="inlineStr">
        <is>
          <t>Nepal</t>
        </is>
      </c>
    </row>
    <row r="1445">
      <c r="A1445" t="inlineStr">
        <is>
          <t>U1444</t>
        </is>
      </c>
      <c r="B1445" t="inlineStr">
        <is>
          <t>Trinity College Dublin</t>
        </is>
      </c>
      <c r="C1445" t="inlineStr">
        <is>
          <t>IR</t>
        </is>
      </c>
      <c r="D1445" t="inlineStr">
        <is>
          <t>Ireland</t>
        </is>
      </c>
    </row>
    <row r="1446">
      <c r="A1446" t="inlineStr">
        <is>
          <t>U1445</t>
        </is>
      </c>
      <c r="B1446" t="inlineStr">
        <is>
          <t>Trinity College Dublin, The University of Dublin</t>
        </is>
      </c>
      <c r="C1446" t="inlineStr">
        <is>
          <t>IR</t>
        </is>
      </c>
      <c r="D1446" t="inlineStr">
        <is>
          <t>Ireland</t>
        </is>
      </c>
    </row>
    <row r="1447">
      <c r="A1447" t="inlineStr">
        <is>
          <t>U1446</t>
        </is>
      </c>
      <c r="B1447" t="inlineStr">
        <is>
          <t>Tsinghua University</t>
        </is>
      </c>
      <c r="C1447" t="inlineStr">
        <is>
          <t>CH</t>
        </is>
      </c>
      <c r="D1447" t="inlineStr">
        <is>
          <t>China</t>
        </is>
      </c>
    </row>
    <row r="1448">
      <c r="A1448" t="inlineStr">
        <is>
          <t>U1447</t>
        </is>
      </c>
      <c r="B1448" t="inlineStr">
        <is>
          <t>TU Braunschweig</t>
        </is>
      </c>
      <c r="C1448" t="inlineStr">
        <is>
          <t>GE</t>
        </is>
      </c>
      <c r="D1448" t="inlineStr">
        <is>
          <t>Germany</t>
        </is>
      </c>
    </row>
    <row r="1449">
      <c r="A1449" t="inlineStr">
        <is>
          <t>U1448</t>
        </is>
      </c>
      <c r="B1449" t="inlineStr">
        <is>
          <t>TU Dortmund University</t>
        </is>
      </c>
      <c r="C1449" t="inlineStr">
        <is>
          <t>GE</t>
        </is>
      </c>
      <c r="D1449" t="inlineStr">
        <is>
          <t>Germany</t>
        </is>
      </c>
    </row>
    <row r="1450">
      <c r="A1450" t="inlineStr">
        <is>
          <t>U1449</t>
        </is>
      </c>
      <c r="B1450" t="inlineStr">
        <is>
          <t>TU Dresden</t>
        </is>
      </c>
      <c r="C1450" t="inlineStr">
        <is>
          <t>GE</t>
        </is>
      </c>
      <c r="D1450" t="inlineStr">
        <is>
          <t>Germany</t>
        </is>
      </c>
    </row>
    <row r="1451">
      <c r="A1451" t="inlineStr">
        <is>
          <t>U1450</t>
        </is>
      </c>
      <c r="B1451" t="inlineStr">
        <is>
          <t>TU Wien</t>
        </is>
      </c>
      <c r="C1451" t="inlineStr">
        <is>
          <t>AU</t>
        </is>
      </c>
      <c r="D1451" t="inlineStr">
        <is>
          <t>Austria</t>
        </is>
      </c>
    </row>
    <row r="1452">
      <c r="A1452" t="inlineStr">
        <is>
          <t>U1451</t>
        </is>
      </c>
      <c r="B1452" t="inlineStr">
        <is>
          <t>Tufts University</t>
        </is>
      </c>
      <c r="C1452" t="inlineStr">
        <is>
          <t>UN</t>
        </is>
      </c>
      <c r="D1452" t="inlineStr">
        <is>
          <t>United States</t>
        </is>
      </c>
    </row>
    <row r="1453">
      <c r="A1453" t="inlineStr">
        <is>
          <t>U1452</t>
        </is>
      </c>
      <c r="B1453" t="inlineStr">
        <is>
          <t>Tula State University</t>
        </is>
      </c>
      <c r="C1453" t="inlineStr">
        <is>
          <t>RU</t>
        </is>
      </c>
      <c r="D1453" t="inlineStr">
        <is>
          <t>Russian Federation</t>
        </is>
      </c>
    </row>
    <row r="1454">
      <c r="A1454" t="inlineStr">
        <is>
          <t>U1453</t>
        </is>
      </c>
      <c r="B1454" t="inlineStr">
        <is>
          <t>Tulane University</t>
        </is>
      </c>
      <c r="C1454" t="inlineStr">
        <is>
          <t>UN</t>
        </is>
      </c>
      <c r="D1454" t="inlineStr">
        <is>
          <t>United States</t>
        </is>
      </c>
    </row>
    <row r="1455">
      <c r="A1455" t="inlineStr">
        <is>
          <t>U1454</t>
        </is>
      </c>
      <c r="B1455" t="inlineStr">
        <is>
          <t>Tunghai University</t>
        </is>
      </c>
      <c r="C1455" t="inlineStr">
        <is>
          <t>TA</t>
        </is>
      </c>
      <c r="D1455" t="inlineStr">
        <is>
          <t>Taiwan</t>
        </is>
      </c>
    </row>
    <row r="1456">
      <c r="A1456" t="inlineStr">
        <is>
          <t>U1455</t>
        </is>
      </c>
      <c r="B1456" t="inlineStr">
        <is>
          <t>Tzu Chi University</t>
        </is>
      </c>
      <c r="C1456" t="inlineStr">
        <is>
          <t>TA</t>
        </is>
      </c>
      <c r="D1456" t="inlineStr">
        <is>
          <t>Taiwan</t>
        </is>
      </c>
    </row>
    <row r="1457">
      <c r="A1457" t="inlineStr">
        <is>
          <t>U1456</t>
        </is>
      </c>
      <c r="B1457" t="inlineStr">
        <is>
          <t>Uşak University</t>
        </is>
      </c>
      <c r="C1457" t="inlineStr">
        <is>
          <t>TU</t>
        </is>
      </c>
      <c r="D1457" t="inlineStr">
        <is>
          <t>Turkey</t>
        </is>
      </c>
    </row>
    <row r="1458">
      <c r="A1458" t="inlineStr">
        <is>
          <t>U1457</t>
        </is>
      </c>
      <c r="B1458" t="inlineStr">
        <is>
          <t>UCL</t>
        </is>
      </c>
      <c r="C1458" t="inlineStr">
        <is>
          <t>UN</t>
        </is>
      </c>
      <c r="D1458" t="inlineStr">
        <is>
          <t>United Kingdom</t>
        </is>
      </c>
    </row>
    <row r="1459">
      <c r="A1459" t="inlineStr">
        <is>
          <t>U1458</t>
        </is>
      </c>
      <c r="B1459" t="inlineStr">
        <is>
          <t>UCSI University</t>
        </is>
      </c>
      <c r="C1459" t="inlineStr">
        <is>
          <t>MA</t>
        </is>
      </c>
      <c r="D1459" t="inlineStr">
        <is>
          <t>Malaysia</t>
        </is>
      </c>
    </row>
    <row r="1460">
      <c r="A1460" t="inlineStr">
        <is>
          <t>U1459</t>
        </is>
      </c>
      <c r="B1460" t="inlineStr">
        <is>
          <t>Udayana University</t>
        </is>
      </c>
      <c r="C1460" t="inlineStr">
        <is>
          <t>IN</t>
        </is>
      </c>
      <c r="D1460" t="inlineStr">
        <is>
          <t>Indonesia</t>
        </is>
      </c>
    </row>
    <row r="1461">
      <c r="A1461" t="inlineStr">
        <is>
          <t>U1460</t>
        </is>
      </c>
      <c r="B1461" t="inlineStr">
        <is>
          <t>Ufa State Petroleum Technological University</t>
        </is>
      </c>
      <c r="C1461" t="inlineStr">
        <is>
          <t>RU</t>
        </is>
      </c>
      <c r="D1461" t="inlineStr">
        <is>
          <t>Russian Federation</t>
        </is>
      </c>
    </row>
    <row r="1462">
      <c r="A1462" t="inlineStr">
        <is>
          <t>U1461</t>
        </is>
      </c>
      <c r="B1462" t="inlineStr">
        <is>
          <t>Ufa University of Science and Technology</t>
        </is>
      </c>
      <c r="C1462" t="inlineStr">
        <is>
          <t>RU</t>
        </is>
      </c>
      <c r="D1462" t="inlineStr">
        <is>
          <t>Russian Federation</t>
        </is>
      </c>
    </row>
    <row r="1463">
      <c r="A1463" t="inlineStr">
        <is>
          <t>U1462</t>
        </is>
      </c>
      <c r="B1463" t="inlineStr">
        <is>
          <t>UiT The Arctic University of Norway</t>
        </is>
      </c>
      <c r="C1463" t="inlineStr">
        <is>
          <t>NO</t>
        </is>
      </c>
      <c r="D1463" t="inlineStr">
        <is>
          <t>Norway</t>
        </is>
      </c>
    </row>
    <row r="1464">
      <c r="A1464" t="inlineStr">
        <is>
          <t>U1463</t>
        </is>
      </c>
      <c r="B1464" t="inlineStr">
        <is>
          <t>Ulm University</t>
        </is>
      </c>
      <c r="C1464" t="inlineStr">
        <is>
          <t>GE</t>
        </is>
      </c>
      <c r="D1464" t="inlineStr">
        <is>
          <t>Germany</t>
        </is>
      </c>
    </row>
    <row r="1465">
      <c r="A1465" t="inlineStr">
        <is>
          <t>U1464</t>
        </is>
      </c>
      <c r="B1465" t="inlineStr">
        <is>
          <t>Ulsan National Institute of Science and Technology (UNIST)</t>
        </is>
      </c>
      <c r="C1465" t="inlineStr">
        <is>
          <t>SO</t>
        </is>
      </c>
      <c r="D1465" t="inlineStr">
        <is>
          <t>South Korea</t>
        </is>
      </c>
    </row>
    <row r="1466">
      <c r="A1466" t="inlineStr">
        <is>
          <t>U1465</t>
        </is>
      </c>
      <c r="B1466" t="inlineStr">
        <is>
          <t>Ulster University</t>
        </is>
      </c>
      <c r="C1466" t="inlineStr">
        <is>
          <t>UN</t>
        </is>
      </c>
      <c r="D1466" t="inlineStr">
        <is>
          <t>United Kingdom</t>
        </is>
      </c>
    </row>
    <row r="1467">
      <c r="A1467" t="inlineStr">
        <is>
          <t>U1466</t>
        </is>
      </c>
      <c r="B1467" t="inlineStr">
        <is>
          <t>Umeå University</t>
        </is>
      </c>
      <c r="C1467" t="inlineStr">
        <is>
          <t>SW</t>
        </is>
      </c>
      <c r="D1467" t="inlineStr">
        <is>
          <t>Sweden</t>
        </is>
      </c>
    </row>
    <row r="1468">
      <c r="A1468" t="inlineStr">
        <is>
          <t>U1467</t>
        </is>
      </c>
      <c r="B1468" t="inlineStr">
        <is>
          <t>Umea University</t>
        </is>
      </c>
      <c r="C1468" t="inlineStr">
        <is>
          <t>SW</t>
        </is>
      </c>
      <c r="D1468" t="inlineStr">
        <is>
          <t>Sweden</t>
        </is>
      </c>
    </row>
    <row r="1469">
      <c r="A1469" t="inlineStr">
        <is>
          <t>U1468</t>
        </is>
      </c>
      <c r="B1469" t="inlineStr">
        <is>
          <t xml:space="preserve">Umm Al-Qura University </t>
        </is>
      </c>
      <c r="C1469" t="inlineStr">
        <is>
          <t>SA</t>
        </is>
      </c>
      <c r="D1469" t="inlineStr">
        <is>
          <t>Saudi Arabia</t>
        </is>
      </c>
    </row>
    <row r="1470">
      <c r="A1470" t="inlineStr">
        <is>
          <t>U1469</t>
        </is>
      </c>
      <c r="B1470" t="inlineStr">
        <is>
          <t>UNESP</t>
        </is>
      </c>
      <c r="C1470" t="inlineStr">
        <is>
          <t>BR</t>
        </is>
      </c>
      <c r="D1470" t="inlineStr">
        <is>
          <t>Brazil</t>
        </is>
      </c>
    </row>
    <row r="1471">
      <c r="A1471" t="inlineStr">
        <is>
          <t>U1470</t>
        </is>
      </c>
      <c r="B1471" t="inlineStr">
        <is>
          <t>UNIR – International University of La Rioja</t>
        </is>
      </c>
      <c r="C1471" t="inlineStr">
        <is>
          <t>SP</t>
        </is>
      </c>
      <c r="D1471" t="inlineStr">
        <is>
          <t>Spain</t>
        </is>
      </c>
    </row>
    <row r="1472">
      <c r="A1472" t="inlineStr">
        <is>
          <t>U1471</t>
        </is>
      </c>
      <c r="B1472" t="inlineStr">
        <is>
          <t>Unisinos University</t>
        </is>
      </c>
      <c r="C1472" t="inlineStr">
        <is>
          <t>BR</t>
        </is>
      </c>
      <c r="D1472" t="inlineStr">
        <is>
          <t>Brazil</t>
        </is>
      </c>
    </row>
    <row r="1473">
      <c r="A1473" t="inlineStr">
        <is>
          <t>U1472</t>
        </is>
      </c>
      <c r="B1473" t="inlineStr">
        <is>
          <t>United Arab Emirates University</t>
        </is>
      </c>
      <c r="C1473" t="inlineStr">
        <is>
          <t>UN</t>
        </is>
      </c>
      <c r="D1473" t="inlineStr">
        <is>
          <t>United Arab Emirates</t>
        </is>
      </c>
    </row>
    <row r="1474">
      <c r="A1474" t="inlineStr">
        <is>
          <t>U1473</t>
        </is>
      </c>
      <c r="B1474" t="inlineStr">
        <is>
          <t>United International University</t>
        </is>
      </c>
      <c r="C1474" t="inlineStr">
        <is>
          <t>BA</t>
        </is>
      </c>
      <c r="D1474" t="inlineStr">
        <is>
          <t>Bangladesh</t>
        </is>
      </c>
    </row>
    <row r="1475">
      <c r="A1475" t="inlineStr">
        <is>
          <t>U1474</t>
        </is>
      </c>
      <c r="B1475" t="inlineStr">
        <is>
          <t>Universidad Adolfo Ibáñez</t>
        </is>
      </c>
      <c r="C1475" t="inlineStr">
        <is>
          <t>CH</t>
        </is>
      </c>
      <c r="D1475" t="inlineStr">
        <is>
          <t>Chile</t>
        </is>
      </c>
    </row>
    <row r="1476">
      <c r="A1476" t="inlineStr">
        <is>
          <t>U1475</t>
        </is>
      </c>
      <c r="B1476" t="inlineStr">
        <is>
          <t>Universidad Alberto Hurtado</t>
        </is>
      </c>
      <c r="C1476" t="inlineStr">
        <is>
          <t>CH</t>
        </is>
      </c>
      <c r="D1476" t="inlineStr">
        <is>
          <t>Chile</t>
        </is>
      </c>
    </row>
    <row r="1477">
      <c r="A1477" t="inlineStr">
        <is>
          <t>U1476</t>
        </is>
      </c>
      <c r="B1477" t="inlineStr">
        <is>
          <t>Universidad Anáhuac México</t>
        </is>
      </c>
      <c r="C1477" t="inlineStr">
        <is>
          <t>ME</t>
        </is>
      </c>
      <c r="D1477" t="inlineStr">
        <is>
          <t>Mexico</t>
        </is>
      </c>
    </row>
    <row r="1478">
      <c r="A1478" t="inlineStr">
        <is>
          <t>U1477</t>
        </is>
      </c>
      <c r="B1478" t="inlineStr">
        <is>
          <t>Universidad Andrés Bello</t>
        </is>
      </c>
      <c r="C1478" t="inlineStr">
        <is>
          <t>CH</t>
        </is>
      </c>
      <c r="D1478" t="inlineStr">
        <is>
          <t>Chile</t>
        </is>
      </c>
    </row>
    <row r="1479">
      <c r="A1479" t="inlineStr">
        <is>
          <t>U1478</t>
        </is>
      </c>
      <c r="B1479" t="inlineStr">
        <is>
          <t>Universidad Austral</t>
        </is>
      </c>
      <c r="C1479" t="inlineStr">
        <is>
          <t>AR</t>
        </is>
      </c>
      <c r="D1479" t="inlineStr">
        <is>
          <t>Argentina</t>
        </is>
      </c>
    </row>
    <row r="1480">
      <c r="A1480" t="inlineStr">
        <is>
          <t>U1479</t>
        </is>
      </c>
      <c r="B1480" t="inlineStr">
        <is>
          <t>Universidad Austral de Chile</t>
        </is>
      </c>
      <c r="C1480" t="inlineStr">
        <is>
          <t>CH</t>
        </is>
      </c>
      <c r="D1480" t="inlineStr">
        <is>
          <t>Chile</t>
        </is>
      </c>
    </row>
    <row r="1481">
      <c r="A1481" t="inlineStr">
        <is>
          <t>U1480</t>
        </is>
      </c>
      <c r="B1481" t="inlineStr">
        <is>
          <t>Universidad Autónoma Chapingo</t>
        </is>
      </c>
      <c r="C1481" t="inlineStr">
        <is>
          <t>ME</t>
        </is>
      </c>
      <c r="D1481" t="inlineStr">
        <is>
          <t>Mexico</t>
        </is>
      </c>
    </row>
    <row r="1482">
      <c r="A1482" t="inlineStr">
        <is>
          <t>U1481</t>
        </is>
      </c>
      <c r="B1482" t="inlineStr">
        <is>
          <t>Universidad Autónoma de Aguascalientes</t>
        </is>
      </c>
      <c r="C1482" t="inlineStr">
        <is>
          <t>ME</t>
        </is>
      </c>
      <c r="D1482" t="inlineStr">
        <is>
          <t>Mexico</t>
        </is>
      </c>
    </row>
    <row r="1483">
      <c r="A1483" t="inlineStr">
        <is>
          <t>U1482</t>
        </is>
      </c>
      <c r="B1483" t="inlineStr">
        <is>
          <t>Universidad Autónoma de Baja California</t>
        </is>
      </c>
      <c r="C1483" t="inlineStr">
        <is>
          <t>ME</t>
        </is>
      </c>
      <c r="D1483" t="inlineStr">
        <is>
          <t>Mexico</t>
        </is>
      </c>
    </row>
    <row r="1484">
      <c r="A1484" t="inlineStr">
        <is>
          <t>U1483</t>
        </is>
      </c>
      <c r="B1484" t="inlineStr">
        <is>
          <t>Universidad Autónoma de Chile</t>
        </is>
      </c>
      <c r="C1484" t="inlineStr">
        <is>
          <t>CH</t>
        </is>
      </c>
      <c r="D1484" t="inlineStr">
        <is>
          <t>Chile</t>
        </is>
      </c>
    </row>
    <row r="1485">
      <c r="A1485" t="inlineStr">
        <is>
          <t>U1484</t>
        </is>
      </c>
      <c r="B1485" t="inlineStr">
        <is>
          <t>Universidad Autónoma de Ciudad Juárez</t>
        </is>
      </c>
      <c r="C1485" t="inlineStr">
        <is>
          <t>ME</t>
        </is>
      </c>
      <c r="D1485" t="inlineStr">
        <is>
          <t>Mexico</t>
        </is>
      </c>
    </row>
    <row r="1486">
      <c r="A1486" t="inlineStr">
        <is>
          <t>U1485</t>
        </is>
      </c>
      <c r="B1486" t="inlineStr">
        <is>
          <t>Universidad Autónoma de Coahuila</t>
        </is>
      </c>
      <c r="C1486" t="inlineStr">
        <is>
          <t>ME</t>
        </is>
      </c>
      <c r="D1486" t="inlineStr">
        <is>
          <t>Mexico</t>
        </is>
      </c>
    </row>
    <row r="1487">
      <c r="A1487" t="inlineStr">
        <is>
          <t>U1486</t>
        </is>
      </c>
      <c r="B1487" t="inlineStr">
        <is>
          <t>Universidad Autónoma de Guadalajara (UAG)</t>
        </is>
      </c>
      <c r="C1487" t="inlineStr">
        <is>
          <t>ME</t>
        </is>
      </c>
      <c r="D1487" t="inlineStr">
        <is>
          <t>Mexico</t>
        </is>
      </c>
    </row>
    <row r="1488">
      <c r="A1488" t="inlineStr">
        <is>
          <t>U1487</t>
        </is>
      </c>
      <c r="B1488" t="inlineStr">
        <is>
          <t>Universidad Autónoma de Madrid</t>
        </is>
      </c>
      <c r="C1488" t="inlineStr">
        <is>
          <t>SP</t>
        </is>
      </c>
      <c r="D1488" t="inlineStr">
        <is>
          <t>Spain</t>
        </is>
      </c>
    </row>
    <row r="1489">
      <c r="A1489" t="inlineStr">
        <is>
          <t>U1488</t>
        </is>
      </c>
      <c r="B1489" t="inlineStr">
        <is>
          <t>Universidad Autónoma de Nuevo León</t>
        </is>
      </c>
      <c r="C1489" t="inlineStr">
        <is>
          <t>ME</t>
        </is>
      </c>
      <c r="D1489" t="inlineStr">
        <is>
          <t>Mexico</t>
        </is>
      </c>
    </row>
    <row r="1490">
      <c r="A1490" t="inlineStr">
        <is>
          <t>U1489</t>
        </is>
      </c>
      <c r="B1490" t="inlineStr">
        <is>
          <t>Universidad Autónoma de Querétaro (UAQ)</t>
        </is>
      </c>
      <c r="C1490" t="inlineStr">
        <is>
          <t>ME</t>
        </is>
      </c>
      <c r="D1490" t="inlineStr">
        <is>
          <t>Mexico</t>
        </is>
      </c>
    </row>
    <row r="1491">
      <c r="A1491" t="inlineStr">
        <is>
          <t>U1490</t>
        </is>
      </c>
      <c r="B1491" t="inlineStr">
        <is>
          <t>Universidad Autónoma de San Luis de Potosí</t>
        </is>
      </c>
      <c r="C1491" t="inlineStr">
        <is>
          <t>ME</t>
        </is>
      </c>
      <c r="D1491" t="inlineStr">
        <is>
          <t>Mexico</t>
        </is>
      </c>
    </row>
    <row r="1492">
      <c r="A1492" t="inlineStr">
        <is>
          <t>U1491</t>
        </is>
      </c>
      <c r="B1492" t="inlineStr">
        <is>
          <t>Universidad Autónoma de Yucatán</t>
        </is>
      </c>
      <c r="C1492" t="inlineStr">
        <is>
          <t>ME</t>
        </is>
      </c>
      <c r="D1492" t="inlineStr">
        <is>
          <t>Mexico</t>
        </is>
      </c>
    </row>
    <row r="1493">
      <c r="A1493" t="inlineStr">
        <is>
          <t>U1492</t>
        </is>
      </c>
      <c r="B1493" t="inlineStr">
        <is>
          <t>Universidad Autónoma del Estado de Hidalgo (UAEH)</t>
        </is>
      </c>
      <c r="C1493" t="inlineStr">
        <is>
          <t>ME</t>
        </is>
      </c>
      <c r="D1493" t="inlineStr">
        <is>
          <t>Mexico</t>
        </is>
      </c>
    </row>
    <row r="1494">
      <c r="A1494" t="inlineStr">
        <is>
          <t>U1493</t>
        </is>
      </c>
      <c r="B1494" t="inlineStr">
        <is>
          <t>Universidad Autónoma del Estado de México (UAEMex)</t>
        </is>
      </c>
      <c r="C1494" t="inlineStr">
        <is>
          <t>ME</t>
        </is>
      </c>
      <c r="D1494" t="inlineStr">
        <is>
          <t>Mexico</t>
        </is>
      </c>
    </row>
    <row r="1495">
      <c r="A1495" t="inlineStr">
        <is>
          <t>U1494</t>
        </is>
      </c>
      <c r="B1495" t="inlineStr">
        <is>
          <t>Universidad Autónoma del Estado de Mexico (UAEMex)</t>
        </is>
      </c>
      <c r="C1495" t="inlineStr">
        <is>
          <t>ME</t>
        </is>
      </c>
      <c r="D1495" t="inlineStr">
        <is>
          <t>Mexico</t>
        </is>
      </c>
    </row>
    <row r="1496">
      <c r="A1496" t="inlineStr">
        <is>
          <t>U1495</t>
        </is>
      </c>
      <c r="B1496" t="inlineStr">
        <is>
          <t>Universidad Autónoma del Estado de Morelos (UAEM)</t>
        </is>
      </c>
      <c r="C1496" t="inlineStr">
        <is>
          <t>ME</t>
        </is>
      </c>
      <c r="D1496" t="inlineStr">
        <is>
          <t>Mexico</t>
        </is>
      </c>
    </row>
    <row r="1497">
      <c r="A1497" t="inlineStr">
        <is>
          <t>U1496</t>
        </is>
      </c>
      <c r="B1497" t="inlineStr">
        <is>
          <t>Universidad Autónoma Metropolitana (UAM)</t>
        </is>
      </c>
      <c r="C1497" t="inlineStr">
        <is>
          <t>ME</t>
        </is>
      </c>
      <c r="D1497" t="inlineStr">
        <is>
          <t>Mexico</t>
        </is>
      </c>
    </row>
    <row r="1498">
      <c r="A1498" t="inlineStr">
        <is>
          <t>U1497</t>
        </is>
      </c>
      <c r="B1498" t="inlineStr">
        <is>
          <t>Universidad Autonoma de Yucatan</t>
        </is>
      </c>
      <c r="C1498" t="inlineStr">
        <is>
          <t>ME</t>
        </is>
      </c>
      <c r="D1498" t="inlineStr">
        <is>
          <t>Mexico</t>
        </is>
      </c>
    </row>
    <row r="1499">
      <c r="A1499" t="inlineStr">
        <is>
          <t>U1498</t>
        </is>
      </c>
      <c r="B1499" t="inlineStr">
        <is>
          <t>Universidad Bernardo O'Higgins</t>
        </is>
      </c>
      <c r="C1499" t="inlineStr">
        <is>
          <t>CH</t>
        </is>
      </c>
      <c r="D1499" t="inlineStr">
        <is>
          <t>Chile</t>
        </is>
      </c>
    </row>
    <row r="1500">
      <c r="A1500" t="inlineStr">
        <is>
          <t>U1499</t>
        </is>
      </c>
      <c r="B1500" t="inlineStr">
        <is>
          <t>Universidad Carlos III de Madrid (UC3M)</t>
        </is>
      </c>
      <c r="C1500" t="inlineStr">
        <is>
          <t>SP</t>
        </is>
      </c>
      <c r="D1500" t="inlineStr">
        <is>
          <t>Spain</t>
        </is>
      </c>
    </row>
    <row r="1501">
      <c r="A1501" t="inlineStr">
        <is>
          <t>U1500</t>
        </is>
      </c>
      <c r="B1501" t="inlineStr">
        <is>
          <t>Universidad Católica Andres Bello</t>
        </is>
      </c>
      <c r="C1501" t="inlineStr">
        <is>
          <t>VE</t>
        </is>
      </c>
      <c r="D1501" t="inlineStr">
        <is>
          <t>Venezuela</t>
        </is>
      </c>
    </row>
    <row r="1502">
      <c r="A1502" t="inlineStr">
        <is>
          <t>U1501</t>
        </is>
      </c>
      <c r="B1502" t="inlineStr">
        <is>
          <t>Universidad Católica Boliviana "San Pablo"</t>
        </is>
      </c>
      <c r="C1502" t="inlineStr">
        <is>
          <t>BO</t>
        </is>
      </c>
      <c r="D1502" t="inlineStr">
        <is>
          <t>Bolivia</t>
        </is>
      </c>
    </row>
    <row r="1503">
      <c r="A1503" t="inlineStr">
        <is>
          <t>U1502</t>
        </is>
      </c>
      <c r="B1503" t="inlineStr">
        <is>
          <t xml:space="preserve">Universidad Católica de Colombia </t>
        </is>
      </c>
      <c r="C1503" t="inlineStr">
        <is>
          <t>CO</t>
        </is>
      </c>
      <c r="D1503" t="inlineStr">
        <is>
          <t>Colombia</t>
        </is>
      </c>
    </row>
    <row r="1504">
      <c r="A1504" t="inlineStr">
        <is>
          <t>U1503</t>
        </is>
      </c>
      <c r="B1504" t="inlineStr">
        <is>
          <t>Universidad Católica de la Santísima Concepción</t>
        </is>
      </c>
      <c r="C1504" t="inlineStr">
        <is>
          <t>CH</t>
        </is>
      </c>
      <c r="D1504" t="inlineStr">
        <is>
          <t>Chile</t>
        </is>
      </c>
    </row>
    <row r="1505">
      <c r="A1505" t="inlineStr">
        <is>
          <t>U1504</t>
        </is>
      </c>
      <c r="B1505" t="inlineStr">
        <is>
          <t>Universidad Católica de La Santísima Concepción - UCSC</t>
        </is>
      </c>
      <c r="C1505" t="inlineStr">
        <is>
          <t>CH</t>
        </is>
      </c>
      <c r="D1505" t="inlineStr">
        <is>
          <t>Chile</t>
        </is>
      </c>
    </row>
    <row r="1506">
      <c r="A1506" t="inlineStr">
        <is>
          <t>U1505</t>
        </is>
      </c>
      <c r="B1506" t="inlineStr">
        <is>
          <t>Universidad Católica de Santiago de Guayaquil</t>
        </is>
      </c>
      <c r="C1506" t="inlineStr">
        <is>
          <t>EC</t>
        </is>
      </c>
      <c r="D1506" t="inlineStr">
        <is>
          <t>Ecuador</t>
        </is>
      </c>
    </row>
    <row r="1507">
      <c r="A1507" t="inlineStr">
        <is>
          <t>U1506</t>
        </is>
      </c>
      <c r="B1507" t="inlineStr">
        <is>
          <t>Universidad Católica de Temuco</t>
        </is>
      </c>
      <c r="C1507" t="inlineStr">
        <is>
          <t>CH</t>
        </is>
      </c>
      <c r="D1507" t="inlineStr">
        <is>
          <t>Chile</t>
        </is>
      </c>
    </row>
    <row r="1508">
      <c r="A1508" t="inlineStr">
        <is>
          <t>U1507</t>
        </is>
      </c>
      <c r="B1508" t="inlineStr">
        <is>
          <t>Universidad Católica del Maule</t>
        </is>
      </c>
      <c r="C1508" t="inlineStr">
        <is>
          <t>CH</t>
        </is>
      </c>
      <c r="D1508" t="inlineStr">
        <is>
          <t>Chile</t>
        </is>
      </c>
    </row>
    <row r="1509">
      <c r="A1509" t="inlineStr">
        <is>
          <t>U1508</t>
        </is>
      </c>
      <c r="B1509" t="inlineStr">
        <is>
          <t>Universidad Católica del Norte</t>
        </is>
      </c>
      <c r="C1509" t="inlineStr">
        <is>
          <t>CH</t>
        </is>
      </c>
      <c r="D1509" t="inlineStr">
        <is>
          <t>Chile</t>
        </is>
      </c>
    </row>
    <row r="1510">
      <c r="A1510" t="inlineStr">
        <is>
          <t>U1509</t>
        </is>
      </c>
      <c r="B1510" t="inlineStr">
        <is>
          <t>Universidad Católica del Uruguay (UCU)</t>
        </is>
      </c>
      <c r="C1510" t="inlineStr">
        <is>
          <t>UR</t>
        </is>
      </c>
      <c r="D1510" t="inlineStr">
        <is>
          <t>Uruguay</t>
        </is>
      </c>
    </row>
    <row r="1511">
      <c r="A1511" t="inlineStr">
        <is>
          <t>U1510</t>
        </is>
      </c>
      <c r="B1511" t="inlineStr">
        <is>
          <t>Universidad Católica San Antonio de Murcia (UCAM)</t>
        </is>
      </c>
      <c r="C1511" t="inlineStr">
        <is>
          <t>SP</t>
        </is>
      </c>
      <c r="D1511" t="inlineStr">
        <is>
          <t>Spain</t>
        </is>
      </c>
    </row>
    <row r="1512">
      <c r="A1512" t="inlineStr">
        <is>
          <t>U1511</t>
        </is>
      </c>
      <c r="B1512" t="inlineStr">
        <is>
          <t>Universidad Central de Chile</t>
        </is>
      </c>
      <c r="C1512" t="inlineStr">
        <is>
          <t>CH</t>
        </is>
      </c>
      <c r="D1512" t="inlineStr">
        <is>
          <t>Chile</t>
        </is>
      </c>
    </row>
    <row r="1513">
      <c r="A1513" t="inlineStr">
        <is>
          <t>U1512</t>
        </is>
      </c>
      <c r="B1513" t="inlineStr">
        <is>
          <t>Universidad Central de Venezuela</t>
        </is>
      </c>
      <c r="C1513" t="inlineStr">
        <is>
          <t>VE</t>
        </is>
      </c>
      <c r="D1513" t="inlineStr">
        <is>
          <t>Venezuela</t>
        </is>
      </c>
    </row>
    <row r="1514">
      <c r="A1514" t="inlineStr">
        <is>
          <t>U1513</t>
        </is>
      </c>
      <c r="B1514" t="inlineStr">
        <is>
          <t>Universidad Central del Ecuador</t>
        </is>
      </c>
      <c r="C1514" t="inlineStr">
        <is>
          <t>EC</t>
        </is>
      </c>
      <c r="D1514" t="inlineStr">
        <is>
          <t>Ecuador</t>
        </is>
      </c>
    </row>
    <row r="1515">
      <c r="A1515" t="inlineStr">
        <is>
          <t>U1514</t>
        </is>
      </c>
      <c r="B1515" t="inlineStr">
        <is>
          <t>Universidad Central "Marta Abreu" de Las Villas</t>
        </is>
      </c>
      <c r="C1515" t="inlineStr">
        <is>
          <t>CU</t>
        </is>
      </c>
      <c r="D1515" t="inlineStr">
        <is>
          <t>Cuba</t>
        </is>
      </c>
    </row>
    <row r="1516">
      <c r="A1516" t="inlineStr">
        <is>
          <t>U1515</t>
        </is>
      </c>
      <c r="B1516" t="inlineStr">
        <is>
          <t>Universidad de Alcalá</t>
        </is>
      </c>
      <c r="C1516" t="inlineStr">
        <is>
          <t>SP</t>
        </is>
      </c>
      <c r="D1516" t="inlineStr">
        <is>
          <t>Spain</t>
        </is>
      </c>
    </row>
    <row r="1517">
      <c r="A1517" t="inlineStr">
        <is>
          <t>U1516</t>
        </is>
      </c>
      <c r="B1517" t="inlineStr">
        <is>
          <t>Universidad de Antioquia</t>
        </is>
      </c>
      <c r="C1517" t="inlineStr">
        <is>
          <t>CO</t>
        </is>
      </c>
      <c r="D1517" t="inlineStr">
        <is>
          <t>Colombia</t>
        </is>
      </c>
    </row>
    <row r="1518">
      <c r="A1518" t="inlineStr">
        <is>
          <t>U1517</t>
        </is>
      </c>
      <c r="B1518" t="inlineStr">
        <is>
          <t>Universidad de Belgrano</t>
        </is>
      </c>
      <c r="C1518" t="inlineStr">
        <is>
          <t>AR</t>
        </is>
      </c>
      <c r="D1518" t="inlineStr">
        <is>
          <t>Argentina</t>
        </is>
      </c>
    </row>
    <row r="1519">
      <c r="A1519" t="inlineStr">
        <is>
          <t>U1518</t>
        </is>
      </c>
      <c r="B1519" t="inlineStr">
        <is>
          <t>Universidad de Buenos Aires (UBA)</t>
        </is>
      </c>
      <c r="C1519" t="inlineStr">
        <is>
          <t>AR</t>
        </is>
      </c>
      <c r="D1519" t="inlineStr">
        <is>
          <t>Argentina</t>
        </is>
      </c>
    </row>
    <row r="1520">
      <c r="A1520" t="inlineStr">
        <is>
          <t>U1519</t>
        </is>
      </c>
      <c r="B1520" t="inlineStr">
        <is>
          <t>Universidad de Córdoba - Colombia</t>
        </is>
      </c>
      <c r="C1520" t="inlineStr">
        <is>
          <t>CO</t>
        </is>
      </c>
      <c r="D1520" t="inlineStr">
        <is>
          <t>Colombia</t>
        </is>
      </c>
    </row>
    <row r="1521">
      <c r="A1521" t="inlineStr">
        <is>
          <t>U1520</t>
        </is>
      </c>
      <c r="B1521" t="inlineStr">
        <is>
          <t>Universidad de Córdoba - España</t>
        </is>
      </c>
      <c r="C1521" t="inlineStr">
        <is>
          <t>SP</t>
        </is>
      </c>
      <c r="D1521" t="inlineStr">
        <is>
          <t>Spain</t>
        </is>
      </c>
    </row>
    <row r="1522">
      <c r="A1522" t="inlineStr">
        <is>
          <t>U1521</t>
        </is>
      </c>
      <c r="B1522" t="inlineStr">
        <is>
          <t>Universidad de Caldas</t>
        </is>
      </c>
      <c r="C1522" t="inlineStr">
        <is>
          <t>CO</t>
        </is>
      </c>
      <c r="D1522" t="inlineStr">
        <is>
          <t>Colombia</t>
        </is>
      </c>
    </row>
    <row r="1523">
      <c r="A1523" t="inlineStr">
        <is>
          <t>U1522</t>
        </is>
      </c>
      <c r="B1523" t="inlineStr">
        <is>
          <t>Universidad de Carabobo</t>
        </is>
      </c>
      <c r="C1523" t="inlineStr">
        <is>
          <t>VE</t>
        </is>
      </c>
      <c r="D1523" t="inlineStr">
        <is>
          <t>Venezuela</t>
        </is>
      </c>
    </row>
    <row r="1524">
      <c r="A1524" t="inlineStr">
        <is>
          <t>U1523</t>
        </is>
      </c>
      <c r="B1524" t="inlineStr">
        <is>
          <t>Universidad de Cartagena</t>
        </is>
      </c>
      <c r="C1524" t="inlineStr">
        <is>
          <t>CO</t>
        </is>
      </c>
      <c r="D1524" t="inlineStr">
        <is>
          <t>Colombia</t>
        </is>
      </c>
    </row>
    <row r="1525">
      <c r="A1525" t="inlineStr">
        <is>
          <t>U1524</t>
        </is>
      </c>
      <c r="B1525" t="inlineStr">
        <is>
          <t>Universidad de Castilla-La Mancha</t>
        </is>
      </c>
      <c r="C1525" t="inlineStr">
        <is>
          <t>SP</t>
        </is>
      </c>
      <c r="D1525" t="inlineStr">
        <is>
          <t>Spain</t>
        </is>
      </c>
    </row>
    <row r="1526">
      <c r="A1526" t="inlineStr">
        <is>
          <t>U1525</t>
        </is>
      </c>
      <c r="B1526" t="inlineStr">
        <is>
          <t>Universidad de Chile</t>
        </is>
      </c>
      <c r="C1526" t="inlineStr">
        <is>
          <t>CH</t>
        </is>
      </c>
      <c r="D1526" t="inlineStr">
        <is>
          <t>Chile</t>
        </is>
      </c>
    </row>
    <row r="1527">
      <c r="A1527" t="inlineStr">
        <is>
          <t>U1526</t>
        </is>
      </c>
      <c r="B1527" t="inlineStr">
        <is>
          <t>Universidad de Concepción</t>
        </is>
      </c>
      <c r="C1527" t="inlineStr">
        <is>
          <t>CH</t>
        </is>
      </c>
      <c r="D1527" t="inlineStr">
        <is>
          <t>Chile</t>
        </is>
      </c>
    </row>
    <row r="1528">
      <c r="A1528" t="inlineStr">
        <is>
          <t>U1527</t>
        </is>
      </c>
      <c r="B1528" t="inlineStr">
        <is>
          <t>Universidad de Costa Rica</t>
        </is>
      </c>
      <c r="C1528" t="inlineStr">
        <is>
          <t>CO</t>
        </is>
      </c>
      <c r="D1528" t="inlineStr">
        <is>
          <t>Costa Rica</t>
        </is>
      </c>
    </row>
    <row r="1529">
      <c r="A1529" t="inlineStr">
        <is>
          <t>U1528</t>
        </is>
      </c>
      <c r="B1529" t="inlineStr">
        <is>
          <t>Universidad de Cuenca</t>
        </is>
      </c>
      <c r="C1529" t="inlineStr">
        <is>
          <t>EC</t>
        </is>
      </c>
      <c r="D1529" t="inlineStr">
        <is>
          <t>Ecuador</t>
        </is>
      </c>
    </row>
    <row r="1530">
      <c r="A1530" t="inlineStr">
        <is>
          <t>U1529</t>
        </is>
      </c>
      <c r="B1530" t="inlineStr">
        <is>
          <t>Universidad de Guadalajara (UDG)</t>
        </is>
      </c>
      <c r="C1530" t="inlineStr">
        <is>
          <t>ME</t>
        </is>
      </c>
      <c r="D1530" t="inlineStr">
        <is>
          <t>Mexico</t>
        </is>
      </c>
    </row>
    <row r="1531">
      <c r="A1531" t="inlineStr">
        <is>
          <t>U1530</t>
        </is>
      </c>
      <c r="B1531" t="inlineStr">
        <is>
          <t>Universidad de Guanajuato</t>
        </is>
      </c>
      <c r="C1531" t="inlineStr">
        <is>
          <t>ME</t>
        </is>
      </c>
      <c r="D1531" t="inlineStr">
        <is>
          <t>Mexico</t>
        </is>
      </c>
    </row>
    <row r="1532">
      <c r="A1532" t="inlineStr">
        <is>
          <t>U1531</t>
        </is>
      </c>
      <c r="B1532" t="inlineStr">
        <is>
          <t>Universidad de La Frontera (UFRO)</t>
        </is>
      </c>
      <c r="C1532" t="inlineStr">
        <is>
          <t>CH</t>
        </is>
      </c>
      <c r="D1532" t="inlineStr">
        <is>
          <t>Chile</t>
        </is>
      </c>
    </row>
    <row r="1533">
      <c r="A1533" t="inlineStr">
        <is>
          <t>U1532</t>
        </is>
      </c>
      <c r="B1533" t="inlineStr">
        <is>
          <t>Universidad de La Habana</t>
        </is>
      </c>
      <c r="C1533" t="inlineStr">
        <is>
          <t>CU</t>
        </is>
      </c>
      <c r="D1533" t="inlineStr">
        <is>
          <t>Cuba</t>
        </is>
      </c>
    </row>
    <row r="1534">
      <c r="A1534" t="inlineStr">
        <is>
          <t>U1533</t>
        </is>
      </c>
      <c r="B1534" t="inlineStr">
        <is>
          <t>Universidad de la República (Udelar)</t>
        </is>
      </c>
      <c r="C1534" t="inlineStr">
        <is>
          <t>UR</t>
        </is>
      </c>
      <c r="D1534" t="inlineStr">
        <is>
          <t>Uruguay</t>
        </is>
      </c>
    </row>
    <row r="1535">
      <c r="A1535" t="inlineStr">
        <is>
          <t>U1534</t>
        </is>
      </c>
      <c r="B1535" t="inlineStr">
        <is>
          <t>Universidad de La Sabana</t>
        </is>
      </c>
      <c r="C1535" t="inlineStr">
        <is>
          <t>CO</t>
        </is>
      </c>
      <c r="D1535" t="inlineStr">
        <is>
          <t>Colombia</t>
        </is>
      </c>
    </row>
    <row r="1536">
      <c r="A1536" t="inlineStr">
        <is>
          <t>U1535</t>
        </is>
      </c>
      <c r="B1536" t="inlineStr">
        <is>
          <t>Universidad de La Salle</t>
        </is>
      </c>
      <c r="C1536" t="inlineStr">
        <is>
          <t>CO</t>
        </is>
      </c>
      <c r="D1536" t="inlineStr">
        <is>
          <t>Colombia</t>
        </is>
      </c>
    </row>
    <row r="1537">
      <c r="A1537" t="inlineStr">
        <is>
          <t>U1536</t>
        </is>
      </c>
      <c r="B1537" t="inlineStr">
        <is>
          <t>Universidad de La Serena</t>
        </is>
      </c>
      <c r="C1537" t="inlineStr">
        <is>
          <t>CH</t>
        </is>
      </c>
      <c r="D1537" t="inlineStr">
        <is>
          <t>Chile</t>
        </is>
      </c>
    </row>
    <row r="1538">
      <c r="A1538" t="inlineStr">
        <is>
          <t>U1537</t>
        </is>
      </c>
      <c r="B1538" t="inlineStr">
        <is>
          <t>Universidad de Las Américas (UDLA) Ecuador</t>
        </is>
      </c>
      <c r="C1538" t="inlineStr">
        <is>
          <t>EC</t>
        </is>
      </c>
      <c r="D1538" t="inlineStr">
        <is>
          <t>Ecuador</t>
        </is>
      </c>
    </row>
    <row r="1539">
      <c r="A1539" t="inlineStr">
        <is>
          <t>U1538</t>
        </is>
      </c>
      <c r="B1539" t="inlineStr">
        <is>
          <t>Universidad de las Américas Puebla (UDLAP)</t>
        </is>
      </c>
      <c r="C1539" t="inlineStr">
        <is>
          <t>ME</t>
        </is>
      </c>
      <c r="D1539" t="inlineStr">
        <is>
          <t>Mexico</t>
        </is>
      </c>
    </row>
    <row r="1540">
      <c r="A1540" t="inlineStr">
        <is>
          <t>U1539</t>
        </is>
      </c>
      <c r="B1540" t="inlineStr">
        <is>
          <t>Universidad de las Fuerzas Armadas ESPE (Ex - Escuela Politécnica del Ejército)</t>
        </is>
      </c>
      <c r="C1540" t="inlineStr">
        <is>
          <t>EC</t>
        </is>
      </c>
      <c r="D1540" t="inlineStr">
        <is>
          <t>Ecuador</t>
        </is>
      </c>
    </row>
    <row r="1541">
      <c r="A1541" t="inlineStr">
        <is>
          <t>U1540</t>
        </is>
      </c>
      <c r="B1541" t="inlineStr">
        <is>
          <t>Universidad de León</t>
        </is>
      </c>
      <c r="C1541" t="inlineStr">
        <is>
          <t>SP</t>
        </is>
      </c>
      <c r="D1541" t="inlineStr">
        <is>
          <t>Spain</t>
        </is>
      </c>
    </row>
    <row r="1542">
      <c r="A1542" t="inlineStr">
        <is>
          <t>U1541</t>
        </is>
      </c>
      <c r="B1542" t="inlineStr">
        <is>
          <t>Universidad de Lima</t>
        </is>
      </c>
      <c r="C1542" t="inlineStr">
        <is>
          <t>PE</t>
        </is>
      </c>
      <c r="D1542" t="inlineStr">
        <is>
          <t>Peru</t>
        </is>
      </c>
    </row>
    <row r="1543">
      <c r="A1543" t="inlineStr">
        <is>
          <t>U1542</t>
        </is>
      </c>
      <c r="B1543" t="inlineStr">
        <is>
          <t>Universidad de los Andes</t>
        </is>
      </c>
      <c r="C1543" t="inlineStr">
        <is>
          <t>CO</t>
        </is>
      </c>
      <c r="D1543" t="inlineStr">
        <is>
          <t>Colombia</t>
        </is>
      </c>
    </row>
    <row r="1544">
      <c r="A1544" t="inlineStr">
        <is>
          <t>U1543</t>
        </is>
      </c>
      <c r="B1544" t="inlineStr">
        <is>
          <t>Universidad de los Andes - Chile</t>
        </is>
      </c>
      <c r="C1544" t="inlineStr">
        <is>
          <t>CH</t>
        </is>
      </c>
      <c r="D1544" t="inlineStr">
        <is>
          <t>Chile</t>
        </is>
      </c>
    </row>
    <row r="1545">
      <c r="A1545" t="inlineStr">
        <is>
          <t>U1544</t>
        </is>
      </c>
      <c r="B1545" t="inlineStr">
        <is>
          <t>Universidad de Los Andes - (ULA) Mérida</t>
        </is>
      </c>
      <c r="C1545" t="inlineStr">
        <is>
          <t>VE</t>
        </is>
      </c>
      <c r="D1545" t="inlineStr">
        <is>
          <t>Venezuela</t>
        </is>
      </c>
    </row>
    <row r="1546">
      <c r="A1546" t="inlineStr">
        <is>
          <t>U1545</t>
        </is>
      </c>
      <c r="B1546" t="inlineStr">
        <is>
          <t>Universidad de Medellín</t>
        </is>
      </c>
      <c r="C1546" t="inlineStr">
        <is>
          <t>CO</t>
        </is>
      </c>
      <c r="D1546" t="inlineStr">
        <is>
          <t>Colombia</t>
        </is>
      </c>
    </row>
    <row r="1547">
      <c r="A1547" t="inlineStr">
        <is>
          <t>U1546</t>
        </is>
      </c>
      <c r="B1547" t="inlineStr">
        <is>
          <t>Universidad de Monterrey (UDEM)</t>
        </is>
      </c>
      <c r="C1547" t="inlineStr">
        <is>
          <t>ME</t>
        </is>
      </c>
      <c r="D1547" t="inlineStr">
        <is>
          <t>Mexico</t>
        </is>
      </c>
    </row>
    <row r="1548">
      <c r="A1548" t="inlineStr">
        <is>
          <t>U1547</t>
        </is>
      </c>
      <c r="B1548" t="inlineStr">
        <is>
          <t>Universidad de Montevideo (UM)</t>
        </is>
      </c>
      <c r="C1548" t="inlineStr">
        <is>
          <t>UR</t>
        </is>
      </c>
      <c r="D1548" t="inlineStr">
        <is>
          <t>Uruguay</t>
        </is>
      </c>
    </row>
    <row r="1549">
      <c r="A1549" t="inlineStr">
        <is>
          <t>U1548</t>
        </is>
      </c>
      <c r="B1549" t="inlineStr">
        <is>
          <t>Universidad de Oriente Santiago de Cuba</t>
        </is>
      </c>
      <c r="C1549" t="inlineStr">
        <is>
          <t>CU</t>
        </is>
      </c>
      <c r="D1549" t="inlineStr">
        <is>
          <t>Cuba</t>
        </is>
      </c>
    </row>
    <row r="1550">
      <c r="A1550" t="inlineStr">
        <is>
          <t>U1549</t>
        </is>
      </c>
      <c r="B1550" t="inlineStr">
        <is>
          <t>Universidad de Oviedo</t>
        </is>
      </c>
      <c r="C1550" t="inlineStr">
        <is>
          <t>SP</t>
        </is>
      </c>
      <c r="D1550" t="inlineStr">
        <is>
          <t>Spain</t>
        </is>
      </c>
    </row>
    <row r="1551">
      <c r="A1551" t="inlineStr">
        <is>
          <t>U1550</t>
        </is>
      </c>
      <c r="B1551" t="inlineStr">
        <is>
          <t>Universidad de Palermo (UP)</t>
        </is>
      </c>
      <c r="C1551" t="inlineStr">
        <is>
          <t>AR</t>
        </is>
      </c>
      <c r="D1551" t="inlineStr">
        <is>
          <t>Argentina</t>
        </is>
      </c>
    </row>
    <row r="1552">
      <c r="A1552" t="inlineStr">
        <is>
          <t>U1551</t>
        </is>
      </c>
      <c r="B1552" t="inlineStr">
        <is>
          <t>Universidad de Panama</t>
        </is>
      </c>
      <c r="C1552" t="inlineStr">
        <is>
          <t>PA</t>
        </is>
      </c>
      <c r="D1552" t="inlineStr">
        <is>
          <t>Panama</t>
        </is>
      </c>
    </row>
    <row r="1553">
      <c r="A1553" t="inlineStr">
        <is>
          <t>U1552</t>
        </is>
      </c>
      <c r="B1553" t="inlineStr">
        <is>
          <t>Universidad de Piura</t>
        </is>
      </c>
      <c r="C1553" t="inlineStr">
        <is>
          <t>PE</t>
        </is>
      </c>
      <c r="D1553" t="inlineStr">
        <is>
          <t>Peru</t>
        </is>
      </c>
    </row>
    <row r="1554">
      <c r="A1554" t="inlineStr">
        <is>
          <t>U1553</t>
        </is>
      </c>
      <c r="B1554" t="inlineStr">
        <is>
          <t>Universidad de Puerto Rico</t>
        </is>
      </c>
      <c r="C1554" t="inlineStr">
        <is>
          <t>PU</t>
        </is>
      </c>
      <c r="D1554" t="inlineStr">
        <is>
          <t>Puerto Rico</t>
        </is>
      </c>
    </row>
    <row r="1555">
      <c r="A1555" t="inlineStr">
        <is>
          <t>U1554</t>
        </is>
      </c>
      <c r="B1555" t="inlineStr">
        <is>
          <t>Universidad de San Andrés - UdeSA</t>
        </is>
      </c>
      <c r="C1555" t="inlineStr">
        <is>
          <t>AR</t>
        </is>
      </c>
      <c r="D1555" t="inlineStr">
        <is>
          <t>Argentina</t>
        </is>
      </c>
    </row>
    <row r="1556">
      <c r="A1556" t="inlineStr">
        <is>
          <t>U1555</t>
        </is>
      </c>
      <c r="B1556" t="inlineStr">
        <is>
          <t>Universidad de San Carlos de Guatemala - USAC</t>
        </is>
      </c>
      <c r="C1556" t="inlineStr">
        <is>
          <t>GU</t>
        </is>
      </c>
      <c r="D1556" t="inlineStr">
        <is>
          <t>Guatemala</t>
        </is>
      </c>
    </row>
    <row r="1557">
      <c r="A1557" t="inlineStr">
        <is>
          <t>U1556</t>
        </is>
      </c>
      <c r="B1557" t="inlineStr">
        <is>
          <t>Universidad de Santander - UDES</t>
        </is>
      </c>
      <c r="C1557" t="inlineStr">
        <is>
          <t>CO</t>
        </is>
      </c>
      <c r="D1557" t="inlineStr">
        <is>
          <t>Colombia</t>
        </is>
      </c>
    </row>
    <row r="1558">
      <c r="A1558" t="inlineStr">
        <is>
          <t>U1557</t>
        </is>
      </c>
      <c r="B1558" t="inlineStr">
        <is>
          <t>Universidad de Santiago de Chile (USACH)</t>
        </is>
      </c>
      <c r="C1558" t="inlineStr">
        <is>
          <t>CH</t>
        </is>
      </c>
      <c r="D1558" t="inlineStr">
        <is>
          <t>Chile</t>
        </is>
      </c>
    </row>
    <row r="1559">
      <c r="A1559" t="inlineStr">
        <is>
          <t>U1558</t>
        </is>
      </c>
      <c r="B1559" t="inlineStr">
        <is>
          <t>Universidad de Sevilla</t>
        </is>
      </c>
      <c r="C1559" t="inlineStr">
        <is>
          <t>SP</t>
        </is>
      </c>
      <c r="D1559" t="inlineStr">
        <is>
          <t>Spain</t>
        </is>
      </c>
    </row>
    <row r="1560">
      <c r="A1560" t="inlineStr">
        <is>
          <t>U1559</t>
        </is>
      </c>
      <c r="B1560" t="inlineStr">
        <is>
          <t>Universidad de Sonora</t>
        </is>
      </c>
      <c r="C1560" t="inlineStr">
        <is>
          <t>ME</t>
        </is>
      </c>
      <c r="D1560" t="inlineStr">
        <is>
          <t>Mexico</t>
        </is>
      </c>
    </row>
    <row r="1561">
      <c r="A1561" t="inlineStr">
        <is>
          <t>U1560</t>
        </is>
      </c>
      <c r="B1561" t="inlineStr">
        <is>
          <t>Universidad de Talca</t>
        </is>
      </c>
      <c r="C1561" t="inlineStr">
        <is>
          <t>CH</t>
        </is>
      </c>
      <c r="D1561" t="inlineStr">
        <is>
          <t>Chile</t>
        </is>
      </c>
    </row>
    <row r="1562">
      <c r="A1562" t="inlineStr">
        <is>
          <t>U1561</t>
        </is>
      </c>
      <c r="B1562" t="inlineStr">
        <is>
          <t>Universidad de Tarapaca</t>
        </is>
      </c>
      <c r="C1562" t="inlineStr">
        <is>
          <t>CH</t>
        </is>
      </c>
      <c r="D1562" t="inlineStr">
        <is>
          <t>Chile</t>
        </is>
      </c>
    </row>
    <row r="1563">
      <c r="A1563" t="inlineStr">
        <is>
          <t>U1562</t>
        </is>
      </c>
      <c r="B1563" t="inlineStr">
        <is>
          <t>Universidad de Valladolid</t>
        </is>
      </c>
      <c r="C1563" t="inlineStr">
        <is>
          <t>SP</t>
        </is>
      </c>
      <c r="D1563" t="inlineStr">
        <is>
          <t>Spain</t>
        </is>
      </c>
    </row>
    <row r="1564">
      <c r="A1564" t="inlineStr">
        <is>
          <t>U1563</t>
        </is>
      </c>
      <c r="B1564" t="inlineStr">
        <is>
          <t>Universidad de Valparaíso (UV)</t>
        </is>
      </c>
      <c r="C1564" t="inlineStr">
        <is>
          <t>CH</t>
        </is>
      </c>
      <c r="D1564" t="inlineStr">
        <is>
          <t>Chile</t>
        </is>
      </c>
    </row>
    <row r="1565">
      <c r="A1565" t="inlineStr">
        <is>
          <t>U1564</t>
        </is>
      </c>
      <c r="B1565" t="inlineStr">
        <is>
          <t>Universidad de Zaragoza</t>
        </is>
      </c>
      <c r="C1565" t="inlineStr">
        <is>
          <t>SP</t>
        </is>
      </c>
      <c r="D1565" t="inlineStr">
        <is>
          <t>Spain</t>
        </is>
      </c>
    </row>
    <row r="1566">
      <c r="A1566" t="inlineStr">
        <is>
          <t>U1565</t>
        </is>
      </c>
      <c r="B1566" t="inlineStr">
        <is>
          <t>Universidad del Bío-Bío</t>
        </is>
      </c>
      <c r="C1566" t="inlineStr">
        <is>
          <t>CH</t>
        </is>
      </c>
      <c r="D1566" t="inlineStr">
        <is>
          <t>Chile</t>
        </is>
      </c>
    </row>
    <row r="1567">
      <c r="A1567" t="inlineStr">
        <is>
          <t>U1566</t>
        </is>
      </c>
      <c r="B1567" t="inlineStr">
        <is>
          <t>Universidad del Cauca</t>
        </is>
      </c>
      <c r="C1567" t="inlineStr">
        <is>
          <t>CO</t>
        </is>
      </c>
      <c r="D1567" t="inlineStr">
        <is>
          <t>Colombia</t>
        </is>
      </c>
    </row>
    <row r="1568">
      <c r="A1568" t="inlineStr">
        <is>
          <t>U1567</t>
        </is>
      </c>
      <c r="B1568" t="inlineStr">
        <is>
          <t>Universidad del Desarrollo (UDD)</t>
        </is>
      </c>
      <c r="C1568" t="inlineStr">
        <is>
          <t>CH</t>
        </is>
      </c>
      <c r="D1568" t="inlineStr">
        <is>
          <t>Chile</t>
        </is>
      </c>
    </row>
    <row r="1569">
      <c r="A1569" t="inlineStr">
        <is>
          <t>U1568</t>
        </is>
      </c>
      <c r="B1569" t="inlineStr">
        <is>
          <t xml:space="preserve">Universidad del Norte </t>
        </is>
      </c>
      <c r="C1569" t="inlineStr">
        <is>
          <t>CO</t>
        </is>
      </c>
      <c r="D1569" t="inlineStr">
        <is>
          <t>Colombia</t>
        </is>
      </c>
    </row>
    <row r="1570">
      <c r="A1570" t="inlineStr">
        <is>
          <t>U1569</t>
        </is>
      </c>
      <c r="B1570" t="inlineStr">
        <is>
          <t>Universidad del Pacífico</t>
        </is>
      </c>
      <c r="C1570" t="inlineStr">
        <is>
          <t>PE</t>
        </is>
      </c>
      <c r="D1570" t="inlineStr">
        <is>
          <t>Peru</t>
        </is>
      </c>
    </row>
    <row r="1571">
      <c r="A1571" t="inlineStr">
        <is>
          <t>U1570</t>
        </is>
      </c>
      <c r="B1571" t="inlineStr">
        <is>
          <t>Universidad del Rosario</t>
        </is>
      </c>
      <c r="C1571" t="inlineStr">
        <is>
          <t>CO</t>
        </is>
      </c>
      <c r="D1571" t="inlineStr">
        <is>
          <t>Colombia</t>
        </is>
      </c>
    </row>
    <row r="1572">
      <c r="A1572" t="inlineStr">
        <is>
          <t>U1571</t>
        </is>
      </c>
      <c r="B1572" t="inlineStr">
        <is>
          <t>Universidad del Salvador</t>
        </is>
      </c>
      <c r="C1572" t="inlineStr">
        <is>
          <t>AR</t>
        </is>
      </c>
      <c r="D1572" t="inlineStr">
        <is>
          <t>Argentina</t>
        </is>
      </c>
    </row>
    <row r="1573">
      <c r="A1573" t="inlineStr">
        <is>
          <t>U1572</t>
        </is>
      </c>
      <c r="B1573" t="inlineStr">
        <is>
          <t>Universidad del Valle</t>
        </is>
      </c>
      <c r="C1573" t="inlineStr">
        <is>
          <t>CO</t>
        </is>
      </c>
      <c r="D1573" t="inlineStr">
        <is>
          <t>Colombia</t>
        </is>
      </c>
    </row>
    <row r="1574">
      <c r="A1574" t="inlineStr">
        <is>
          <t>U1573</t>
        </is>
      </c>
      <c r="B1574" t="inlineStr">
        <is>
          <t>Universidad del Valle de Mexico (UVM)</t>
        </is>
      </c>
      <c r="C1574" t="inlineStr">
        <is>
          <t>ME</t>
        </is>
      </c>
      <c r="D1574" t="inlineStr">
        <is>
          <t>Mexico</t>
        </is>
      </c>
    </row>
    <row r="1575">
      <c r="A1575" t="inlineStr">
        <is>
          <t>U1574</t>
        </is>
      </c>
      <c r="B1575" t="inlineStr">
        <is>
          <t>Universidad del Zulia</t>
        </is>
      </c>
      <c r="C1575" t="inlineStr">
        <is>
          <t>VE</t>
        </is>
      </c>
      <c r="D1575" t="inlineStr">
        <is>
          <t>Venezuela</t>
        </is>
      </c>
    </row>
    <row r="1576">
      <c r="A1576" t="inlineStr">
        <is>
          <t>U1575</t>
        </is>
      </c>
      <c r="B1576" t="inlineStr">
        <is>
          <t>Universidad Diego Portales (UDP)</t>
        </is>
      </c>
      <c r="C1576" t="inlineStr">
        <is>
          <t>CH</t>
        </is>
      </c>
      <c r="D1576" t="inlineStr">
        <is>
          <t>Chile</t>
        </is>
      </c>
    </row>
    <row r="1577">
      <c r="A1577" t="inlineStr">
        <is>
          <t>U1576</t>
        </is>
      </c>
      <c r="B1577" t="inlineStr">
        <is>
          <t>Universidad EAFIT</t>
        </is>
      </c>
      <c r="C1577" t="inlineStr">
        <is>
          <t>CO</t>
        </is>
      </c>
      <c r="D1577" t="inlineStr">
        <is>
          <t>Colombia</t>
        </is>
      </c>
    </row>
    <row r="1578">
      <c r="A1578" t="inlineStr">
        <is>
          <t>U1577</t>
        </is>
      </c>
      <c r="B1578" t="inlineStr">
        <is>
          <t xml:space="preserve">Universidad Externado de Colombia </t>
        </is>
      </c>
      <c r="C1578" t="inlineStr">
        <is>
          <t>CO</t>
        </is>
      </c>
      <c r="D1578" t="inlineStr">
        <is>
          <t>Colombia</t>
        </is>
      </c>
    </row>
    <row r="1579">
      <c r="A1579" t="inlineStr">
        <is>
          <t>U1578</t>
        </is>
      </c>
      <c r="B1579" t="inlineStr">
        <is>
          <t>Universidad Iberoamericana IBERO</t>
        </is>
      </c>
      <c r="C1579" t="inlineStr">
        <is>
          <t>ME</t>
        </is>
      </c>
      <c r="D1579" t="inlineStr">
        <is>
          <t>Mexico</t>
        </is>
      </c>
    </row>
    <row r="1580">
      <c r="A1580" t="inlineStr">
        <is>
          <t>U1579</t>
        </is>
      </c>
      <c r="B1580" t="inlineStr">
        <is>
          <t>Universidad ICESI</t>
        </is>
      </c>
      <c r="C1580" t="inlineStr">
        <is>
          <t>CO</t>
        </is>
      </c>
      <c r="D1580" t="inlineStr">
        <is>
          <t>Colombia</t>
        </is>
      </c>
    </row>
    <row r="1581">
      <c r="A1581" t="inlineStr">
        <is>
          <t>U1580</t>
        </is>
      </c>
      <c r="B1581" t="inlineStr">
        <is>
          <t>Universidad Industrial de Santander (UIS)</t>
        </is>
      </c>
      <c r="C1581" t="inlineStr">
        <is>
          <t>CO</t>
        </is>
      </c>
      <c r="D1581" t="inlineStr">
        <is>
          <t>Colombia</t>
        </is>
      </c>
    </row>
    <row r="1582">
      <c r="A1582" t="inlineStr">
        <is>
          <t>U1581</t>
        </is>
      </c>
      <c r="B1582" t="inlineStr">
        <is>
          <t>Universidad Industrial de Santander - UIS</t>
        </is>
      </c>
      <c r="C1582" t="inlineStr">
        <is>
          <t>CO</t>
        </is>
      </c>
      <c r="D1582" t="inlineStr">
        <is>
          <t>Colombia</t>
        </is>
      </c>
    </row>
    <row r="1583">
      <c r="A1583" t="inlineStr">
        <is>
          <t>U1582</t>
        </is>
      </c>
      <c r="B1583" t="inlineStr">
        <is>
          <t>Universidad La Salle (ULSA)</t>
        </is>
      </c>
      <c r="C1583" t="inlineStr">
        <is>
          <t>ME</t>
        </is>
      </c>
      <c r="D1583" t="inlineStr">
        <is>
          <t>Mexico</t>
        </is>
      </c>
    </row>
    <row r="1584">
      <c r="A1584" t="inlineStr">
        <is>
          <t>U1583</t>
        </is>
      </c>
      <c r="B1584" t="inlineStr">
        <is>
          <t>Universidad Latinoamericana de Ciencia y Tecnología Costa Rica (ULACIT)</t>
        </is>
      </c>
      <c r="C1584" t="inlineStr">
        <is>
          <t>CO</t>
        </is>
      </c>
      <c r="D1584" t="inlineStr">
        <is>
          <t>Costa Rica</t>
        </is>
      </c>
    </row>
    <row r="1585">
      <c r="A1585" t="inlineStr">
        <is>
          <t>U1584</t>
        </is>
      </c>
      <c r="B1585" t="inlineStr">
        <is>
          <t>Universidad Loyola</t>
        </is>
      </c>
      <c r="C1585" t="inlineStr">
        <is>
          <t>SP</t>
        </is>
      </c>
      <c r="D1585" t="inlineStr">
        <is>
          <t>Spain</t>
        </is>
      </c>
    </row>
    <row r="1586">
      <c r="A1586" t="inlineStr">
        <is>
          <t>U1585</t>
        </is>
      </c>
      <c r="B1586" t="inlineStr">
        <is>
          <t>Universidad Mayor</t>
        </is>
      </c>
      <c r="C1586" t="inlineStr">
        <is>
          <t>CH</t>
        </is>
      </c>
      <c r="D1586" t="inlineStr">
        <is>
          <t>Chile</t>
        </is>
      </c>
    </row>
    <row r="1587">
      <c r="A1587" t="inlineStr">
        <is>
          <t>U1586</t>
        </is>
      </c>
      <c r="B1587" t="inlineStr">
        <is>
          <t>Universidad Mayor de San Andrés (UMSA)</t>
        </is>
      </c>
      <c r="C1587" t="inlineStr">
        <is>
          <t>BO</t>
        </is>
      </c>
      <c r="D1587" t="inlineStr">
        <is>
          <t>Bolivia</t>
        </is>
      </c>
    </row>
    <row r="1588">
      <c r="A1588" t="inlineStr">
        <is>
          <t>U1587</t>
        </is>
      </c>
      <c r="B1588" t="inlineStr">
        <is>
          <t>Universidad Metropolitana</t>
        </is>
      </c>
      <c r="C1588" t="inlineStr">
        <is>
          <t>VE</t>
        </is>
      </c>
      <c r="D1588" t="inlineStr">
        <is>
          <t>Venezuela</t>
        </is>
      </c>
    </row>
    <row r="1589">
      <c r="A1589" t="inlineStr">
        <is>
          <t>U1588</t>
        </is>
      </c>
      <c r="B1589" t="inlineStr">
        <is>
          <t>Universidad Michoacana de San Nicolás de Hidalgo</t>
        </is>
      </c>
      <c r="C1589" t="inlineStr">
        <is>
          <t>ME</t>
        </is>
      </c>
      <c r="D1589" t="inlineStr">
        <is>
          <t>Mexico</t>
        </is>
      </c>
    </row>
    <row r="1590">
      <c r="A1590" t="inlineStr">
        <is>
          <t>U1589</t>
        </is>
      </c>
      <c r="B1590" t="inlineStr">
        <is>
          <t>Universidad Nacional Agraria la Molina</t>
        </is>
      </c>
      <c r="C1590" t="inlineStr">
        <is>
          <t>PE</t>
        </is>
      </c>
      <c r="D1590" t="inlineStr">
        <is>
          <t>Peru</t>
        </is>
      </c>
    </row>
    <row r="1591">
      <c r="A1591" t="inlineStr">
        <is>
          <t>U1590</t>
        </is>
      </c>
      <c r="B1591" t="inlineStr">
        <is>
          <t>Universidad Nacional Autónoma de Honduras (UNAH)</t>
        </is>
      </c>
      <c r="C1591" t="inlineStr">
        <is>
          <t>HO</t>
        </is>
      </c>
      <c r="D1591" t="inlineStr">
        <is>
          <t>Honduras</t>
        </is>
      </c>
    </row>
    <row r="1592">
      <c r="A1592" t="inlineStr">
        <is>
          <t>U1591</t>
        </is>
      </c>
      <c r="B1592" t="inlineStr">
        <is>
          <t>Universidad Nacional Autónoma de México (UNAM)</t>
        </is>
      </c>
      <c r="C1592" t="inlineStr">
        <is>
          <t>ME</t>
        </is>
      </c>
      <c r="D1592" t="inlineStr">
        <is>
          <t>Mexico</t>
        </is>
      </c>
    </row>
    <row r="1593">
      <c r="A1593" t="inlineStr">
        <is>
          <t>U1592</t>
        </is>
      </c>
      <c r="B1593" t="inlineStr">
        <is>
          <t>Universidad Nacional, Costa Rica</t>
        </is>
      </c>
      <c r="C1593" t="inlineStr">
        <is>
          <t>CO</t>
        </is>
      </c>
      <c r="D1593" t="inlineStr">
        <is>
          <t>Costa Rica</t>
        </is>
      </c>
    </row>
    <row r="1594">
      <c r="A1594" t="inlineStr">
        <is>
          <t>U1593</t>
        </is>
      </c>
      <c r="B1594" t="inlineStr">
        <is>
          <t>Universidad Nacional de Córdoba - UNC</t>
        </is>
      </c>
      <c r="C1594" t="inlineStr">
        <is>
          <t>AR</t>
        </is>
      </c>
      <c r="D1594" t="inlineStr">
        <is>
          <t>Argentina</t>
        </is>
      </c>
    </row>
    <row r="1595">
      <c r="A1595" t="inlineStr">
        <is>
          <t>U1594</t>
        </is>
      </c>
      <c r="B1595" t="inlineStr">
        <is>
          <t>Universidad Nacional de Colombia</t>
        </is>
      </c>
      <c r="C1595" t="inlineStr">
        <is>
          <t>CO</t>
        </is>
      </c>
      <c r="D1595" t="inlineStr">
        <is>
          <t>Colombia</t>
        </is>
      </c>
    </row>
    <row r="1596">
      <c r="A1596" t="inlineStr">
        <is>
          <t>U1595</t>
        </is>
      </c>
      <c r="B1596" t="inlineStr">
        <is>
          <t>Universidad Nacional de Cuyo</t>
        </is>
      </c>
      <c r="C1596" t="inlineStr">
        <is>
          <t>AR</t>
        </is>
      </c>
      <c r="D1596" t="inlineStr">
        <is>
          <t>Argentina</t>
        </is>
      </c>
    </row>
    <row r="1597">
      <c r="A1597" t="inlineStr">
        <is>
          <t>U1596</t>
        </is>
      </c>
      <c r="B1597" t="inlineStr">
        <is>
          <t>Universidad Nacional de Ingeniería Peru</t>
        </is>
      </c>
      <c r="C1597" t="inlineStr">
        <is>
          <t>PE</t>
        </is>
      </c>
      <c r="D1597" t="inlineStr">
        <is>
          <t>Peru</t>
        </is>
      </c>
    </row>
    <row r="1598">
      <c r="A1598" t="inlineStr">
        <is>
          <t>U1597</t>
        </is>
      </c>
      <c r="B1598" t="inlineStr">
        <is>
          <t>Universidad Nacional de la Asunción</t>
        </is>
      </c>
      <c r="C1598" t="inlineStr">
        <is>
          <t>PA</t>
        </is>
      </c>
      <c r="D1598" t="inlineStr">
        <is>
          <t>Paraguay</t>
        </is>
      </c>
    </row>
    <row r="1599">
      <c r="A1599" t="inlineStr">
        <is>
          <t>U1598</t>
        </is>
      </c>
      <c r="B1599" t="inlineStr">
        <is>
          <t>Universidad Nacional de La Plata (UNLP)</t>
        </is>
      </c>
      <c r="C1599" t="inlineStr">
        <is>
          <t>AR</t>
        </is>
      </c>
      <c r="D1599" t="inlineStr">
        <is>
          <t>Argentina</t>
        </is>
      </c>
    </row>
    <row r="1600">
      <c r="A1600" t="inlineStr">
        <is>
          <t>U1599</t>
        </is>
      </c>
      <c r="B1600" t="inlineStr">
        <is>
          <t>Universidad Nacional de Mar del Plata</t>
        </is>
      </c>
      <c r="C1600" t="inlineStr">
        <is>
          <t>AR</t>
        </is>
      </c>
      <c r="D1600" t="inlineStr">
        <is>
          <t>Argentina</t>
        </is>
      </c>
    </row>
    <row r="1601">
      <c r="A1601" t="inlineStr">
        <is>
          <t>U1600</t>
        </is>
      </c>
      <c r="B1601" t="inlineStr">
        <is>
          <t>Universidad Nacional de Quilmes</t>
        </is>
      </c>
      <c r="C1601" t="inlineStr">
        <is>
          <t>AR</t>
        </is>
      </c>
      <c r="D1601" t="inlineStr">
        <is>
          <t>Argentina</t>
        </is>
      </c>
    </row>
    <row r="1602">
      <c r="A1602" t="inlineStr">
        <is>
          <t>U1601</t>
        </is>
      </c>
      <c r="B1602" t="inlineStr">
        <is>
          <t>Universidad Nacional de Río Cuarto - UNRC</t>
        </is>
      </c>
      <c r="C1602" t="inlineStr">
        <is>
          <t>AR</t>
        </is>
      </c>
      <c r="D1602" t="inlineStr">
        <is>
          <t>Argentina</t>
        </is>
      </c>
    </row>
    <row r="1603">
      <c r="A1603" t="inlineStr">
        <is>
          <t>U1602</t>
        </is>
      </c>
      <c r="B1603" t="inlineStr">
        <is>
          <t>Universidad Nacional de Rosario (UNR)</t>
        </is>
      </c>
      <c r="C1603" t="inlineStr">
        <is>
          <t>AR</t>
        </is>
      </c>
      <c r="D1603" t="inlineStr">
        <is>
          <t>Argentina</t>
        </is>
      </c>
    </row>
    <row r="1604">
      <c r="A1604" t="inlineStr">
        <is>
          <t>U1603</t>
        </is>
      </c>
      <c r="B1604" t="inlineStr">
        <is>
          <t>Universidad Nacional de San Luis</t>
        </is>
      </c>
      <c r="C1604" t="inlineStr">
        <is>
          <t>AR</t>
        </is>
      </c>
      <c r="D1604" t="inlineStr">
        <is>
          <t>Argentina</t>
        </is>
      </c>
    </row>
    <row r="1605">
      <c r="A1605" t="inlineStr">
        <is>
          <t>U1604</t>
        </is>
      </c>
      <c r="B1605" t="inlineStr">
        <is>
          <t>Universidad Nacional de San Martín (UNSAM)</t>
        </is>
      </c>
      <c r="C1605" t="inlineStr">
        <is>
          <t>AR</t>
        </is>
      </c>
      <c r="D1605" t="inlineStr">
        <is>
          <t>Argentina</t>
        </is>
      </c>
    </row>
    <row r="1606">
      <c r="A1606" t="inlineStr">
        <is>
          <t>U1605</t>
        </is>
      </c>
      <c r="B1606" t="inlineStr">
        <is>
          <t>Universidad Nacional de Tucumán</t>
        </is>
      </c>
      <c r="C1606" t="inlineStr">
        <is>
          <t>AR</t>
        </is>
      </c>
      <c r="D1606" t="inlineStr">
        <is>
          <t>Argentina</t>
        </is>
      </c>
    </row>
    <row r="1607">
      <c r="A1607" t="inlineStr">
        <is>
          <t>U1606</t>
        </is>
      </c>
      <c r="B1607" t="inlineStr">
        <is>
          <t>Universidad Nacional del Centro de la Provincia de Buenos Aires (UNICEN)</t>
        </is>
      </c>
      <c r="C1607" t="inlineStr">
        <is>
          <t>AR</t>
        </is>
      </c>
      <c r="D1607" t="inlineStr">
        <is>
          <t>Argentina</t>
        </is>
      </c>
    </row>
    <row r="1608">
      <c r="A1608" t="inlineStr">
        <is>
          <t>U1607</t>
        </is>
      </c>
      <c r="B1608" t="inlineStr">
        <is>
          <t>Universidad Nacional del Comahue</t>
        </is>
      </c>
      <c r="C1608" t="inlineStr">
        <is>
          <t>AR</t>
        </is>
      </c>
      <c r="D1608" t="inlineStr">
        <is>
          <t>Argentina</t>
        </is>
      </c>
    </row>
    <row r="1609">
      <c r="A1609" t="inlineStr">
        <is>
          <t>U1608</t>
        </is>
      </c>
      <c r="B1609" t="inlineStr">
        <is>
          <t>Universidad Nacional del Litoral</t>
        </is>
      </c>
      <c r="C1609" t="inlineStr">
        <is>
          <t>AR</t>
        </is>
      </c>
      <c r="D1609" t="inlineStr">
        <is>
          <t>Argentina</t>
        </is>
      </c>
    </row>
    <row r="1610">
      <c r="A1610" t="inlineStr">
        <is>
          <t>U1609</t>
        </is>
      </c>
      <c r="B1610" t="inlineStr">
        <is>
          <t>Universidad Nacional del Sur</t>
        </is>
      </c>
      <c r="C1610" t="inlineStr">
        <is>
          <t>AR</t>
        </is>
      </c>
      <c r="D1610" t="inlineStr">
        <is>
          <t>Argentina</t>
        </is>
      </c>
    </row>
    <row r="1611">
      <c r="A1611" t="inlineStr">
        <is>
          <t>U1610</t>
        </is>
      </c>
      <c r="B1611" t="inlineStr">
        <is>
          <t>Universidad Nacional Mayor de San Marcos</t>
        </is>
      </c>
      <c r="C1611" t="inlineStr">
        <is>
          <t>PE</t>
        </is>
      </c>
      <c r="D1611" t="inlineStr">
        <is>
          <t>Peru</t>
        </is>
      </c>
    </row>
    <row r="1612">
      <c r="A1612" t="inlineStr">
        <is>
          <t>U1611</t>
        </is>
      </c>
      <c r="B1612" t="inlineStr">
        <is>
          <t>Universidad ORT Uruguay</t>
        </is>
      </c>
      <c r="C1612" t="inlineStr">
        <is>
          <t>UR</t>
        </is>
      </c>
      <c r="D1612" t="inlineStr">
        <is>
          <t>Uruguay</t>
        </is>
      </c>
    </row>
    <row r="1613">
      <c r="A1613" t="inlineStr">
        <is>
          <t>U1612</t>
        </is>
      </c>
      <c r="B1613" t="inlineStr">
        <is>
          <t>Universidad Panamericana (UP)</t>
        </is>
      </c>
      <c r="C1613" t="inlineStr">
        <is>
          <t>ME</t>
        </is>
      </c>
      <c r="D1613" t="inlineStr">
        <is>
          <t>Mexico</t>
        </is>
      </c>
    </row>
    <row r="1614">
      <c r="A1614" t="inlineStr">
        <is>
          <t>U1613</t>
        </is>
      </c>
      <c r="B1614" t="inlineStr">
        <is>
          <t>Universidad Peruana Cayetano Heredia (UPCH)</t>
        </is>
      </c>
      <c r="C1614" t="inlineStr">
        <is>
          <t>PE</t>
        </is>
      </c>
      <c r="D1614" t="inlineStr">
        <is>
          <t>Peru</t>
        </is>
      </c>
    </row>
    <row r="1615">
      <c r="A1615" t="inlineStr">
        <is>
          <t>U1614</t>
        </is>
      </c>
      <c r="B1615" t="inlineStr">
        <is>
          <t>Universidad Peruana de Ciencias Aplicadas</t>
        </is>
      </c>
      <c r="C1615" t="inlineStr">
        <is>
          <t>PE</t>
        </is>
      </c>
      <c r="D1615" t="inlineStr">
        <is>
          <t>Peru</t>
        </is>
      </c>
    </row>
    <row r="1616">
      <c r="A1616" t="inlineStr">
        <is>
          <t>U1615</t>
        </is>
      </c>
      <c r="B1616" t="inlineStr">
        <is>
          <t>Universidad Politécnica de Madrid (UPM)</t>
        </is>
      </c>
      <c r="C1616" t="inlineStr">
        <is>
          <t>SP</t>
        </is>
      </c>
      <c r="D1616" t="inlineStr">
        <is>
          <t>Spain</t>
        </is>
      </c>
    </row>
    <row r="1617">
      <c r="A1617" t="inlineStr">
        <is>
          <t>U1616</t>
        </is>
      </c>
      <c r="B1617" t="inlineStr">
        <is>
          <t>Universidad Politécnica Salesiana</t>
        </is>
      </c>
      <c r="C1617" t="inlineStr">
        <is>
          <t>EC</t>
        </is>
      </c>
      <c r="D1617" t="inlineStr">
        <is>
          <t>Ecuador</t>
        </is>
      </c>
    </row>
    <row r="1618">
      <c r="A1618" t="inlineStr">
        <is>
          <t>U1617</t>
        </is>
      </c>
      <c r="B1618" t="inlineStr">
        <is>
          <t>UNIVERSIDAD POLITECNICA SALESIANA</t>
        </is>
      </c>
      <c r="C1618" t="inlineStr">
        <is>
          <t>EC</t>
        </is>
      </c>
      <c r="D1618" t="inlineStr">
        <is>
          <t>Ecuador</t>
        </is>
      </c>
    </row>
    <row r="1619">
      <c r="A1619" t="inlineStr">
        <is>
          <t>U1618</t>
        </is>
      </c>
      <c r="B1619" t="inlineStr">
        <is>
          <t xml:space="preserve">Universidad Pontificia Bolivariana </t>
        </is>
      </c>
      <c r="C1619" t="inlineStr">
        <is>
          <t>CO</t>
        </is>
      </c>
      <c r="D1619" t="inlineStr">
        <is>
          <t>Colombia</t>
        </is>
      </c>
    </row>
    <row r="1620">
      <c r="A1620" t="inlineStr">
        <is>
          <t>U1619</t>
        </is>
      </c>
      <c r="B1620" t="inlineStr">
        <is>
          <t>Universidad Pontificia Comillas</t>
        </is>
      </c>
      <c r="C1620" t="inlineStr">
        <is>
          <t>SP</t>
        </is>
      </c>
      <c r="D1620" t="inlineStr">
        <is>
          <t>Spain</t>
        </is>
      </c>
    </row>
    <row r="1621">
      <c r="A1621" t="inlineStr">
        <is>
          <t>U1620</t>
        </is>
      </c>
      <c r="B1621" t="inlineStr">
        <is>
          <t>Universidad Popular Autónoma del Estado de Puebla (UPAEP)</t>
        </is>
      </c>
      <c r="C1621" t="inlineStr">
        <is>
          <t>ME</t>
        </is>
      </c>
      <c r="D1621" t="inlineStr">
        <is>
          <t>Mexico</t>
        </is>
      </c>
    </row>
    <row r="1622">
      <c r="A1622" t="inlineStr">
        <is>
          <t>U1621</t>
        </is>
      </c>
      <c r="B1622" t="inlineStr">
        <is>
          <t>Universidad Rey Juan Carlos</t>
        </is>
      </c>
      <c r="C1622" t="inlineStr">
        <is>
          <t>SP</t>
        </is>
      </c>
      <c r="D1622" t="inlineStr">
        <is>
          <t>Spain</t>
        </is>
      </c>
    </row>
    <row r="1623">
      <c r="A1623" t="inlineStr">
        <is>
          <t>U1622</t>
        </is>
      </c>
      <c r="B1623" t="inlineStr">
        <is>
          <t>Universidad San Francisco de Quito (USFQ)</t>
        </is>
      </c>
      <c r="C1623" t="inlineStr">
        <is>
          <t>EC</t>
        </is>
      </c>
      <c r="D1623" t="inlineStr">
        <is>
          <t>Ecuador</t>
        </is>
      </c>
    </row>
    <row r="1624">
      <c r="A1624" t="inlineStr">
        <is>
          <t>U1623</t>
        </is>
      </c>
      <c r="B1624" t="inlineStr">
        <is>
          <t>Universidad San Ignacio de Loyola</t>
        </is>
      </c>
      <c r="C1624" t="inlineStr">
        <is>
          <t>PE</t>
        </is>
      </c>
      <c r="D1624" t="inlineStr">
        <is>
          <t>Peru</t>
        </is>
      </c>
    </row>
    <row r="1625">
      <c r="A1625" t="inlineStr">
        <is>
          <t>U1624</t>
        </is>
      </c>
      <c r="B1625" t="inlineStr">
        <is>
          <t>Universidad Simón Bolívar (USB)</t>
        </is>
      </c>
      <c r="C1625" t="inlineStr">
        <is>
          <t>VE</t>
        </is>
      </c>
      <c r="D1625" t="inlineStr">
        <is>
          <t>Venezuela</t>
        </is>
      </c>
    </row>
    <row r="1626">
      <c r="A1626" t="inlineStr">
        <is>
          <t>U1625</t>
        </is>
      </c>
      <c r="B1626" t="inlineStr">
        <is>
          <t>Universidad Técnica Federico Santa María (USM)</t>
        </is>
      </c>
      <c r="C1626" t="inlineStr">
        <is>
          <t>CH</t>
        </is>
      </c>
      <c r="D1626" t="inlineStr">
        <is>
          <t>Chile</t>
        </is>
      </c>
    </row>
    <row r="1627">
      <c r="A1627" t="inlineStr">
        <is>
          <t>U1626</t>
        </is>
      </c>
      <c r="B1627" t="inlineStr">
        <is>
          <t>Universidad Tecnica Particular De Loja (UTPL)</t>
        </is>
      </c>
      <c r="C1627" t="inlineStr">
        <is>
          <t>EC</t>
        </is>
      </c>
      <c r="D1627" t="inlineStr">
        <is>
          <t>Ecuador</t>
        </is>
      </c>
    </row>
    <row r="1628">
      <c r="A1628" t="inlineStr">
        <is>
          <t>U1627</t>
        </is>
      </c>
      <c r="B1628" t="inlineStr">
        <is>
          <t>Universidad Tecnológica de Bolívar</t>
        </is>
      </c>
      <c r="C1628" t="inlineStr">
        <is>
          <t>CO</t>
        </is>
      </c>
      <c r="D1628" t="inlineStr">
        <is>
          <t>Colombia</t>
        </is>
      </c>
    </row>
    <row r="1629">
      <c r="A1629" t="inlineStr">
        <is>
          <t>U1628</t>
        </is>
      </c>
      <c r="B1629" t="inlineStr">
        <is>
          <t>Universidad Tecnológica de la Habana José Antonio Echeverría, Cujae</t>
        </is>
      </c>
      <c r="C1629" t="inlineStr">
        <is>
          <t>CU</t>
        </is>
      </c>
      <c r="D1629" t="inlineStr">
        <is>
          <t>Cuba</t>
        </is>
      </c>
    </row>
    <row r="1630">
      <c r="A1630" t="inlineStr">
        <is>
          <t>U1629</t>
        </is>
      </c>
      <c r="B1630" t="inlineStr">
        <is>
          <t>Universidad Tecnológica de Panamá (UTP)</t>
        </is>
      </c>
      <c r="C1630" t="inlineStr">
        <is>
          <t>PA</t>
        </is>
      </c>
      <c r="D1630" t="inlineStr">
        <is>
          <t>Panama</t>
        </is>
      </c>
    </row>
    <row r="1631">
      <c r="A1631" t="inlineStr">
        <is>
          <t>U1630</t>
        </is>
      </c>
      <c r="B1631" t="inlineStr">
        <is>
          <t>Universidad Tecnológica de Pereira</t>
        </is>
      </c>
      <c r="C1631" t="inlineStr">
        <is>
          <t>CO</t>
        </is>
      </c>
      <c r="D1631" t="inlineStr">
        <is>
          <t>Colombia</t>
        </is>
      </c>
    </row>
    <row r="1632">
      <c r="A1632" t="inlineStr">
        <is>
          <t>U1631</t>
        </is>
      </c>
      <c r="B1632" t="inlineStr">
        <is>
          <t>Universidad Tecnológica Nacional (UTN)</t>
        </is>
      </c>
      <c r="C1632" t="inlineStr">
        <is>
          <t>AR</t>
        </is>
      </c>
      <c r="D1632" t="inlineStr">
        <is>
          <t>Argentina</t>
        </is>
      </c>
    </row>
    <row r="1633">
      <c r="A1633" t="inlineStr">
        <is>
          <t>U1632</t>
        </is>
      </c>
      <c r="B1633" t="inlineStr">
        <is>
          <t>Universidad Torcuato Di Tella</t>
        </is>
      </c>
      <c r="C1633" t="inlineStr">
        <is>
          <t>AR</t>
        </is>
      </c>
      <c r="D1633" t="inlineStr">
        <is>
          <t>Argentina</t>
        </is>
      </c>
    </row>
    <row r="1634">
      <c r="A1634" t="inlineStr">
        <is>
          <t>U1633</t>
        </is>
      </c>
      <c r="B1634" t="inlineStr">
        <is>
          <t>Universidad Veracruzana</t>
        </is>
      </c>
      <c r="C1634" t="inlineStr">
        <is>
          <t>ME</t>
        </is>
      </c>
      <c r="D1634" t="inlineStr">
        <is>
          <t>Mexico</t>
        </is>
      </c>
    </row>
    <row r="1635">
      <c r="A1635" t="inlineStr">
        <is>
          <t>U1634</t>
        </is>
      </c>
      <c r="B1635" t="inlineStr">
        <is>
          <t>Universidade Católica Portuguesa - UCP</t>
        </is>
      </c>
      <c r="C1635" t="inlineStr">
        <is>
          <t>PO</t>
        </is>
      </c>
      <c r="D1635" t="inlineStr">
        <is>
          <t>Portugal</t>
        </is>
      </c>
    </row>
    <row r="1636">
      <c r="A1636" t="inlineStr">
        <is>
          <t>U1635</t>
        </is>
      </c>
      <c r="B1636" t="inlineStr">
        <is>
          <t xml:space="preserve">Universidade da Coruña </t>
        </is>
      </c>
      <c r="C1636" t="inlineStr">
        <is>
          <t>SP</t>
        </is>
      </c>
      <c r="D1636" t="inlineStr">
        <is>
          <t>Spain</t>
        </is>
      </c>
    </row>
    <row r="1637">
      <c r="A1637" t="inlineStr">
        <is>
          <t>U1636</t>
        </is>
      </c>
      <c r="B1637" t="inlineStr">
        <is>
          <t>Universidade de Brasília</t>
        </is>
      </c>
      <c r="C1637" t="inlineStr">
        <is>
          <t>BR</t>
        </is>
      </c>
      <c r="D1637" t="inlineStr">
        <is>
          <t>Brazil</t>
        </is>
      </c>
    </row>
    <row r="1638">
      <c r="A1638" t="inlineStr">
        <is>
          <t>U1637</t>
        </is>
      </c>
      <c r="B1638" t="inlineStr">
        <is>
          <t>Universidade de São Paulo</t>
        </is>
      </c>
      <c r="C1638" t="inlineStr">
        <is>
          <t>BR</t>
        </is>
      </c>
      <c r="D1638" t="inlineStr">
        <is>
          <t>Brazil</t>
        </is>
      </c>
    </row>
    <row r="1639">
      <c r="A1639" t="inlineStr">
        <is>
          <t>U1638</t>
        </is>
      </c>
      <c r="B1639" t="inlineStr">
        <is>
          <t>Universidade de Santiago de Compostela</t>
        </is>
      </c>
      <c r="C1639" t="inlineStr">
        <is>
          <t>SP</t>
        </is>
      </c>
      <c r="D1639" t="inlineStr">
        <is>
          <t>Spain</t>
        </is>
      </c>
    </row>
    <row r="1640">
      <c r="A1640" t="inlineStr">
        <is>
          <t>U1639</t>
        </is>
      </c>
      <c r="B1640" t="inlineStr">
        <is>
          <t>Universidade de Vigo</t>
        </is>
      </c>
      <c r="C1640" t="inlineStr">
        <is>
          <t>SP</t>
        </is>
      </c>
      <c r="D1640" t="inlineStr">
        <is>
          <t>Spain</t>
        </is>
      </c>
    </row>
    <row r="1641">
      <c r="A1641" t="inlineStr">
        <is>
          <t>U1640</t>
        </is>
      </c>
      <c r="B1641" t="inlineStr">
        <is>
          <t>Universidade do Estado de Santa Catarina</t>
        </is>
      </c>
      <c r="C1641" t="inlineStr">
        <is>
          <t>BR</t>
        </is>
      </c>
      <c r="D1641" t="inlineStr">
        <is>
          <t>Brazil</t>
        </is>
      </c>
    </row>
    <row r="1642">
      <c r="A1642" t="inlineStr">
        <is>
          <t>U1641</t>
        </is>
      </c>
      <c r="B1642" t="inlineStr">
        <is>
          <t>Universidade do Estado do Rio de Janeiro (UERJ)</t>
        </is>
      </c>
      <c r="C1642" t="inlineStr">
        <is>
          <t>BR</t>
        </is>
      </c>
      <c r="D1642" t="inlineStr">
        <is>
          <t>Brazil</t>
        </is>
      </c>
    </row>
    <row r="1643">
      <c r="A1643" t="inlineStr">
        <is>
          <t>U1642</t>
        </is>
      </c>
      <c r="B1643" t="inlineStr">
        <is>
          <t>Universidade Eduardo Mondlane</t>
        </is>
      </c>
      <c r="C1643" t="inlineStr">
        <is>
          <t>MO</t>
        </is>
      </c>
      <c r="D1643" t="inlineStr">
        <is>
          <t>Mozambique</t>
        </is>
      </c>
    </row>
    <row r="1644">
      <c r="A1644" t="inlineStr">
        <is>
          <t>U1643</t>
        </is>
      </c>
      <c r="B1644" t="inlineStr">
        <is>
          <t>Universidade Estadual de Campinas (Unicamp)</t>
        </is>
      </c>
      <c r="C1644" t="inlineStr">
        <is>
          <t>BR</t>
        </is>
      </c>
      <c r="D1644" t="inlineStr">
        <is>
          <t>Brazil</t>
        </is>
      </c>
    </row>
    <row r="1645">
      <c r="A1645" t="inlineStr">
        <is>
          <t>U1644</t>
        </is>
      </c>
      <c r="B1645" t="inlineStr">
        <is>
          <t>Universidade Estadual de Londrina</t>
        </is>
      </c>
      <c r="C1645" t="inlineStr">
        <is>
          <t>BR</t>
        </is>
      </c>
      <c r="D1645" t="inlineStr">
        <is>
          <t>Brazil</t>
        </is>
      </c>
    </row>
    <row r="1646">
      <c r="A1646" t="inlineStr">
        <is>
          <t>U1645</t>
        </is>
      </c>
      <c r="B1646" t="inlineStr">
        <is>
          <t>Universidade Estadual de Maringá</t>
        </is>
      </c>
      <c r="C1646" t="inlineStr">
        <is>
          <t>BR</t>
        </is>
      </c>
      <c r="D1646" t="inlineStr">
        <is>
          <t>Brazil</t>
        </is>
      </c>
    </row>
    <row r="1647">
      <c r="A1647" t="inlineStr">
        <is>
          <t>U1646</t>
        </is>
      </c>
      <c r="B1647" t="inlineStr">
        <is>
          <t>Universidade Estadual do Norte Fluminense Darcy Ribeiro</t>
        </is>
      </c>
      <c r="C1647" t="inlineStr">
        <is>
          <t>BR</t>
        </is>
      </c>
      <c r="D1647" t="inlineStr">
        <is>
          <t>Brazil</t>
        </is>
      </c>
    </row>
    <row r="1648">
      <c r="A1648" t="inlineStr">
        <is>
          <t>U1647</t>
        </is>
      </c>
      <c r="B1648" t="inlineStr">
        <is>
          <t>Universidade Estadual do Oeste do Paraná (Unioeste)</t>
        </is>
      </c>
      <c r="C1648" t="inlineStr">
        <is>
          <t>BR</t>
        </is>
      </c>
      <c r="D1648" t="inlineStr">
        <is>
          <t>Brazil</t>
        </is>
      </c>
    </row>
    <row r="1649">
      <c r="A1649" t="inlineStr">
        <is>
          <t>U1648</t>
        </is>
      </c>
      <c r="B1649" t="inlineStr">
        <is>
          <t>Universidade Estadual Paulista (Unesp)</t>
        </is>
      </c>
      <c r="C1649" t="inlineStr">
        <is>
          <t>BR</t>
        </is>
      </c>
      <c r="D1649" t="inlineStr">
        <is>
          <t>Brazil</t>
        </is>
      </c>
    </row>
    <row r="1650">
      <c r="A1650" t="inlineStr">
        <is>
          <t>U1649</t>
        </is>
      </c>
      <c r="B1650" t="inlineStr">
        <is>
          <t>Universidade Federal da Bahia</t>
        </is>
      </c>
      <c r="C1650" t="inlineStr">
        <is>
          <t>BR</t>
        </is>
      </c>
      <c r="D1650" t="inlineStr">
        <is>
          <t>Brazil</t>
        </is>
      </c>
    </row>
    <row r="1651">
      <c r="A1651" t="inlineStr">
        <is>
          <t>U1650</t>
        </is>
      </c>
      <c r="B1651" t="inlineStr">
        <is>
          <t>Universidade Federal da Paraíba</t>
        </is>
      </c>
      <c r="C1651" t="inlineStr">
        <is>
          <t>BR</t>
        </is>
      </c>
      <c r="D1651" t="inlineStr">
        <is>
          <t>Brazil</t>
        </is>
      </c>
    </row>
    <row r="1652">
      <c r="A1652" t="inlineStr">
        <is>
          <t>U1651</t>
        </is>
      </c>
      <c r="B1652" t="inlineStr">
        <is>
          <t>Universidade Federal de Ciências da Saúde de Porto Alegre (UFCSPA)</t>
        </is>
      </c>
      <c r="C1652" t="inlineStr">
        <is>
          <t>BR</t>
        </is>
      </c>
      <c r="D1652" t="inlineStr">
        <is>
          <t>Brazil</t>
        </is>
      </c>
    </row>
    <row r="1653">
      <c r="A1653" t="inlineStr">
        <is>
          <t>U1652</t>
        </is>
      </c>
      <c r="B1653" t="inlineStr">
        <is>
          <t>Universidade Federal de Goiás</t>
        </is>
      </c>
      <c r="C1653" t="inlineStr">
        <is>
          <t>BR</t>
        </is>
      </c>
      <c r="D1653" t="inlineStr">
        <is>
          <t>Brazil</t>
        </is>
      </c>
    </row>
    <row r="1654">
      <c r="A1654" t="inlineStr">
        <is>
          <t>U1653</t>
        </is>
      </c>
      <c r="B1654" t="inlineStr">
        <is>
          <t>Universidade Federal de Juiz de Fora- (UFJF)</t>
        </is>
      </c>
      <c r="C1654" t="inlineStr">
        <is>
          <t>BR</t>
        </is>
      </c>
      <c r="D1654" t="inlineStr">
        <is>
          <t>Brazil</t>
        </is>
      </c>
    </row>
    <row r="1655">
      <c r="A1655" t="inlineStr">
        <is>
          <t>U1654</t>
        </is>
      </c>
      <c r="B1655" t="inlineStr">
        <is>
          <t xml:space="preserve">Universidade Federal de Minas Gerais      </t>
        </is>
      </c>
      <c r="C1655" t="inlineStr">
        <is>
          <t>BR</t>
        </is>
      </c>
      <c r="D1655" t="inlineStr">
        <is>
          <t>Brazil</t>
        </is>
      </c>
    </row>
    <row r="1656">
      <c r="A1656" t="inlineStr">
        <is>
          <t>U1655</t>
        </is>
      </c>
      <c r="B1656" t="inlineStr">
        <is>
          <t>Universidade Federal de Ouro Preto (UFOP)</t>
        </is>
      </c>
      <c r="C1656" t="inlineStr">
        <is>
          <t>BR</t>
        </is>
      </c>
      <c r="D1656" t="inlineStr">
        <is>
          <t>Brazil</t>
        </is>
      </c>
    </row>
    <row r="1657">
      <c r="A1657" t="inlineStr">
        <is>
          <t>U1656</t>
        </is>
      </c>
      <c r="B1657" t="inlineStr">
        <is>
          <t xml:space="preserve">Universidade Federal de Pelotas </t>
        </is>
      </c>
      <c r="C1657" t="inlineStr">
        <is>
          <t>BR</t>
        </is>
      </c>
      <c r="D1657" t="inlineStr">
        <is>
          <t>Brazil</t>
        </is>
      </c>
    </row>
    <row r="1658">
      <c r="A1658" t="inlineStr">
        <is>
          <t>U1657</t>
        </is>
      </c>
      <c r="B1658" t="inlineStr">
        <is>
          <t xml:space="preserve">Universidade Federal de Pernambuco (UFPE) </t>
        </is>
      </c>
      <c r="C1658" t="inlineStr">
        <is>
          <t>BR</t>
        </is>
      </c>
      <c r="D1658" t="inlineStr">
        <is>
          <t>Brazil</t>
        </is>
      </c>
    </row>
    <row r="1659">
      <c r="A1659" t="inlineStr">
        <is>
          <t>U1658</t>
        </is>
      </c>
      <c r="B1659" t="inlineStr">
        <is>
          <t>Universidade Federal de São Carlos (UFSCar)</t>
        </is>
      </c>
      <c r="C1659" t="inlineStr">
        <is>
          <t>BR</t>
        </is>
      </c>
      <c r="D1659" t="inlineStr">
        <is>
          <t>Brazil</t>
        </is>
      </c>
    </row>
    <row r="1660">
      <c r="A1660" t="inlineStr">
        <is>
          <t>U1659</t>
        </is>
      </c>
      <c r="B1660" t="inlineStr">
        <is>
          <t>Universidade Federal de São Paulo</t>
        </is>
      </c>
      <c r="C1660" t="inlineStr">
        <is>
          <t>BR</t>
        </is>
      </c>
      <c r="D1660" t="inlineStr">
        <is>
          <t>Brazil</t>
        </is>
      </c>
    </row>
    <row r="1661">
      <c r="A1661" t="inlineStr">
        <is>
          <t>U1660</t>
        </is>
      </c>
      <c r="B1661" t="inlineStr">
        <is>
          <t xml:space="preserve">Universidade Federal de Santa Catarina </t>
        </is>
      </c>
      <c r="C1661" t="inlineStr">
        <is>
          <t>BR</t>
        </is>
      </c>
      <c r="D1661" t="inlineStr">
        <is>
          <t>Brazil</t>
        </is>
      </c>
    </row>
    <row r="1662">
      <c r="A1662" t="inlineStr">
        <is>
          <t>U1661</t>
        </is>
      </c>
      <c r="B1662" t="inlineStr">
        <is>
          <t>Universidade Federal de Santa Maria</t>
        </is>
      </c>
      <c r="C1662" t="inlineStr">
        <is>
          <t>BR</t>
        </is>
      </c>
      <c r="D1662" t="inlineStr">
        <is>
          <t>Brazil</t>
        </is>
      </c>
    </row>
    <row r="1663">
      <c r="A1663" t="inlineStr">
        <is>
          <t>U1662</t>
        </is>
      </c>
      <c r="B1663" t="inlineStr">
        <is>
          <t>Universidade Federal de Sergipe</t>
        </is>
      </c>
      <c r="C1663" t="inlineStr">
        <is>
          <t>BR</t>
        </is>
      </c>
      <c r="D1663" t="inlineStr">
        <is>
          <t>Brazil</t>
        </is>
      </c>
    </row>
    <row r="1664">
      <c r="A1664" t="inlineStr">
        <is>
          <t>U1663</t>
        </is>
      </c>
      <c r="B1664" t="inlineStr">
        <is>
          <t>Universidade Federal de Uberlândia</t>
        </is>
      </c>
      <c r="C1664" t="inlineStr">
        <is>
          <t>BR</t>
        </is>
      </c>
      <c r="D1664" t="inlineStr">
        <is>
          <t>Brazil</t>
        </is>
      </c>
    </row>
    <row r="1665">
      <c r="A1665" t="inlineStr">
        <is>
          <t>U1664</t>
        </is>
      </c>
      <c r="B1665" t="inlineStr">
        <is>
          <t>Universidade Federal de Viçosa (UFV)</t>
        </is>
      </c>
      <c r="C1665" t="inlineStr">
        <is>
          <t>BR</t>
        </is>
      </c>
      <c r="D1665" t="inlineStr">
        <is>
          <t>Brazil</t>
        </is>
      </c>
    </row>
    <row r="1666">
      <c r="A1666" t="inlineStr">
        <is>
          <t>U1665</t>
        </is>
      </c>
      <c r="B1666" t="inlineStr">
        <is>
          <t>Universidade Federal do ABC (UFABC)</t>
        </is>
      </c>
      <c r="C1666" t="inlineStr">
        <is>
          <t>BR</t>
        </is>
      </c>
      <c r="D1666" t="inlineStr">
        <is>
          <t>Brazil</t>
        </is>
      </c>
    </row>
    <row r="1667">
      <c r="A1667" t="inlineStr">
        <is>
          <t>U1666</t>
        </is>
      </c>
      <c r="B1667" t="inlineStr">
        <is>
          <t>Universidade Federal do Ceará (UFC)</t>
        </is>
      </c>
      <c r="C1667" t="inlineStr">
        <is>
          <t>BR</t>
        </is>
      </c>
      <c r="D1667" t="inlineStr">
        <is>
          <t>Brazil</t>
        </is>
      </c>
    </row>
    <row r="1668">
      <c r="A1668" t="inlineStr">
        <is>
          <t>U1667</t>
        </is>
      </c>
      <c r="B1668" t="inlineStr">
        <is>
          <t>Universidade Federal do Estado do Rio de Janeiro - UNIRIO</t>
        </is>
      </c>
      <c r="C1668" t="inlineStr">
        <is>
          <t>BR</t>
        </is>
      </c>
      <c r="D1668" t="inlineStr">
        <is>
          <t>Brazil</t>
        </is>
      </c>
    </row>
    <row r="1669">
      <c r="A1669" t="inlineStr">
        <is>
          <t>U1668</t>
        </is>
      </c>
      <c r="B1669" t="inlineStr">
        <is>
          <t>Universidade Federal do Maranhão (UFMA)</t>
        </is>
      </c>
      <c r="C1669" t="inlineStr">
        <is>
          <t>BR</t>
        </is>
      </c>
      <c r="D1669" t="inlineStr">
        <is>
          <t>Brazil</t>
        </is>
      </c>
    </row>
    <row r="1670">
      <c r="A1670" t="inlineStr">
        <is>
          <t>U1669</t>
        </is>
      </c>
      <c r="B1670" t="inlineStr">
        <is>
          <t>Universidade Federal do Parà - UFPA</t>
        </is>
      </c>
      <c r="C1670" t="inlineStr">
        <is>
          <t>BR</t>
        </is>
      </c>
      <c r="D1670" t="inlineStr">
        <is>
          <t>Brazil</t>
        </is>
      </c>
    </row>
    <row r="1671">
      <c r="A1671" t="inlineStr">
        <is>
          <t>U1670</t>
        </is>
      </c>
      <c r="B1671" t="inlineStr">
        <is>
          <t>Universidade Federal do Paraná (UFPR)</t>
        </is>
      </c>
      <c r="C1671" t="inlineStr">
        <is>
          <t>BR</t>
        </is>
      </c>
      <c r="D1671" t="inlineStr">
        <is>
          <t>Brazil</t>
        </is>
      </c>
    </row>
    <row r="1672">
      <c r="A1672" t="inlineStr">
        <is>
          <t>U1671</t>
        </is>
      </c>
      <c r="B1672" t="inlineStr">
        <is>
          <t>Universidade Federal do Paraná - UFPR</t>
        </is>
      </c>
      <c r="C1672" t="inlineStr">
        <is>
          <t>BR</t>
        </is>
      </c>
      <c r="D1672" t="inlineStr">
        <is>
          <t>Brazil</t>
        </is>
      </c>
    </row>
    <row r="1673">
      <c r="A1673" t="inlineStr">
        <is>
          <t>U1672</t>
        </is>
      </c>
      <c r="B1673" t="inlineStr">
        <is>
          <t>Universidade Federal do Rio de Janeiro</t>
        </is>
      </c>
      <c r="C1673" t="inlineStr">
        <is>
          <t>BR</t>
        </is>
      </c>
      <c r="D1673" t="inlineStr">
        <is>
          <t>Brazil</t>
        </is>
      </c>
    </row>
    <row r="1674">
      <c r="A1674" t="inlineStr">
        <is>
          <t>U1673</t>
        </is>
      </c>
      <c r="B1674" t="inlineStr">
        <is>
          <t>Universidade Federal do Rio Grande Do Norte</t>
        </is>
      </c>
      <c r="C1674" t="inlineStr">
        <is>
          <t>BR</t>
        </is>
      </c>
      <c r="D1674" t="inlineStr">
        <is>
          <t>Brazil</t>
        </is>
      </c>
    </row>
    <row r="1675">
      <c r="A1675" t="inlineStr">
        <is>
          <t>U1674</t>
        </is>
      </c>
      <c r="B1675" t="inlineStr">
        <is>
          <t xml:space="preserve">Universidade Federal do Rio Grande Do Sul </t>
        </is>
      </c>
      <c r="C1675" t="inlineStr">
        <is>
          <t>BR</t>
        </is>
      </c>
      <c r="D1675" t="inlineStr">
        <is>
          <t>Brazil</t>
        </is>
      </c>
    </row>
    <row r="1676">
      <c r="A1676" t="inlineStr">
        <is>
          <t>U1675</t>
        </is>
      </c>
      <c r="B1676" t="inlineStr">
        <is>
          <t xml:space="preserve">Universidade Federal Fluminense </t>
        </is>
      </c>
      <c r="C1676" t="inlineStr">
        <is>
          <t>BR</t>
        </is>
      </c>
      <c r="D1676" t="inlineStr">
        <is>
          <t>Brazil</t>
        </is>
      </c>
    </row>
    <row r="1677">
      <c r="A1677" t="inlineStr">
        <is>
          <t>U1676</t>
        </is>
      </c>
      <c r="B1677" t="inlineStr">
        <is>
          <t>Universidade Federal Rural do Semi-Arido</t>
        </is>
      </c>
      <c r="C1677" t="inlineStr">
        <is>
          <t>BR</t>
        </is>
      </c>
      <c r="D1677" t="inlineStr">
        <is>
          <t>Brazil</t>
        </is>
      </c>
    </row>
    <row r="1678">
      <c r="A1678" t="inlineStr">
        <is>
          <t>U1677</t>
        </is>
      </c>
      <c r="B1678" t="inlineStr">
        <is>
          <t>Universidade Lusófona</t>
        </is>
      </c>
      <c r="C1678" t="inlineStr">
        <is>
          <t>PO</t>
        </is>
      </c>
      <c r="D1678" t="inlineStr">
        <is>
          <t>Portugal</t>
        </is>
      </c>
    </row>
    <row r="1679">
      <c r="A1679" t="inlineStr">
        <is>
          <t>U1678</t>
        </is>
      </c>
      <c r="B1679" t="inlineStr">
        <is>
          <t>Universidade Nova de Lisboa</t>
        </is>
      </c>
      <c r="C1679" t="inlineStr">
        <is>
          <t>PO</t>
        </is>
      </c>
      <c r="D1679" t="inlineStr">
        <is>
          <t>Portugal</t>
        </is>
      </c>
    </row>
    <row r="1680">
      <c r="A1680" t="inlineStr">
        <is>
          <t>U1679</t>
        </is>
      </c>
      <c r="B1680" t="inlineStr">
        <is>
          <t>Universidade Nove de Julho (Uninove)</t>
        </is>
      </c>
      <c r="C1680" t="inlineStr">
        <is>
          <t>BR</t>
        </is>
      </c>
      <c r="D1680" t="inlineStr">
        <is>
          <t>Brazil</t>
        </is>
      </c>
    </row>
    <row r="1681">
      <c r="A1681" t="inlineStr">
        <is>
          <t>U1680</t>
        </is>
      </c>
      <c r="B1681" t="inlineStr">
        <is>
          <t>Universidade Presbiteriana Mackenzie</t>
        </is>
      </c>
      <c r="C1681" t="inlineStr">
        <is>
          <t>BR</t>
        </is>
      </c>
      <c r="D1681" t="inlineStr">
        <is>
          <t>Brazil</t>
        </is>
      </c>
    </row>
    <row r="1682">
      <c r="A1682" t="inlineStr">
        <is>
          <t>U1681</t>
        </is>
      </c>
      <c r="B1682" t="inlineStr">
        <is>
          <t>Universidade Tecnológica Federal do Paraná (UTFPR)</t>
        </is>
      </c>
      <c r="C1682" t="inlineStr">
        <is>
          <t>BR</t>
        </is>
      </c>
      <c r="D1682" t="inlineStr">
        <is>
          <t>Brazil</t>
        </is>
      </c>
    </row>
    <row r="1683">
      <c r="A1683" t="inlineStr">
        <is>
          <t>U1682</t>
        </is>
      </c>
      <c r="B1683" t="inlineStr">
        <is>
          <t>Université 8 Mai 1945 Guelma</t>
        </is>
      </c>
      <c r="C1683" t="inlineStr">
        <is>
          <t>AL</t>
        </is>
      </c>
      <c r="D1683" t="inlineStr">
        <is>
          <t>Algeria</t>
        </is>
      </c>
    </row>
    <row r="1684">
      <c r="A1684" t="inlineStr">
        <is>
          <t>U1683</t>
        </is>
      </c>
      <c r="B1684" t="inlineStr">
        <is>
          <t>Université Côte d\'Azur</t>
        </is>
      </c>
      <c r="C1684" t="inlineStr">
        <is>
          <t>FR</t>
        </is>
      </c>
      <c r="D1684" t="inlineStr">
        <is>
          <t>France</t>
        </is>
      </c>
    </row>
    <row r="1685">
      <c r="A1685" t="inlineStr">
        <is>
          <t>U1684</t>
        </is>
      </c>
      <c r="B1685" t="inlineStr">
        <is>
          <t>Université catholique de Louvain (UCLouvain)</t>
        </is>
      </c>
      <c r="C1685" t="inlineStr">
        <is>
          <t>BE</t>
        </is>
      </c>
      <c r="D1685" t="inlineStr">
        <is>
          <t>Belgium</t>
        </is>
      </c>
    </row>
    <row r="1686">
      <c r="A1686" t="inlineStr">
        <is>
          <t>U1685</t>
        </is>
      </c>
      <c r="B1686" t="inlineStr">
        <is>
          <t>Università Cattolica del Sacro Cuore</t>
        </is>
      </c>
      <c r="C1686" t="inlineStr">
        <is>
          <t>IT</t>
        </is>
      </c>
      <c r="D1686" t="inlineStr">
        <is>
          <t>Italy</t>
        </is>
      </c>
    </row>
    <row r="1687">
      <c r="A1687" t="inlineStr">
        <is>
          <t>U1686</t>
        </is>
      </c>
      <c r="B1687" t="inlineStr">
        <is>
          <t>Université Chouaïb Doukkali</t>
        </is>
      </c>
      <c r="C1687" t="inlineStr">
        <is>
          <t>MO</t>
        </is>
      </c>
      <c r="D1687" t="inlineStr">
        <is>
          <t>Morocco</t>
        </is>
      </c>
    </row>
    <row r="1688">
      <c r="A1688" t="inlineStr">
        <is>
          <t>U1687</t>
        </is>
      </c>
      <c r="B1688" t="inlineStr">
        <is>
          <t>Université Claude Bernard Lyon 1</t>
        </is>
      </c>
      <c r="C1688" t="inlineStr">
        <is>
          <t>FR</t>
        </is>
      </c>
      <c r="D1688" t="inlineStr">
        <is>
          <t>France</t>
        </is>
      </c>
    </row>
    <row r="1689">
      <c r="A1689" t="inlineStr">
        <is>
          <t>U1688</t>
        </is>
      </c>
      <c r="B1689" t="inlineStr">
        <is>
          <t>Université de Bretagne Occidentale</t>
        </is>
      </c>
      <c r="C1689" t="inlineStr">
        <is>
          <t>FR</t>
        </is>
      </c>
      <c r="D1689" t="inlineStr">
        <is>
          <t>France</t>
        </is>
      </c>
    </row>
    <row r="1690">
      <c r="A1690" t="inlineStr">
        <is>
          <t>U1689</t>
        </is>
      </c>
      <c r="B1690" t="inlineStr">
        <is>
          <t>Université de Caen Normandie</t>
        </is>
      </c>
      <c r="C1690" t="inlineStr">
        <is>
          <t>FR</t>
        </is>
      </c>
      <c r="D1690" t="inlineStr">
        <is>
          <t>France</t>
        </is>
      </c>
    </row>
    <row r="1691">
      <c r="A1691" t="inlineStr">
        <is>
          <t>U1690</t>
        </is>
      </c>
      <c r="B1691" t="inlineStr">
        <is>
          <t>Université de Franche-Comté</t>
        </is>
      </c>
      <c r="C1691" t="inlineStr">
        <is>
          <t>FR</t>
        </is>
      </c>
      <c r="D1691" t="inlineStr">
        <is>
          <t>France</t>
        </is>
      </c>
    </row>
    <row r="1692">
      <c r="A1692" t="inlineStr">
        <is>
          <t>U1691</t>
        </is>
      </c>
      <c r="B1692" t="inlineStr">
        <is>
          <t>Université de Fribourg</t>
        </is>
      </c>
      <c r="C1692" t="inlineStr">
        <is>
          <t>SW</t>
        </is>
      </c>
      <c r="D1692" t="inlineStr">
        <is>
          <t>Switzerland</t>
        </is>
      </c>
    </row>
    <row r="1693">
      <c r="A1693" t="inlineStr">
        <is>
          <t>U1692</t>
        </is>
      </c>
      <c r="B1693" t="inlineStr">
        <is>
          <t>Université de Gabès</t>
        </is>
      </c>
      <c r="C1693" t="inlineStr">
        <is>
          <t>TU</t>
        </is>
      </c>
      <c r="D1693" t="inlineStr">
        <is>
          <t>Tunisia</t>
        </is>
      </c>
    </row>
    <row r="1694">
      <c r="A1694" t="inlineStr">
        <is>
          <t>U1693</t>
        </is>
      </c>
      <c r="B1694" t="inlineStr">
        <is>
          <t>Université de Liège</t>
        </is>
      </c>
      <c r="C1694" t="inlineStr">
        <is>
          <t>BE</t>
        </is>
      </c>
      <c r="D1694" t="inlineStr">
        <is>
          <t>Belgium</t>
        </is>
      </c>
    </row>
    <row r="1695">
      <c r="A1695" t="inlineStr">
        <is>
          <t>U1694</t>
        </is>
      </c>
      <c r="B1695" t="inlineStr">
        <is>
          <t>Université de Lille</t>
        </is>
      </c>
      <c r="C1695" t="inlineStr">
        <is>
          <t>FR</t>
        </is>
      </c>
      <c r="D1695" t="inlineStr">
        <is>
          <t>France</t>
        </is>
      </c>
    </row>
    <row r="1696">
      <c r="A1696" t="inlineStr">
        <is>
          <t>U1695</t>
        </is>
      </c>
      <c r="B1696" t="inlineStr">
        <is>
          <t>Université de Limoges</t>
        </is>
      </c>
      <c r="C1696" t="inlineStr">
        <is>
          <t>FR</t>
        </is>
      </c>
      <c r="D1696" t="inlineStr">
        <is>
          <t>France</t>
        </is>
      </c>
    </row>
    <row r="1697">
      <c r="A1697" t="inlineStr">
        <is>
          <t>U1696</t>
        </is>
      </c>
      <c r="B1697" t="inlineStr">
        <is>
          <t>Université de Lorraine</t>
        </is>
      </c>
      <c r="C1697" t="inlineStr">
        <is>
          <t>FR</t>
        </is>
      </c>
      <c r="D1697" t="inlineStr">
        <is>
          <t>France</t>
        </is>
      </c>
    </row>
    <row r="1698">
      <c r="A1698" t="inlineStr">
        <is>
          <t>U1697</t>
        </is>
      </c>
      <c r="B1698" t="inlineStr">
        <is>
          <t>Université de Montpellier</t>
        </is>
      </c>
      <c r="C1698" t="inlineStr">
        <is>
          <t>FR</t>
        </is>
      </c>
      <c r="D1698" t="inlineStr">
        <is>
          <t>France</t>
        </is>
      </c>
    </row>
    <row r="1699">
      <c r="A1699" t="inlineStr">
        <is>
          <t>U1698</t>
        </is>
      </c>
      <c r="B1699" t="inlineStr">
        <is>
          <t xml:space="preserve">Université de Montréal </t>
        </is>
      </c>
      <c r="C1699" t="inlineStr">
        <is>
          <t>CA</t>
        </is>
      </c>
      <c r="D1699" t="inlineStr">
        <is>
          <t>Canada</t>
        </is>
      </c>
    </row>
    <row r="1700">
      <c r="A1700" t="inlineStr">
        <is>
          <t>U1699</t>
        </is>
      </c>
      <c r="B1700" t="inlineStr">
        <is>
          <t>Université de Nantes</t>
        </is>
      </c>
      <c r="C1700" t="inlineStr">
        <is>
          <t>FR</t>
        </is>
      </c>
      <c r="D1700" t="inlineStr">
        <is>
          <t>France</t>
        </is>
      </c>
    </row>
    <row r="1701">
      <c r="A1701" t="inlineStr">
        <is>
          <t>U1700</t>
        </is>
      </c>
      <c r="B1701" t="inlineStr">
        <is>
          <t>Université de Poitiers</t>
        </is>
      </c>
      <c r="C1701" t="inlineStr">
        <is>
          <t>FR</t>
        </is>
      </c>
      <c r="D1701" t="inlineStr">
        <is>
          <t>France</t>
        </is>
      </c>
    </row>
    <row r="1702">
      <c r="A1702" t="inlineStr">
        <is>
          <t>U1701</t>
        </is>
      </c>
      <c r="B1702" t="inlineStr">
        <is>
          <t>Université de Rennes 1 (University of Rennes)</t>
        </is>
      </c>
      <c r="C1702" t="inlineStr">
        <is>
          <t>FR</t>
        </is>
      </c>
      <c r="D1702" t="inlineStr">
        <is>
          <t>France</t>
        </is>
      </c>
    </row>
    <row r="1703">
      <c r="A1703" t="inlineStr">
        <is>
          <t>U1702</t>
        </is>
      </c>
      <c r="B1703" t="inlineStr">
        <is>
          <t>Université de Sfax</t>
        </is>
      </c>
      <c r="C1703" t="inlineStr">
        <is>
          <t>TU</t>
        </is>
      </c>
      <c r="D1703" t="inlineStr">
        <is>
          <t>Tunisia</t>
        </is>
      </c>
    </row>
    <row r="1704">
      <c r="A1704" t="inlineStr">
        <is>
          <t>U1703</t>
        </is>
      </c>
      <c r="B1704" t="inlineStr">
        <is>
          <t>Université de Sherbrooke</t>
        </is>
      </c>
      <c r="C1704" t="inlineStr">
        <is>
          <t>CA</t>
        </is>
      </c>
      <c r="D1704" t="inlineStr">
        <is>
          <t>Canada</t>
        </is>
      </c>
    </row>
    <row r="1705">
      <c r="A1705" t="inlineStr">
        <is>
          <t>U1704</t>
        </is>
      </c>
      <c r="B1705" t="inlineStr">
        <is>
          <t>Université de Skikda</t>
        </is>
      </c>
      <c r="C1705" t="inlineStr">
        <is>
          <t>AL</t>
        </is>
      </c>
      <c r="D1705" t="inlineStr">
        <is>
          <t>Algeria</t>
        </is>
      </c>
    </row>
    <row r="1706">
      <c r="A1706" t="inlineStr">
        <is>
          <t>U1705</t>
        </is>
      </c>
      <c r="B1706" t="inlineStr">
        <is>
          <t>Université de Sousse</t>
        </is>
      </c>
      <c r="C1706" t="inlineStr">
        <is>
          <t>TU</t>
        </is>
      </c>
      <c r="D1706" t="inlineStr">
        <is>
          <t>Tunisia</t>
        </is>
      </c>
    </row>
    <row r="1707">
      <c r="A1707" t="inlineStr">
        <is>
          <t>U1706</t>
        </is>
      </c>
      <c r="B1707" t="inlineStr">
        <is>
          <t>Université de Strasbourg</t>
        </is>
      </c>
      <c r="C1707" t="inlineStr">
        <is>
          <t>FR</t>
        </is>
      </c>
      <c r="D1707" t="inlineStr">
        <is>
          <t>France</t>
        </is>
      </c>
    </row>
    <row r="1708">
      <c r="A1708" t="inlineStr">
        <is>
          <t>U1707</t>
        </is>
      </c>
      <c r="B1708" t="inlineStr">
        <is>
          <t>Université de Toulouse II-Le Mirail</t>
        </is>
      </c>
      <c r="C1708" t="inlineStr">
        <is>
          <t>FR</t>
        </is>
      </c>
      <c r="D1708" t="inlineStr">
        <is>
          <t>France</t>
        </is>
      </c>
    </row>
    <row r="1709">
      <c r="A1709" t="inlineStr">
        <is>
          <t>U1708</t>
        </is>
      </c>
      <c r="B1709" t="inlineStr">
        <is>
          <t>Université de Tunis</t>
        </is>
      </c>
      <c r="C1709" t="inlineStr">
        <is>
          <t>TU</t>
        </is>
      </c>
      <c r="D1709" t="inlineStr">
        <is>
          <t>Tunisia</t>
        </is>
      </c>
    </row>
    <row r="1710">
      <c r="A1710" t="inlineStr">
        <is>
          <t>U1709</t>
        </is>
      </c>
      <c r="B1710" t="inlineStr">
        <is>
          <t>Université de Tunis El Manar</t>
        </is>
      </c>
      <c r="C1710" t="inlineStr">
        <is>
          <t>TU</t>
        </is>
      </c>
      <c r="D1710" t="inlineStr">
        <is>
          <t>Tunisia</t>
        </is>
      </c>
    </row>
    <row r="1711">
      <c r="A1711" t="inlineStr">
        <is>
          <t>U1710</t>
        </is>
      </c>
      <c r="B1711" t="inlineStr">
        <is>
          <t>Università degli Studi della Tuscia (University of Tuscia)</t>
        </is>
      </c>
      <c r="C1711" t="inlineStr">
        <is>
          <t>IT</t>
        </is>
      </c>
      <c r="D1711" t="inlineStr">
        <is>
          <t>Italy</t>
        </is>
      </c>
    </row>
    <row r="1712">
      <c r="A1712" t="inlineStr">
        <is>
          <t>U1711</t>
        </is>
      </c>
      <c r="B1712" t="inlineStr">
        <is>
          <t>Università degli studi di Bergamo</t>
        </is>
      </c>
      <c r="C1712" t="inlineStr">
        <is>
          <t>IT</t>
        </is>
      </c>
      <c r="D1712" t="inlineStr">
        <is>
          <t>Italy</t>
        </is>
      </c>
    </row>
    <row r="1713">
      <c r="A1713" t="inlineStr">
        <is>
          <t>U1712</t>
        </is>
      </c>
      <c r="B1713" t="inlineStr">
        <is>
          <t>Università degli Studi di Pavia</t>
        </is>
      </c>
      <c r="C1713" t="inlineStr">
        <is>
          <t>IT</t>
        </is>
      </c>
      <c r="D1713" t="inlineStr">
        <is>
          <t>Italy</t>
        </is>
      </c>
    </row>
    <row r="1714">
      <c r="A1714" t="inlineStr">
        <is>
          <t>U1713</t>
        </is>
      </c>
      <c r="B1714" t="inlineStr">
        <is>
          <t>Università degli Studi di Perugia</t>
        </is>
      </c>
      <c r="C1714" t="inlineStr">
        <is>
          <t>IT</t>
        </is>
      </c>
      <c r="D1714" t="inlineStr">
        <is>
          <t>Italy</t>
        </is>
      </c>
    </row>
    <row r="1715">
      <c r="A1715" t="inlineStr">
        <is>
          <t>U1714</t>
        </is>
      </c>
      <c r="B1715" t="inlineStr">
        <is>
          <t>Università degli Studi di Udine</t>
        </is>
      </c>
      <c r="C1715" t="inlineStr">
        <is>
          <t>IT</t>
        </is>
      </c>
      <c r="D1715" t="inlineStr">
        <is>
          <t>Italy</t>
        </is>
      </c>
    </row>
    <row r="1716">
      <c r="A1716" t="inlineStr">
        <is>
          <t>U1715</t>
        </is>
      </c>
      <c r="B1716" t="inlineStr">
        <is>
          <t>Università degli studi Roma Tre</t>
        </is>
      </c>
      <c r="C1716" t="inlineStr">
        <is>
          <t>IT</t>
        </is>
      </c>
      <c r="D1716" t="inlineStr">
        <is>
          <t>Italy</t>
        </is>
      </c>
    </row>
    <row r="1717">
      <c r="A1717" t="inlineStr">
        <is>
          <t>U1716</t>
        </is>
      </c>
      <c r="B1717" t="inlineStr">
        <is>
          <t>Università del Salento</t>
        </is>
      </c>
      <c r="C1717" t="inlineStr">
        <is>
          <t>IT</t>
        </is>
      </c>
      <c r="D1717" t="inlineStr">
        <is>
          <t>Italy</t>
        </is>
      </c>
    </row>
    <row r="1718">
      <c r="A1718" t="inlineStr">
        <is>
          <t>U1717</t>
        </is>
      </c>
      <c r="B1718" t="inlineStr">
        <is>
          <t>Università della Svizzera italiana</t>
        </is>
      </c>
      <c r="C1718" t="inlineStr">
        <is>
          <t>SW</t>
        </is>
      </c>
      <c r="D1718" t="inlineStr">
        <is>
          <t>Switzerland</t>
        </is>
      </c>
    </row>
    <row r="1719">
      <c r="A1719" t="inlineStr">
        <is>
          <t>U1718</t>
        </is>
      </c>
      <c r="B1719" t="inlineStr">
        <is>
          <t>Università di Padova</t>
        </is>
      </c>
      <c r="C1719" t="inlineStr">
        <is>
          <t>IT</t>
        </is>
      </c>
      <c r="D1719" t="inlineStr">
        <is>
          <t>Italy</t>
        </is>
      </c>
    </row>
    <row r="1720">
      <c r="A1720" t="inlineStr">
        <is>
          <t>U1719</t>
        </is>
      </c>
      <c r="B1720" t="inlineStr">
        <is>
          <t>Université Djillali Liabès de Sidi Bel-Abbès</t>
        </is>
      </c>
      <c r="C1720" t="inlineStr">
        <is>
          <t>AL</t>
        </is>
      </c>
      <c r="D1720" t="inlineStr">
        <is>
          <t>Algeria</t>
        </is>
      </c>
    </row>
    <row r="1721">
      <c r="A1721" t="inlineStr">
        <is>
          <t>U1720</t>
        </is>
      </c>
      <c r="B1721" t="inlineStr">
        <is>
          <t>Université du Québec</t>
        </is>
      </c>
      <c r="C1721" t="inlineStr">
        <is>
          <t>CA</t>
        </is>
      </c>
      <c r="D1721" t="inlineStr">
        <is>
          <t>Canada</t>
        </is>
      </c>
    </row>
    <row r="1722">
      <c r="A1722" t="inlineStr">
        <is>
          <t>U1721</t>
        </is>
      </c>
      <c r="B1722" t="inlineStr">
        <is>
          <t>Université Frères Mentouri Constantine 1</t>
        </is>
      </c>
      <c r="C1722" t="inlineStr">
        <is>
          <t>AL</t>
        </is>
      </c>
      <c r="D1722" t="inlineStr">
        <is>
          <t>Algeria</t>
        </is>
      </c>
    </row>
    <row r="1723">
      <c r="A1723" t="inlineStr">
        <is>
          <t>U1722</t>
        </is>
      </c>
      <c r="B1723" t="inlineStr">
        <is>
          <t>Université Grenoble Alpes</t>
        </is>
      </c>
      <c r="C1723" t="inlineStr">
        <is>
          <t>FR</t>
        </is>
      </c>
      <c r="D1723" t="inlineStr">
        <is>
          <t>France</t>
        </is>
      </c>
    </row>
    <row r="1724">
      <c r="A1724" t="inlineStr">
        <is>
          <t>U1723</t>
        </is>
      </c>
      <c r="B1724" t="inlineStr">
        <is>
          <t>Université Hassan 1er</t>
        </is>
      </c>
      <c r="C1724" t="inlineStr">
        <is>
          <t>MO</t>
        </is>
      </c>
      <c r="D1724" t="inlineStr">
        <is>
          <t>Morocco</t>
        </is>
      </c>
    </row>
    <row r="1725">
      <c r="A1725" t="inlineStr">
        <is>
          <t>U1724</t>
        </is>
      </c>
      <c r="B1725" t="inlineStr">
        <is>
          <t>Université Hassan II de Casablanca</t>
        </is>
      </c>
      <c r="C1725" t="inlineStr">
        <is>
          <t>MO</t>
        </is>
      </c>
      <c r="D1725" t="inlineStr">
        <is>
          <t>Morocco</t>
        </is>
      </c>
    </row>
    <row r="1726">
      <c r="A1726" t="inlineStr">
        <is>
          <t>U1725</t>
        </is>
      </c>
      <c r="B1726" t="inlineStr">
        <is>
          <t>Université Jean Moulin Lyon 3</t>
        </is>
      </c>
      <c r="C1726" t="inlineStr">
        <is>
          <t>FR</t>
        </is>
      </c>
      <c r="D1726" t="inlineStr">
        <is>
          <t>France</t>
        </is>
      </c>
    </row>
    <row r="1727">
      <c r="A1727" t="inlineStr">
        <is>
          <t>U1726</t>
        </is>
      </c>
      <c r="B1727" t="inlineStr">
        <is>
          <t>Université Kasdi Merbah Ouargla</t>
        </is>
      </c>
      <c r="C1727" t="inlineStr">
        <is>
          <t>AL</t>
        </is>
      </c>
      <c r="D1727" t="inlineStr">
        <is>
          <t>Algeria</t>
        </is>
      </c>
    </row>
    <row r="1728">
      <c r="A1728" t="inlineStr">
        <is>
          <t>U1727</t>
        </is>
      </c>
      <c r="B1728" t="inlineStr">
        <is>
          <t>Université Laval</t>
        </is>
      </c>
      <c r="C1728" t="inlineStr">
        <is>
          <t>CA</t>
        </is>
      </c>
      <c r="D1728" t="inlineStr">
        <is>
          <t>Canada</t>
        </is>
      </c>
    </row>
    <row r="1729">
      <c r="A1729" t="inlineStr">
        <is>
          <t>U1728</t>
        </is>
      </c>
      <c r="B1729" t="inlineStr">
        <is>
          <t>Université Libre de Bruxelles</t>
        </is>
      </c>
      <c r="C1729" t="inlineStr">
        <is>
          <t>BE</t>
        </is>
      </c>
      <c r="D1729" t="inlineStr">
        <is>
          <t>Belgium</t>
        </is>
      </c>
    </row>
    <row r="1730">
      <c r="A1730" t="inlineStr">
        <is>
          <t>U1729</t>
        </is>
      </c>
      <c r="B1730" t="inlineStr">
        <is>
          <t>Université Lumière Lyon 2</t>
        </is>
      </c>
      <c r="C1730" t="inlineStr">
        <is>
          <t>FR</t>
        </is>
      </c>
      <c r="D1730" t="inlineStr">
        <is>
          <t>France</t>
        </is>
      </c>
    </row>
    <row r="1731">
      <c r="A1731" t="inlineStr">
        <is>
          <t>U1730</t>
        </is>
      </c>
      <c r="B1731" t="inlineStr">
        <is>
          <t>Université Mohammed Premier</t>
        </is>
      </c>
      <c r="C1731" t="inlineStr">
        <is>
          <t>MO</t>
        </is>
      </c>
      <c r="D1731" t="inlineStr">
        <is>
          <t>Morocco</t>
        </is>
      </c>
    </row>
    <row r="1732">
      <c r="A1732" t="inlineStr">
        <is>
          <t>U1731</t>
        </is>
      </c>
      <c r="B1732" t="inlineStr">
        <is>
          <t>Université Mohammed V de Rabat</t>
        </is>
      </c>
      <c r="C1732" t="inlineStr">
        <is>
          <t>MO</t>
        </is>
      </c>
      <c r="D1732" t="inlineStr">
        <is>
          <t>Morocco</t>
        </is>
      </c>
    </row>
    <row r="1733">
      <c r="A1733" t="inlineStr">
        <is>
          <t>U1732</t>
        </is>
      </c>
      <c r="B1733" t="inlineStr">
        <is>
          <t>Université Mouloud Mammeri de Tizi-Ouzou</t>
        </is>
      </c>
      <c r="C1733" t="inlineStr">
        <is>
          <t>AL</t>
        </is>
      </c>
      <c r="D1733" t="inlineStr">
        <is>
          <t>Algeria</t>
        </is>
      </c>
    </row>
    <row r="1734">
      <c r="A1734" t="inlineStr">
        <is>
          <t>U1733</t>
        </is>
      </c>
      <c r="B1734" t="inlineStr">
        <is>
          <t xml:space="preserve">Université Paris 1 Panthéon-Sorbonne </t>
        </is>
      </c>
      <c r="C1734" t="inlineStr">
        <is>
          <t>FR</t>
        </is>
      </c>
      <c r="D1734" t="inlineStr">
        <is>
          <t>France</t>
        </is>
      </c>
    </row>
    <row r="1735">
      <c r="A1735" t="inlineStr">
        <is>
          <t>U1734</t>
        </is>
      </c>
      <c r="B1735" t="inlineStr">
        <is>
          <t>Université Paris Cité</t>
        </is>
      </c>
      <c r="C1735" t="inlineStr">
        <is>
          <t>FR</t>
        </is>
      </c>
      <c r="D1735" t="inlineStr">
        <is>
          <t>France</t>
        </is>
      </c>
    </row>
    <row r="1736">
      <c r="A1736" t="inlineStr">
        <is>
          <t>U1735</t>
        </is>
      </c>
      <c r="B1736" t="inlineStr">
        <is>
          <t>Université Paris-Nanterre</t>
        </is>
      </c>
      <c r="C1736" t="inlineStr">
        <is>
          <t>FR</t>
        </is>
      </c>
      <c r="D1736" t="inlineStr">
        <is>
          <t>France</t>
        </is>
      </c>
    </row>
    <row r="1737">
      <c r="A1737" t="inlineStr">
        <is>
          <t>U1736</t>
        </is>
      </c>
      <c r="B1737" t="inlineStr">
        <is>
          <t>Université Paris-Saclay</t>
        </is>
      </c>
      <c r="C1737" t="inlineStr">
        <is>
          <t>FR</t>
        </is>
      </c>
      <c r="D1737" t="inlineStr">
        <is>
          <t>France</t>
        </is>
      </c>
    </row>
    <row r="1738">
      <c r="A1738" t="inlineStr">
        <is>
          <t>U1737</t>
        </is>
      </c>
      <c r="B1738" t="inlineStr">
        <is>
          <t>Université Paul Sabatier Toulouse III</t>
        </is>
      </c>
      <c r="C1738" t="inlineStr">
        <is>
          <t>FR</t>
        </is>
      </c>
      <c r="D1738" t="inlineStr">
        <is>
          <t>France</t>
        </is>
      </c>
    </row>
    <row r="1739">
      <c r="A1739" t="inlineStr">
        <is>
          <t>U1738</t>
        </is>
      </c>
      <c r="B1739" t="inlineStr">
        <is>
          <t>Université Polytechnique Hauts-de-France</t>
        </is>
      </c>
      <c r="C1739" t="inlineStr">
        <is>
          <t>FR</t>
        </is>
      </c>
      <c r="D1739" t="inlineStr">
        <is>
          <t>France</t>
        </is>
      </c>
    </row>
    <row r="1740">
      <c r="A1740" t="inlineStr">
        <is>
          <t>U1739</t>
        </is>
      </c>
      <c r="B1740" t="inlineStr">
        <is>
          <t>Université PSL</t>
        </is>
      </c>
      <c r="C1740" t="inlineStr">
        <is>
          <t>FR</t>
        </is>
      </c>
      <c r="D1740" t="inlineStr">
        <is>
          <t>France</t>
        </is>
      </c>
    </row>
    <row r="1741">
      <c r="A1741" t="inlineStr">
        <is>
          <t>U1740</t>
        </is>
      </c>
      <c r="B1741" t="inlineStr">
        <is>
          <t>Université Saint-Joseph de Beyrouth</t>
        </is>
      </c>
      <c r="C1741" t="inlineStr">
        <is>
          <t>LE</t>
        </is>
      </c>
      <c r="D1741" t="inlineStr">
        <is>
          <t>Lebanon</t>
        </is>
      </c>
    </row>
    <row r="1742">
      <c r="A1742" t="inlineStr">
        <is>
          <t>U1741</t>
        </is>
      </c>
      <c r="B1742" t="inlineStr">
        <is>
          <t>Université Sorbonne Nouvelle</t>
        </is>
      </c>
      <c r="C1742" t="inlineStr">
        <is>
          <t>FR</t>
        </is>
      </c>
      <c r="D1742" t="inlineStr">
        <is>
          <t>France</t>
        </is>
      </c>
    </row>
    <row r="1743">
      <c r="A1743" t="inlineStr">
        <is>
          <t>U1742</t>
        </is>
      </c>
      <c r="B1743" t="inlineStr">
        <is>
          <t>Université Sorbonne Paris Nord</t>
        </is>
      </c>
      <c r="C1743" t="inlineStr">
        <is>
          <t>FR</t>
        </is>
      </c>
      <c r="D1743" t="inlineStr">
        <is>
          <t>France</t>
        </is>
      </c>
    </row>
    <row r="1744">
      <c r="A1744" t="inlineStr">
        <is>
          <t>U1743</t>
        </is>
      </c>
      <c r="B1744" t="inlineStr">
        <is>
          <t>Université Sultan Moulay Slimane</t>
        </is>
      </c>
      <c r="C1744" t="inlineStr">
        <is>
          <t>MO</t>
        </is>
      </c>
      <c r="D1744" t="inlineStr">
        <is>
          <t>Morocco</t>
        </is>
      </c>
    </row>
    <row r="1745">
      <c r="A1745" t="inlineStr">
        <is>
          <t>U1744</t>
        </is>
      </c>
      <c r="B1745" t="inlineStr">
        <is>
          <t>Universität Bremen</t>
        </is>
      </c>
      <c r="C1745" t="inlineStr">
        <is>
          <t>GE</t>
        </is>
      </c>
      <c r="D1745" t="inlineStr">
        <is>
          <t>Germany</t>
        </is>
      </c>
    </row>
    <row r="1746">
      <c r="A1746" t="inlineStr">
        <is>
          <t>U1745</t>
        </is>
      </c>
      <c r="B1746" t="inlineStr">
        <is>
          <t>Universität des Saarlandes</t>
        </is>
      </c>
      <c r="C1746" t="inlineStr">
        <is>
          <t>GE</t>
        </is>
      </c>
      <c r="D1746" t="inlineStr">
        <is>
          <t>Germany</t>
        </is>
      </c>
    </row>
    <row r="1747">
      <c r="A1747" t="inlineStr">
        <is>
          <t>U1746</t>
        </is>
      </c>
      <c r="B1747" t="inlineStr">
        <is>
          <t>Universität Duisburg-Essen</t>
        </is>
      </c>
      <c r="C1747" t="inlineStr">
        <is>
          <t>GE</t>
        </is>
      </c>
      <c r="D1747" t="inlineStr">
        <is>
          <t>Germany</t>
        </is>
      </c>
    </row>
    <row r="1748">
      <c r="A1748" t="inlineStr">
        <is>
          <t>U1747</t>
        </is>
      </c>
      <c r="B1748" t="inlineStr">
        <is>
          <t>Universität Hamburg</t>
        </is>
      </c>
      <c r="C1748" t="inlineStr">
        <is>
          <t>GE</t>
        </is>
      </c>
      <c r="D1748" t="inlineStr">
        <is>
          <t>Germany</t>
        </is>
      </c>
    </row>
    <row r="1749">
      <c r="A1749" t="inlineStr">
        <is>
          <t>U1748</t>
        </is>
      </c>
      <c r="B1749" t="inlineStr">
        <is>
          <t>Universität Heidelberg</t>
        </is>
      </c>
      <c r="C1749" t="inlineStr">
        <is>
          <t>GE</t>
        </is>
      </c>
      <c r="D1749" t="inlineStr">
        <is>
          <t>Germany</t>
        </is>
      </c>
    </row>
    <row r="1750">
      <c r="A1750" t="inlineStr">
        <is>
          <t>U1749</t>
        </is>
      </c>
      <c r="B1750" t="inlineStr">
        <is>
          <t>Universität Innsbruck</t>
        </is>
      </c>
      <c r="C1750" t="inlineStr">
        <is>
          <t>AU</t>
        </is>
      </c>
      <c r="D1750" t="inlineStr">
        <is>
          <t>Austria</t>
        </is>
      </c>
    </row>
    <row r="1751">
      <c r="A1751" t="inlineStr">
        <is>
          <t>U1750</t>
        </is>
      </c>
      <c r="B1751" t="inlineStr">
        <is>
          <t>Universität Jena</t>
        </is>
      </c>
      <c r="C1751" t="inlineStr">
        <is>
          <t>GE</t>
        </is>
      </c>
      <c r="D1751" t="inlineStr">
        <is>
          <t>Germany</t>
        </is>
      </c>
    </row>
    <row r="1752">
      <c r="A1752" t="inlineStr">
        <is>
          <t>U1751</t>
        </is>
      </c>
      <c r="B1752" t="inlineStr">
        <is>
          <t>Universität Konstanz</t>
        </is>
      </c>
      <c r="C1752" t="inlineStr">
        <is>
          <t>GE</t>
        </is>
      </c>
      <c r="D1752" t="inlineStr">
        <is>
          <t>Germany</t>
        </is>
      </c>
    </row>
    <row r="1753">
      <c r="A1753" t="inlineStr">
        <is>
          <t>U1752</t>
        </is>
      </c>
      <c r="B1753" t="inlineStr">
        <is>
          <t>Universität Leipzig</t>
        </is>
      </c>
      <c r="C1753" t="inlineStr">
        <is>
          <t>GE</t>
        </is>
      </c>
      <c r="D1753" t="inlineStr">
        <is>
          <t>Germany</t>
        </is>
      </c>
    </row>
    <row r="1754">
      <c r="A1754" t="inlineStr">
        <is>
          <t>U1753</t>
        </is>
      </c>
      <c r="B1754" t="inlineStr">
        <is>
          <t>Universität Mannheim</t>
        </is>
      </c>
      <c r="C1754" t="inlineStr">
        <is>
          <t>GE</t>
        </is>
      </c>
      <c r="D1754" t="inlineStr">
        <is>
          <t>Germany</t>
        </is>
      </c>
    </row>
    <row r="1755">
      <c r="A1755" t="inlineStr">
        <is>
          <t>U1754</t>
        </is>
      </c>
      <c r="B1755" t="inlineStr">
        <is>
          <t>Universität Potsdam</t>
        </is>
      </c>
      <c r="C1755" t="inlineStr">
        <is>
          <t>GE</t>
        </is>
      </c>
      <c r="D1755" t="inlineStr">
        <is>
          <t>Germany</t>
        </is>
      </c>
    </row>
    <row r="1756">
      <c r="A1756" t="inlineStr">
        <is>
          <t>U1755</t>
        </is>
      </c>
      <c r="B1756" t="inlineStr">
        <is>
          <t>Universität Regensburg</t>
        </is>
      </c>
      <c r="C1756" t="inlineStr">
        <is>
          <t>GE</t>
        </is>
      </c>
      <c r="D1756" t="inlineStr">
        <is>
          <t>Germany</t>
        </is>
      </c>
    </row>
    <row r="1757">
      <c r="A1757" t="inlineStr">
        <is>
          <t>U1756</t>
        </is>
      </c>
      <c r="B1757" t="inlineStr">
        <is>
          <t>Universität Rostock</t>
        </is>
      </c>
      <c r="C1757" t="inlineStr">
        <is>
          <t>GE</t>
        </is>
      </c>
      <c r="D1757" t="inlineStr">
        <is>
          <t>Germany</t>
        </is>
      </c>
    </row>
    <row r="1758">
      <c r="A1758" t="inlineStr">
        <is>
          <t>U1757</t>
        </is>
      </c>
      <c r="B1758" t="inlineStr">
        <is>
          <t>Universität Siegen</t>
        </is>
      </c>
      <c r="C1758" t="inlineStr">
        <is>
          <t>GE</t>
        </is>
      </c>
      <c r="D1758" t="inlineStr">
        <is>
          <t>Germany</t>
        </is>
      </c>
    </row>
    <row r="1759">
      <c r="A1759" t="inlineStr">
        <is>
          <t>U1758</t>
        </is>
      </c>
      <c r="B1759" t="inlineStr">
        <is>
          <t>Universität Stuttgart</t>
        </is>
      </c>
      <c r="C1759" t="inlineStr">
        <is>
          <t>GE</t>
        </is>
      </c>
      <c r="D1759" t="inlineStr">
        <is>
          <t>Germany</t>
        </is>
      </c>
    </row>
    <row r="1760">
      <c r="A1760" t="inlineStr">
        <is>
          <t>U1759</t>
        </is>
      </c>
      <c r="B1760" t="inlineStr">
        <is>
          <t>Université Toulouse 1 Capitole</t>
        </is>
      </c>
      <c r="C1760" t="inlineStr">
        <is>
          <t>FR</t>
        </is>
      </c>
      <c r="D1760" t="inlineStr">
        <is>
          <t>France</t>
        </is>
      </c>
    </row>
    <row r="1761">
      <c r="A1761" t="inlineStr">
        <is>
          <t>U1760</t>
        </is>
      </c>
      <c r="B1761" t="inlineStr">
        <is>
          <t>Università Vita-Salute San Raffaele</t>
        </is>
      </c>
      <c r="C1761" t="inlineStr">
        <is>
          <t>IT</t>
        </is>
      </c>
      <c r="D1761" t="inlineStr">
        <is>
          <t>Italy</t>
        </is>
      </c>
    </row>
    <row r="1762">
      <c r="A1762" t="inlineStr">
        <is>
          <t>U1761</t>
        </is>
      </c>
      <c r="B1762" t="inlineStr">
        <is>
          <t>Universita' degli Studi di Ferrara</t>
        </is>
      </c>
      <c r="C1762" t="inlineStr">
        <is>
          <t>IT</t>
        </is>
      </c>
      <c r="D1762" t="inlineStr">
        <is>
          <t>Italy</t>
        </is>
      </c>
    </row>
    <row r="1763">
      <c r="A1763" t="inlineStr">
        <is>
          <t>U1762</t>
        </is>
      </c>
      <c r="B1763" t="inlineStr">
        <is>
          <t>Universita' degli Studi "G. d'Annunzio" Chieti Pescara</t>
        </is>
      </c>
      <c r="C1763" t="inlineStr">
        <is>
          <t>IT</t>
        </is>
      </c>
      <c r="D1763" t="inlineStr">
        <is>
          <t>Italy</t>
        </is>
      </c>
    </row>
    <row r="1764">
      <c r="A1764" t="inlineStr">
        <is>
          <t>U1763</t>
        </is>
      </c>
      <c r="B1764" t="inlineStr">
        <is>
          <t>Universita' Politecnica delle Marche</t>
        </is>
      </c>
      <c r="C1764" t="inlineStr">
        <is>
          <t>IT</t>
        </is>
      </c>
      <c r="D1764" t="inlineStr">
        <is>
          <t>Italy</t>
        </is>
      </c>
    </row>
    <row r="1765">
      <c r="A1765" t="inlineStr">
        <is>
          <t>U1764</t>
        </is>
      </c>
      <c r="B1765" t="inlineStr">
        <is>
          <t>Universitas Airlangga</t>
        </is>
      </c>
      <c r="C1765" t="inlineStr">
        <is>
          <t>IN</t>
        </is>
      </c>
      <c r="D1765" t="inlineStr">
        <is>
          <t>Indonesia</t>
        </is>
      </c>
    </row>
    <row r="1766">
      <c r="A1766" t="inlineStr">
        <is>
          <t>U1765</t>
        </is>
      </c>
      <c r="B1766" t="inlineStr">
        <is>
          <t>Universitas Andalas</t>
        </is>
      </c>
      <c r="C1766" t="inlineStr">
        <is>
          <t>IN</t>
        </is>
      </c>
      <c r="D1766" t="inlineStr">
        <is>
          <t>Indonesia</t>
        </is>
      </c>
    </row>
    <row r="1767">
      <c r="A1767" t="inlineStr">
        <is>
          <t>U1766</t>
        </is>
      </c>
      <c r="B1767" t="inlineStr">
        <is>
          <t xml:space="preserve">Universitas Brawijaya </t>
        </is>
      </c>
      <c r="C1767" t="inlineStr">
        <is>
          <t>IN</t>
        </is>
      </c>
      <c r="D1767" t="inlineStr">
        <is>
          <t>Indonesia</t>
        </is>
      </c>
    </row>
    <row r="1768">
      <c r="A1768" t="inlineStr">
        <is>
          <t>U1767</t>
        </is>
      </c>
      <c r="B1768" t="inlineStr">
        <is>
          <t>Universitas Gadjah Mada</t>
        </is>
      </c>
      <c r="C1768" t="inlineStr">
        <is>
          <t>IN</t>
        </is>
      </c>
      <c r="D1768" t="inlineStr">
        <is>
          <t>Indonesia</t>
        </is>
      </c>
    </row>
    <row r="1769">
      <c r="A1769" t="inlineStr">
        <is>
          <t>U1768</t>
        </is>
      </c>
      <c r="B1769" t="inlineStr">
        <is>
          <t>Universitas Hasanuddin</t>
        </is>
      </c>
      <c r="C1769" t="inlineStr">
        <is>
          <t>IN</t>
        </is>
      </c>
      <c r="D1769" t="inlineStr">
        <is>
          <t>Indonesia</t>
        </is>
      </c>
    </row>
    <row r="1770">
      <c r="A1770" t="inlineStr">
        <is>
          <t>U1769</t>
        </is>
      </c>
      <c r="B1770" t="inlineStr">
        <is>
          <t>Universitas Indonesia</t>
        </is>
      </c>
      <c r="C1770" t="inlineStr">
        <is>
          <t>IN</t>
        </is>
      </c>
      <c r="D1770" t="inlineStr">
        <is>
          <t>Indonesia</t>
        </is>
      </c>
    </row>
    <row r="1771">
      <c r="A1771" t="inlineStr">
        <is>
          <t>U1770</t>
        </is>
      </c>
      <c r="B1771" t="inlineStr">
        <is>
          <t>Universitas Islam Indonesia</t>
        </is>
      </c>
      <c r="C1771" t="inlineStr">
        <is>
          <t>IN</t>
        </is>
      </c>
      <c r="D1771" t="inlineStr">
        <is>
          <t>Indonesia</t>
        </is>
      </c>
    </row>
    <row r="1772">
      <c r="A1772" t="inlineStr">
        <is>
          <t>U1771</t>
        </is>
      </c>
      <c r="B1772" t="inlineStr">
        <is>
          <t>Universitas Kristen Petra</t>
        </is>
      </c>
      <c r="C1772" t="inlineStr">
        <is>
          <t>IN</t>
        </is>
      </c>
      <c r="D1772" t="inlineStr">
        <is>
          <t>Indonesia</t>
        </is>
      </c>
    </row>
    <row r="1773">
      <c r="A1773" t="inlineStr">
        <is>
          <t>U1772</t>
        </is>
      </c>
      <c r="B1773" t="inlineStr">
        <is>
          <t>Universitas Muhammadiyah Surakarta</t>
        </is>
      </c>
      <c r="C1773" t="inlineStr">
        <is>
          <t>IN</t>
        </is>
      </c>
      <c r="D1773" t="inlineStr">
        <is>
          <t>Indonesia</t>
        </is>
      </c>
    </row>
    <row r="1774">
      <c r="A1774" t="inlineStr">
        <is>
          <t>U1773</t>
        </is>
      </c>
      <c r="B1774" t="inlineStr">
        <is>
          <t>Universitas Muhammadiyah Yogyakarta</t>
        </is>
      </c>
      <c r="C1774" t="inlineStr">
        <is>
          <t>IN</t>
        </is>
      </c>
      <c r="D1774" t="inlineStr">
        <is>
          <t>Indonesia</t>
        </is>
      </c>
    </row>
    <row r="1775">
      <c r="A1775" t="inlineStr">
        <is>
          <t>U1774</t>
        </is>
      </c>
      <c r="B1775" t="inlineStr">
        <is>
          <t>Universitas Negeri Surabaya</t>
        </is>
      </c>
      <c r="C1775" t="inlineStr">
        <is>
          <t>IN</t>
        </is>
      </c>
      <c r="D1775" t="inlineStr">
        <is>
          <t>Indonesia</t>
        </is>
      </c>
    </row>
    <row r="1776">
      <c r="A1776" t="inlineStr">
        <is>
          <t>U1775</t>
        </is>
      </c>
      <c r="B1776" t="inlineStr">
        <is>
          <t>Universitas Padjadjaran</t>
        </is>
      </c>
      <c r="C1776" t="inlineStr">
        <is>
          <t>IN</t>
        </is>
      </c>
      <c r="D1776" t="inlineStr">
        <is>
          <t>Indonesia</t>
        </is>
      </c>
    </row>
    <row r="1777">
      <c r="A1777" t="inlineStr">
        <is>
          <t>U1776</t>
        </is>
      </c>
      <c r="B1777" t="inlineStr">
        <is>
          <t>Universitas Pendidikan Indonesia</t>
        </is>
      </c>
      <c r="C1777" t="inlineStr">
        <is>
          <t>IN</t>
        </is>
      </c>
      <c r="D1777" t="inlineStr">
        <is>
          <t>Indonesia</t>
        </is>
      </c>
    </row>
    <row r="1778">
      <c r="A1778" t="inlineStr">
        <is>
          <t>U1777</t>
        </is>
      </c>
      <c r="B1778" t="inlineStr">
        <is>
          <t>Universitas Sebelas Maret</t>
        </is>
      </c>
      <c r="C1778" t="inlineStr">
        <is>
          <t>IN</t>
        </is>
      </c>
      <c r="D1778" t="inlineStr">
        <is>
          <t>Indonesia</t>
        </is>
      </c>
    </row>
    <row r="1779">
      <c r="A1779" t="inlineStr">
        <is>
          <t>U1778</t>
        </is>
      </c>
      <c r="B1779" t="inlineStr">
        <is>
          <t>Universitas Sriwijaya</t>
        </is>
      </c>
      <c r="C1779" t="inlineStr">
        <is>
          <t>IN</t>
        </is>
      </c>
      <c r="D1779" t="inlineStr">
        <is>
          <t>Indonesia</t>
        </is>
      </c>
    </row>
    <row r="1780">
      <c r="A1780" t="inlineStr">
        <is>
          <t>U1779</t>
        </is>
      </c>
      <c r="B1780" t="inlineStr">
        <is>
          <t>Universitas Sumatera Utara</t>
        </is>
      </c>
      <c r="C1780" t="inlineStr">
        <is>
          <t>IN</t>
        </is>
      </c>
      <c r="D1780" t="inlineStr">
        <is>
          <t>Indonesia</t>
        </is>
      </c>
    </row>
    <row r="1781">
      <c r="A1781" t="inlineStr">
        <is>
          <t>U1780</t>
        </is>
      </c>
      <c r="B1781" t="inlineStr">
        <is>
          <t>Universitas Syiah Kuala</t>
        </is>
      </c>
      <c r="C1781" t="inlineStr">
        <is>
          <t>IN</t>
        </is>
      </c>
      <c r="D1781" t="inlineStr">
        <is>
          <t>Indonesia</t>
        </is>
      </c>
    </row>
    <row r="1782">
      <c r="A1782" t="inlineStr">
        <is>
          <t>U1781</t>
        </is>
      </c>
      <c r="B1782" t="inlineStr">
        <is>
          <t>Universitat Autònoma de Barcelona</t>
        </is>
      </c>
      <c r="C1782" t="inlineStr">
        <is>
          <t>SP</t>
        </is>
      </c>
      <c r="D1782" t="inlineStr">
        <is>
          <t>Spain</t>
        </is>
      </c>
    </row>
    <row r="1783">
      <c r="A1783" t="inlineStr">
        <is>
          <t>U1782</t>
        </is>
      </c>
      <c r="B1783" t="inlineStr">
        <is>
          <t>Universitat de Barcelona</t>
        </is>
      </c>
      <c r="C1783" t="inlineStr">
        <is>
          <t>SP</t>
        </is>
      </c>
      <c r="D1783" t="inlineStr">
        <is>
          <t>Spain</t>
        </is>
      </c>
    </row>
    <row r="1784">
      <c r="A1784" t="inlineStr">
        <is>
          <t>U1783</t>
        </is>
      </c>
      <c r="B1784" t="inlineStr">
        <is>
          <t>Universitat de Lleida</t>
        </is>
      </c>
      <c r="C1784" t="inlineStr">
        <is>
          <t>SP</t>
        </is>
      </c>
      <c r="D1784" t="inlineStr">
        <is>
          <t>Spain</t>
        </is>
      </c>
    </row>
    <row r="1785">
      <c r="A1785" t="inlineStr">
        <is>
          <t>U1784</t>
        </is>
      </c>
      <c r="B1785" t="inlineStr">
        <is>
          <t>Universitat de Valencia</t>
        </is>
      </c>
      <c r="C1785" t="inlineStr">
        <is>
          <t>SP</t>
        </is>
      </c>
      <c r="D1785" t="inlineStr">
        <is>
          <t>Spain</t>
        </is>
      </c>
    </row>
    <row r="1786">
      <c r="A1786" t="inlineStr">
        <is>
          <t>U1785</t>
        </is>
      </c>
      <c r="B1786" t="inlineStr">
        <is>
          <t>Universitat Internacional de Catalunya</t>
        </is>
      </c>
      <c r="C1786" t="inlineStr">
        <is>
          <t>SP</t>
        </is>
      </c>
      <c r="D1786" t="inlineStr">
        <is>
          <t>Spain</t>
        </is>
      </c>
    </row>
    <row r="1787">
      <c r="A1787" t="inlineStr">
        <is>
          <t>U1786</t>
        </is>
      </c>
      <c r="B1787" t="inlineStr">
        <is>
          <t>Universitat Politècnica de Catalunya</t>
        </is>
      </c>
      <c r="C1787" t="inlineStr">
        <is>
          <t>SP</t>
        </is>
      </c>
      <c r="D1787" t="inlineStr">
        <is>
          <t>Spain</t>
        </is>
      </c>
    </row>
    <row r="1788">
      <c r="A1788" t="inlineStr">
        <is>
          <t>U1787</t>
        </is>
      </c>
      <c r="B1788" t="inlineStr">
        <is>
          <t>Universitat Politècnica de Catalunya · BarcelonaTech (UPC)</t>
        </is>
      </c>
      <c r="C1788" t="inlineStr">
        <is>
          <t>SP</t>
        </is>
      </c>
      <c r="D1788" t="inlineStr">
        <is>
          <t>Spain</t>
        </is>
      </c>
    </row>
    <row r="1789">
      <c r="A1789" t="inlineStr">
        <is>
          <t>U1788</t>
        </is>
      </c>
      <c r="B1789" t="inlineStr">
        <is>
          <t>Universitat Politècnica de València</t>
        </is>
      </c>
      <c r="C1789" t="inlineStr">
        <is>
          <t>SP</t>
        </is>
      </c>
      <c r="D1789" t="inlineStr">
        <is>
          <t>Spain</t>
        </is>
      </c>
    </row>
    <row r="1790">
      <c r="A1790" t="inlineStr">
        <is>
          <t>U1789</t>
        </is>
      </c>
      <c r="B1790" t="inlineStr">
        <is>
          <t>Universitat Pompeu Fabra (Barcelona)</t>
        </is>
      </c>
      <c r="C1790" t="inlineStr">
        <is>
          <t>SP</t>
        </is>
      </c>
      <c r="D1790" t="inlineStr">
        <is>
          <t>Spain</t>
        </is>
      </c>
    </row>
    <row r="1791">
      <c r="A1791" t="inlineStr">
        <is>
          <t>U1790</t>
        </is>
      </c>
      <c r="B1791" t="inlineStr">
        <is>
          <t>Universitat Ramon Llull</t>
        </is>
      </c>
      <c r="C1791" t="inlineStr">
        <is>
          <t>SP</t>
        </is>
      </c>
      <c r="D1791" t="inlineStr">
        <is>
          <t>Spain</t>
        </is>
      </c>
    </row>
    <row r="1792">
      <c r="A1792" t="inlineStr">
        <is>
          <t>U1791</t>
        </is>
      </c>
      <c r="B1792" t="inlineStr">
        <is>
          <t>Universitat Rovira i Virgili</t>
        </is>
      </c>
      <c r="C1792" t="inlineStr">
        <is>
          <t>SP</t>
        </is>
      </c>
      <c r="D1792" t="inlineStr">
        <is>
          <t>Spain</t>
        </is>
      </c>
    </row>
    <row r="1793">
      <c r="A1793" t="inlineStr">
        <is>
          <t>U1792</t>
        </is>
      </c>
      <c r="B1793" t="inlineStr">
        <is>
          <t>Universitatea de Vest din Timisoara / West University of Timisoara</t>
        </is>
      </c>
      <c r="C1793" t="inlineStr">
        <is>
          <t>RO</t>
        </is>
      </c>
      <c r="D1793" t="inlineStr">
        <is>
          <t>Romania</t>
        </is>
      </c>
    </row>
    <row r="1794">
      <c r="A1794" t="inlineStr">
        <is>
          <t>U1793</t>
        </is>
      </c>
      <c r="B1794" t="inlineStr">
        <is>
          <t>Universite libre de Bruxelles</t>
        </is>
      </c>
      <c r="C1794" t="inlineStr">
        <is>
          <t>BE</t>
        </is>
      </c>
      <c r="D1794" t="inlineStr">
        <is>
          <t>Belgium</t>
        </is>
      </c>
    </row>
    <row r="1795">
      <c r="A1795" t="inlineStr">
        <is>
          <t>U1794</t>
        </is>
      </c>
      <c r="B1795" t="inlineStr">
        <is>
          <t>Universiti Brunei Darussalam (UBD)</t>
        </is>
      </c>
      <c r="C1795" t="inlineStr">
        <is>
          <t>BR</t>
        </is>
      </c>
      <c r="D1795" t="inlineStr">
        <is>
          <t>Brunei</t>
        </is>
      </c>
    </row>
    <row r="1796">
      <c r="A1796" t="inlineStr">
        <is>
          <t>U1795</t>
        </is>
      </c>
      <c r="B1796" t="inlineStr">
        <is>
          <t>Universiti Kebangsaan Malaysia (UKM)</t>
        </is>
      </c>
      <c r="C1796" t="inlineStr">
        <is>
          <t>MA</t>
        </is>
      </c>
      <c r="D1796" t="inlineStr">
        <is>
          <t>Malaysia</t>
        </is>
      </c>
    </row>
    <row r="1797">
      <c r="A1797" t="inlineStr">
        <is>
          <t>U1796</t>
        </is>
      </c>
      <c r="B1797" t="inlineStr">
        <is>
          <t>Universiti Kuala Lumpur (UniKL)</t>
        </is>
      </c>
      <c r="C1797" t="inlineStr">
        <is>
          <t>MA</t>
        </is>
      </c>
      <c r="D1797" t="inlineStr">
        <is>
          <t>Malaysia</t>
        </is>
      </c>
    </row>
    <row r="1798">
      <c r="A1798" t="inlineStr">
        <is>
          <t>U1797</t>
        </is>
      </c>
      <c r="B1798" t="inlineStr">
        <is>
          <t>Universiti Malaya (UM)</t>
        </is>
      </c>
      <c r="C1798" t="inlineStr">
        <is>
          <t>MA</t>
        </is>
      </c>
      <c r="D1798" t="inlineStr">
        <is>
          <t>Malaysia</t>
        </is>
      </c>
    </row>
    <row r="1799">
      <c r="A1799" t="inlineStr">
        <is>
          <t>U1798</t>
        </is>
      </c>
      <c r="B1799" t="inlineStr">
        <is>
          <t>Universiti Malaysia Kelantan</t>
        </is>
      </c>
      <c r="C1799" t="inlineStr">
        <is>
          <t>MA</t>
        </is>
      </c>
      <c r="D1799" t="inlineStr">
        <is>
          <t>Malaysia</t>
        </is>
      </c>
    </row>
    <row r="1800">
      <c r="A1800" t="inlineStr">
        <is>
          <t>U1799</t>
        </is>
      </c>
      <c r="B1800" t="inlineStr">
        <is>
          <t>Universiti Malaysia Pahang</t>
        </is>
      </c>
      <c r="C1800" t="inlineStr">
        <is>
          <t>MA</t>
        </is>
      </c>
      <c r="D1800" t="inlineStr">
        <is>
          <t>Malaysia</t>
        </is>
      </c>
    </row>
    <row r="1801">
      <c r="A1801" t="inlineStr">
        <is>
          <t>U1800</t>
        </is>
      </c>
      <c r="B1801" t="inlineStr">
        <is>
          <t>Universiti Malaysia Perlis</t>
        </is>
      </c>
      <c r="C1801" t="inlineStr">
        <is>
          <t>MA</t>
        </is>
      </c>
      <c r="D1801" t="inlineStr">
        <is>
          <t>Malaysia</t>
        </is>
      </c>
    </row>
    <row r="1802">
      <c r="A1802" t="inlineStr">
        <is>
          <t>U1801</t>
        </is>
      </c>
      <c r="B1802" t="inlineStr">
        <is>
          <t>Universiti Malaysia Sabah (UMS)</t>
        </is>
      </c>
      <c r="C1802" t="inlineStr">
        <is>
          <t>MA</t>
        </is>
      </c>
      <c r="D1802" t="inlineStr">
        <is>
          <t>Malaysia</t>
        </is>
      </c>
    </row>
    <row r="1803">
      <c r="A1803" t="inlineStr">
        <is>
          <t>U1802</t>
        </is>
      </c>
      <c r="B1803" t="inlineStr">
        <is>
          <t>Universiti Malaysia Sarawak (UNIMAS)</t>
        </is>
      </c>
      <c r="C1803" t="inlineStr">
        <is>
          <t>MA</t>
        </is>
      </c>
      <c r="D1803" t="inlineStr">
        <is>
          <t>Malaysia</t>
        </is>
      </c>
    </row>
    <row r="1804">
      <c r="A1804" t="inlineStr">
        <is>
          <t>U1803</t>
        </is>
      </c>
      <c r="B1804" t="inlineStr">
        <is>
          <t>Universiti Malaysia Terengganu (UMT)</t>
        </is>
      </c>
      <c r="C1804" t="inlineStr">
        <is>
          <t>MA</t>
        </is>
      </c>
      <c r="D1804" t="inlineStr">
        <is>
          <t>Malaysia</t>
        </is>
      </c>
    </row>
    <row r="1805">
      <c r="A1805" t="inlineStr">
        <is>
          <t>U1804</t>
        </is>
      </c>
      <c r="B1805" t="inlineStr">
        <is>
          <t>Universiti Pendidikan Sultan Idris (UPSI)</t>
        </is>
      </c>
      <c r="C1805" t="inlineStr">
        <is>
          <t>MA</t>
        </is>
      </c>
      <c r="D1805" t="inlineStr">
        <is>
          <t>Malaysia</t>
        </is>
      </c>
    </row>
    <row r="1806">
      <c r="A1806" t="inlineStr">
        <is>
          <t>U1805</t>
        </is>
      </c>
      <c r="B1806" t="inlineStr">
        <is>
          <t>Universiti Putra Malaysia (UPM)</t>
        </is>
      </c>
      <c r="C1806" t="inlineStr">
        <is>
          <t>MA</t>
        </is>
      </c>
      <c r="D1806" t="inlineStr">
        <is>
          <t>Malaysia</t>
        </is>
      </c>
    </row>
    <row r="1807">
      <c r="A1807" t="inlineStr">
        <is>
          <t>U1806</t>
        </is>
      </c>
      <c r="B1807" t="inlineStr">
        <is>
          <t>Universiti Sains Islam Malaysia</t>
        </is>
      </c>
      <c r="C1807" t="inlineStr">
        <is>
          <t>MA</t>
        </is>
      </c>
      <c r="D1807" t="inlineStr">
        <is>
          <t>Malaysia</t>
        </is>
      </c>
    </row>
    <row r="1808">
      <c r="A1808" t="inlineStr">
        <is>
          <t>U1807</t>
        </is>
      </c>
      <c r="B1808" t="inlineStr">
        <is>
          <t>Universiti Sains Malaysia (USM)</t>
        </is>
      </c>
      <c r="C1808" t="inlineStr">
        <is>
          <t>MA</t>
        </is>
      </c>
      <c r="D1808" t="inlineStr">
        <is>
          <t>Malaysia</t>
        </is>
      </c>
    </row>
    <row r="1809">
      <c r="A1809" t="inlineStr">
        <is>
          <t>U1808</t>
        </is>
      </c>
      <c r="B1809" t="inlineStr">
        <is>
          <t>Universiti Sultan Zainal Abidin</t>
        </is>
      </c>
      <c r="C1809" t="inlineStr">
        <is>
          <t>MA</t>
        </is>
      </c>
      <c r="D1809" t="inlineStr">
        <is>
          <t>Malaysia</t>
        </is>
      </c>
    </row>
    <row r="1810">
      <c r="A1810" t="inlineStr">
        <is>
          <t>U1809</t>
        </is>
      </c>
      <c r="B1810" t="inlineStr">
        <is>
          <t>Universiti Teknikal Malaysia Melaka</t>
        </is>
      </c>
      <c r="C1810" t="inlineStr">
        <is>
          <t>MA</t>
        </is>
      </c>
      <c r="D1810" t="inlineStr">
        <is>
          <t>Malaysia</t>
        </is>
      </c>
    </row>
    <row r="1811">
      <c r="A1811" t="inlineStr">
        <is>
          <t>U1810</t>
        </is>
      </c>
      <c r="B1811" t="inlineStr">
        <is>
          <t>Universiti Teknologi Brunei</t>
        </is>
      </c>
      <c r="C1811" t="inlineStr">
        <is>
          <t>BR</t>
        </is>
      </c>
      <c r="D1811" t="inlineStr">
        <is>
          <t>Brunei</t>
        </is>
      </c>
    </row>
    <row r="1812">
      <c r="A1812" t="inlineStr">
        <is>
          <t>U1811</t>
        </is>
      </c>
      <c r="B1812" t="inlineStr">
        <is>
          <t xml:space="preserve">Universiti Teknologi Malaysia </t>
        </is>
      </c>
      <c r="C1812" t="inlineStr">
        <is>
          <t>MA</t>
        </is>
      </c>
      <c r="D1812" t="inlineStr">
        <is>
          <t>Malaysia</t>
        </is>
      </c>
    </row>
    <row r="1813">
      <c r="A1813" t="inlineStr">
        <is>
          <t>U1812</t>
        </is>
      </c>
      <c r="B1813" t="inlineStr">
        <is>
          <t>Universiti Teknologi MARA</t>
        </is>
      </c>
      <c r="C1813" t="inlineStr">
        <is>
          <t>MA</t>
        </is>
      </c>
      <c r="D1813" t="inlineStr">
        <is>
          <t>Malaysia</t>
        </is>
      </c>
    </row>
    <row r="1814">
      <c r="A1814" t="inlineStr">
        <is>
          <t>U1813</t>
        </is>
      </c>
      <c r="B1814" t="inlineStr">
        <is>
          <t>Universiti Teknologi MARA - UiTM</t>
        </is>
      </c>
      <c r="C1814" t="inlineStr">
        <is>
          <t>MA</t>
        </is>
      </c>
      <c r="D1814" t="inlineStr">
        <is>
          <t>Malaysia</t>
        </is>
      </c>
    </row>
    <row r="1815">
      <c r="A1815" t="inlineStr">
        <is>
          <t>U1814</t>
        </is>
      </c>
      <c r="B1815" t="inlineStr">
        <is>
          <t>Universiti Teknologi PETRONAS (UTP)</t>
        </is>
      </c>
      <c r="C1815" t="inlineStr">
        <is>
          <t>MA</t>
        </is>
      </c>
      <c r="D1815" t="inlineStr">
        <is>
          <t>Malaysia</t>
        </is>
      </c>
    </row>
    <row r="1816">
      <c r="A1816" t="inlineStr">
        <is>
          <t>U1815</t>
        </is>
      </c>
      <c r="B1816" t="inlineStr">
        <is>
          <t>Universiti Tenaga Nasional (UNITEN)</t>
        </is>
      </c>
      <c r="C1816" t="inlineStr">
        <is>
          <t>MA</t>
        </is>
      </c>
      <c r="D1816" t="inlineStr">
        <is>
          <t>Malaysia</t>
        </is>
      </c>
    </row>
    <row r="1817">
      <c r="A1817" t="inlineStr">
        <is>
          <t>U1816</t>
        </is>
      </c>
      <c r="B1817" t="inlineStr">
        <is>
          <t>Universiti Tun Hussein Onn Malaysia (UTHM)</t>
        </is>
      </c>
      <c r="C1817" t="inlineStr">
        <is>
          <t>MA</t>
        </is>
      </c>
      <c r="D1817" t="inlineStr">
        <is>
          <t>Malaysia</t>
        </is>
      </c>
    </row>
    <row r="1818">
      <c r="A1818" t="inlineStr">
        <is>
          <t>U1817</t>
        </is>
      </c>
      <c r="B1818" t="inlineStr">
        <is>
          <t>Universiti Tun Hussein Onn University of Malaysia (UTHM)</t>
        </is>
      </c>
      <c r="C1818" t="inlineStr">
        <is>
          <t>MA</t>
        </is>
      </c>
      <c r="D1818" t="inlineStr">
        <is>
          <t>Malaysia</t>
        </is>
      </c>
    </row>
    <row r="1819">
      <c r="A1819" t="inlineStr">
        <is>
          <t>U1818</t>
        </is>
      </c>
      <c r="B1819" t="inlineStr">
        <is>
          <t>Universiti Tunku Abdul Rahman (UTAR)</t>
        </is>
      </c>
      <c r="C1819" t="inlineStr">
        <is>
          <t>MA</t>
        </is>
      </c>
      <c r="D1819" t="inlineStr">
        <is>
          <t>Malaysia</t>
        </is>
      </c>
    </row>
    <row r="1820">
      <c r="A1820" t="inlineStr">
        <is>
          <t>U1819</t>
        </is>
      </c>
      <c r="B1820" t="inlineStr">
        <is>
          <t>Universiti Utara Malaysia (UUM)</t>
        </is>
      </c>
      <c r="C1820" t="inlineStr">
        <is>
          <t>MA</t>
        </is>
      </c>
      <c r="D1820" t="inlineStr">
        <is>
          <t>Malaysia</t>
        </is>
      </c>
    </row>
    <row r="1821">
      <c r="A1821" t="inlineStr">
        <is>
          <t>U1820</t>
        </is>
      </c>
      <c r="B1821" t="inlineStr">
        <is>
          <t>University Abdelhamid Ibn Badis Mostaganem</t>
        </is>
      </c>
      <c r="C1821" t="inlineStr">
        <is>
          <t>AL</t>
        </is>
      </c>
      <c r="D1821" t="inlineStr">
        <is>
          <t>Algeria</t>
        </is>
      </c>
    </row>
    <row r="1822">
      <c r="A1822" t="inlineStr">
        <is>
          <t>U1821</t>
        </is>
      </c>
      <c r="B1822" t="inlineStr">
        <is>
          <t>University at Albany SUNY</t>
        </is>
      </c>
      <c r="C1822" t="inlineStr">
        <is>
          <t>UN</t>
        </is>
      </c>
      <c r="D1822" t="inlineStr">
        <is>
          <t>United States</t>
        </is>
      </c>
    </row>
    <row r="1823">
      <c r="A1823" t="inlineStr">
        <is>
          <t>U1822</t>
        </is>
      </c>
      <c r="B1823" t="inlineStr">
        <is>
          <t>University at Buffalo</t>
        </is>
      </c>
      <c r="C1823" t="inlineStr">
        <is>
          <t>UN</t>
        </is>
      </c>
      <c r="D1823" t="inlineStr">
        <is>
          <t>United States</t>
        </is>
      </c>
    </row>
    <row r="1824">
      <c r="A1824" t="inlineStr">
        <is>
          <t>U1823</t>
        </is>
      </c>
      <c r="B1824" t="inlineStr">
        <is>
          <t>University at Buffalo SUNY</t>
        </is>
      </c>
      <c r="C1824" t="inlineStr">
        <is>
          <t>UN</t>
        </is>
      </c>
      <c r="D1824" t="inlineStr">
        <is>
          <t>United States</t>
        </is>
      </c>
    </row>
    <row r="1825">
      <c r="A1825" t="inlineStr">
        <is>
          <t>U1824</t>
        </is>
      </c>
      <c r="B1825" t="inlineStr">
        <is>
          <t>University College Cork</t>
        </is>
      </c>
      <c r="C1825" t="inlineStr">
        <is>
          <t>IR</t>
        </is>
      </c>
      <c r="D1825" t="inlineStr">
        <is>
          <t>Ireland</t>
        </is>
      </c>
    </row>
    <row r="1826">
      <c r="A1826" t="inlineStr">
        <is>
          <t>U1825</t>
        </is>
      </c>
      <c r="B1826" t="inlineStr">
        <is>
          <t>University College Dublin</t>
        </is>
      </c>
      <c r="C1826" t="inlineStr">
        <is>
          <t>IR</t>
        </is>
      </c>
      <c r="D1826" t="inlineStr">
        <is>
          <t>Ireland</t>
        </is>
      </c>
    </row>
    <row r="1827">
      <c r="A1827" t="inlineStr">
        <is>
          <t>U1826</t>
        </is>
      </c>
      <c r="B1827" t="inlineStr">
        <is>
          <t>University Duesseldorf</t>
        </is>
      </c>
      <c r="C1827" t="inlineStr">
        <is>
          <t>GE</t>
        </is>
      </c>
      <c r="D1827" t="inlineStr">
        <is>
          <t>Germany</t>
        </is>
      </c>
    </row>
    <row r="1828">
      <c r="A1828" t="inlineStr">
        <is>
          <t>U1827</t>
        </is>
      </c>
      <c r="B1828" t="inlineStr">
        <is>
          <t>University for Development Studies</t>
        </is>
      </c>
      <c r="C1828" t="inlineStr">
        <is>
          <t>GH</t>
        </is>
      </c>
      <c r="D1828" t="inlineStr">
        <is>
          <t>Ghana</t>
        </is>
      </c>
    </row>
    <row r="1829">
      <c r="A1829" t="inlineStr">
        <is>
          <t>U1828</t>
        </is>
      </c>
      <c r="B1829" t="inlineStr">
        <is>
          <t>University Mohamed Boudiaf of M’Sila</t>
        </is>
      </c>
      <c r="C1829" t="inlineStr">
        <is>
          <t>AL</t>
        </is>
      </c>
      <c r="D1829" t="inlineStr">
        <is>
          <t>Algeria</t>
        </is>
      </c>
    </row>
    <row r="1830">
      <c r="A1830" t="inlineStr">
        <is>
          <t>U1829</t>
        </is>
      </c>
      <c r="B1830" t="inlineStr">
        <is>
          <t>University of A Coruña</t>
        </is>
      </c>
      <c r="C1830" t="inlineStr">
        <is>
          <t>SP</t>
        </is>
      </c>
      <c r="D1830" t="inlineStr">
        <is>
          <t>Spain</t>
        </is>
      </c>
    </row>
    <row r="1831">
      <c r="A1831" t="inlineStr">
        <is>
          <t>U1830</t>
        </is>
      </c>
      <c r="B1831" t="inlineStr">
        <is>
          <t>University of Aberdeen</t>
        </is>
      </c>
      <c r="C1831" t="inlineStr">
        <is>
          <t>UN</t>
        </is>
      </c>
      <c r="D1831" t="inlineStr">
        <is>
          <t>United Kingdom</t>
        </is>
      </c>
    </row>
    <row r="1832">
      <c r="A1832" t="inlineStr">
        <is>
          <t>U1831</t>
        </is>
      </c>
      <c r="B1832" t="inlineStr">
        <is>
          <t>University of Abou Bekr Belkaïd Tlemcen</t>
        </is>
      </c>
      <c r="C1832" t="inlineStr">
        <is>
          <t>AL</t>
        </is>
      </c>
      <c r="D1832" t="inlineStr">
        <is>
          <t>Algeria</t>
        </is>
      </c>
    </row>
    <row r="1833">
      <c r="A1833" t="inlineStr">
        <is>
          <t>U1832</t>
        </is>
      </c>
      <c r="B1833" t="inlineStr">
        <is>
          <t>The University of Adelaide</t>
        </is>
      </c>
      <c r="C1833" t="inlineStr">
        <is>
          <t>AU</t>
        </is>
      </c>
      <c r="D1833" t="inlineStr">
        <is>
          <t>Australia</t>
        </is>
      </c>
    </row>
    <row r="1834">
      <c r="A1834" t="inlineStr">
        <is>
          <t>U1833</t>
        </is>
      </c>
      <c r="B1834" t="inlineStr">
        <is>
          <t xml:space="preserve">University of Agriculture, Faisalabad </t>
        </is>
      </c>
      <c r="C1834" t="inlineStr">
        <is>
          <t>PA</t>
        </is>
      </c>
      <c r="D1834" t="inlineStr">
        <is>
          <t>Pakistan</t>
        </is>
      </c>
    </row>
    <row r="1835">
      <c r="A1835" t="inlineStr">
        <is>
          <t>U1834</t>
        </is>
      </c>
      <c r="B1835" t="inlineStr">
        <is>
          <t>The University of Agriculture, Peshawar</t>
        </is>
      </c>
      <c r="C1835" t="inlineStr">
        <is>
          <t>PA</t>
        </is>
      </c>
      <c r="D1835" t="inlineStr">
        <is>
          <t>Pakistan</t>
        </is>
      </c>
    </row>
    <row r="1836">
      <c r="A1836" t="inlineStr">
        <is>
          <t>U1835</t>
        </is>
      </c>
      <c r="B1836" t="inlineStr">
        <is>
          <t>The University of Aizu</t>
        </is>
      </c>
      <c r="C1836" t="inlineStr">
        <is>
          <t>JA</t>
        </is>
      </c>
      <c r="D1836" t="inlineStr">
        <is>
          <t>Japan</t>
        </is>
      </c>
    </row>
    <row r="1837">
      <c r="A1837" t="inlineStr">
        <is>
          <t>U1836</t>
        </is>
      </c>
      <c r="B1837" t="inlineStr">
        <is>
          <t>University of Al-Qadisiyah</t>
        </is>
      </c>
      <c r="C1837" t="inlineStr">
        <is>
          <t>IR</t>
        </is>
      </c>
      <c r="D1837" t="inlineStr">
        <is>
          <t>Iraq</t>
        </is>
      </c>
    </row>
    <row r="1838">
      <c r="A1838" t="inlineStr">
        <is>
          <t>U1837</t>
        </is>
      </c>
      <c r="B1838" t="inlineStr">
        <is>
          <t>The University of Alabama</t>
        </is>
      </c>
      <c r="C1838" t="inlineStr">
        <is>
          <t>UN</t>
        </is>
      </c>
      <c r="D1838" t="inlineStr">
        <is>
          <t>United States</t>
        </is>
      </c>
    </row>
    <row r="1839">
      <c r="A1839" t="inlineStr">
        <is>
          <t>U1838</t>
        </is>
      </c>
      <c r="B1839" t="inlineStr">
        <is>
          <t>University of Alabama, Birmingham</t>
        </is>
      </c>
      <c r="C1839" t="inlineStr">
        <is>
          <t>UN</t>
        </is>
      </c>
      <c r="D1839" t="inlineStr">
        <is>
          <t>United States</t>
        </is>
      </c>
    </row>
    <row r="1840">
      <c r="A1840" t="inlineStr">
        <is>
          <t>U1839</t>
        </is>
      </c>
      <c r="B1840" t="inlineStr">
        <is>
          <t>University of Alaska Fairbanks</t>
        </is>
      </c>
      <c r="C1840" t="inlineStr">
        <is>
          <t>UN</t>
        </is>
      </c>
      <c r="D1840" t="inlineStr">
        <is>
          <t>United States</t>
        </is>
      </c>
    </row>
    <row r="1841">
      <c r="A1841" t="inlineStr">
        <is>
          <t>U1840</t>
        </is>
      </c>
      <c r="B1841" t="inlineStr">
        <is>
          <t>University of Alberta</t>
        </is>
      </c>
      <c r="C1841" t="inlineStr">
        <is>
          <t>CA</t>
        </is>
      </c>
      <c r="D1841" t="inlineStr">
        <is>
          <t>Canada</t>
        </is>
      </c>
    </row>
    <row r="1842">
      <c r="A1842" t="inlineStr">
        <is>
          <t>U1841</t>
        </is>
      </c>
      <c r="B1842" t="inlineStr">
        <is>
          <t>University of Alcalá</t>
        </is>
      </c>
      <c r="C1842" t="inlineStr">
        <is>
          <t>SP</t>
        </is>
      </c>
      <c r="D1842" t="inlineStr">
        <is>
          <t>Spain</t>
        </is>
      </c>
    </row>
    <row r="1843">
      <c r="A1843" t="inlineStr">
        <is>
          <t>U1842</t>
        </is>
      </c>
      <c r="B1843" t="inlineStr">
        <is>
          <t>University of Algarve</t>
        </is>
      </c>
      <c r="C1843" t="inlineStr">
        <is>
          <t>PO</t>
        </is>
      </c>
      <c r="D1843" t="inlineStr">
        <is>
          <t>Portugal</t>
        </is>
      </c>
    </row>
    <row r="1844">
      <c r="A1844" t="inlineStr">
        <is>
          <t>U1843</t>
        </is>
      </c>
      <c r="B1844" t="inlineStr">
        <is>
          <t>University of Alicante</t>
        </is>
      </c>
      <c r="C1844" t="inlineStr">
        <is>
          <t>SP</t>
        </is>
      </c>
      <c r="D1844" t="inlineStr">
        <is>
          <t>Spain</t>
        </is>
      </c>
    </row>
    <row r="1845">
      <c r="A1845" t="inlineStr">
        <is>
          <t>U1844</t>
        </is>
      </c>
      <c r="B1845" t="inlineStr">
        <is>
          <t>University of Almería</t>
        </is>
      </c>
      <c r="C1845" t="inlineStr">
        <is>
          <t>SP</t>
        </is>
      </c>
      <c r="D1845" t="inlineStr">
        <is>
          <t>Spain</t>
        </is>
      </c>
    </row>
    <row r="1846">
      <c r="A1846" t="inlineStr">
        <is>
          <t>U1845</t>
        </is>
      </c>
      <c r="B1846" t="inlineStr">
        <is>
          <t>University of Amsterdam</t>
        </is>
      </c>
      <c r="C1846" t="inlineStr">
        <is>
          <t>NE</t>
        </is>
      </c>
      <c r="D1846" t="inlineStr">
        <is>
          <t>Netherlands</t>
        </is>
      </c>
    </row>
    <row r="1847">
      <c r="A1847" t="inlineStr">
        <is>
          <t>U1846</t>
        </is>
      </c>
      <c r="B1847" t="inlineStr">
        <is>
          <t>University of Anbar</t>
        </is>
      </c>
      <c r="C1847" t="inlineStr">
        <is>
          <t>IR</t>
        </is>
      </c>
      <c r="D1847" t="inlineStr">
        <is>
          <t>Iraq</t>
        </is>
      </c>
    </row>
    <row r="1848">
      <c r="A1848" t="inlineStr">
        <is>
          <t>U1847</t>
        </is>
      </c>
      <c r="B1848" t="inlineStr">
        <is>
          <t>University of Antioquia</t>
        </is>
      </c>
      <c r="C1848" t="inlineStr">
        <is>
          <t>CO</t>
        </is>
      </c>
      <c r="D1848" t="inlineStr">
        <is>
          <t>Colombia</t>
        </is>
      </c>
    </row>
    <row r="1849">
      <c r="A1849" t="inlineStr">
        <is>
          <t>U1848</t>
        </is>
      </c>
      <c r="B1849" t="inlineStr">
        <is>
          <t>University of Antofagasta</t>
        </is>
      </c>
      <c r="C1849" t="inlineStr">
        <is>
          <t>CH</t>
        </is>
      </c>
      <c r="D1849" t="inlineStr">
        <is>
          <t>Chile</t>
        </is>
      </c>
    </row>
    <row r="1850">
      <c r="A1850" t="inlineStr">
        <is>
          <t>U1849</t>
        </is>
      </c>
      <c r="B1850" t="inlineStr">
        <is>
          <t>University of Antwerp</t>
        </is>
      </c>
      <c r="C1850" t="inlineStr">
        <is>
          <t>BE</t>
        </is>
      </c>
      <c r="D1850" t="inlineStr">
        <is>
          <t>Belgium</t>
        </is>
      </c>
    </row>
    <row r="1851">
      <c r="A1851" t="inlineStr">
        <is>
          <t>U1850</t>
        </is>
      </c>
      <c r="B1851" t="inlineStr">
        <is>
          <t>University of Applied Sciences and Arts of Western Switzerland</t>
        </is>
      </c>
      <c r="C1851" t="inlineStr">
        <is>
          <t>SW</t>
        </is>
      </c>
      <c r="D1851" t="inlineStr">
        <is>
          <t>Switzerland</t>
        </is>
      </c>
    </row>
    <row r="1852">
      <c r="A1852" t="inlineStr">
        <is>
          <t>U1851</t>
        </is>
      </c>
      <c r="B1852" t="inlineStr">
        <is>
          <t>The University of Arizona</t>
        </is>
      </c>
      <c r="C1852" t="inlineStr">
        <is>
          <t>UN</t>
        </is>
      </c>
      <c r="D1852" t="inlineStr">
        <is>
          <t>United States</t>
        </is>
      </c>
    </row>
    <row r="1853">
      <c r="A1853" t="inlineStr">
        <is>
          <t>U1852</t>
        </is>
      </c>
      <c r="B1853" t="inlineStr">
        <is>
          <t>University of Arkansas</t>
        </is>
      </c>
      <c r="C1853" t="inlineStr">
        <is>
          <t>UN</t>
        </is>
      </c>
      <c r="D1853" t="inlineStr">
        <is>
          <t>United States</t>
        </is>
      </c>
    </row>
    <row r="1854">
      <c r="A1854" t="inlineStr">
        <is>
          <t>U1853</t>
        </is>
      </c>
      <c r="B1854" t="inlineStr">
        <is>
          <t xml:space="preserve">University of Arkansas Fayetteville </t>
        </is>
      </c>
      <c r="C1854" t="inlineStr">
        <is>
          <t>UN</t>
        </is>
      </c>
      <c r="D1854" t="inlineStr">
        <is>
          <t>United States</t>
        </is>
      </c>
    </row>
    <row r="1855">
      <c r="A1855" t="inlineStr">
        <is>
          <t>U1854</t>
        </is>
      </c>
      <c r="B1855" t="inlineStr">
        <is>
          <t>The University of Auckland</t>
        </is>
      </c>
      <c r="C1855" t="inlineStr">
        <is>
          <t>NE</t>
        </is>
      </c>
      <c r="D1855" t="inlineStr">
        <is>
          <t>New Zealand</t>
        </is>
      </c>
    </row>
    <row r="1856">
      <c r="A1856" t="inlineStr">
        <is>
          <t>U1855</t>
        </is>
      </c>
      <c r="B1856" t="inlineStr">
        <is>
          <t>University of Aveiro</t>
        </is>
      </c>
      <c r="C1856" t="inlineStr">
        <is>
          <t>PO</t>
        </is>
      </c>
      <c r="D1856" t="inlineStr">
        <is>
          <t>Portugal</t>
        </is>
      </c>
    </row>
    <row r="1857">
      <c r="A1857" t="inlineStr">
        <is>
          <t>U1856</t>
        </is>
      </c>
      <c r="B1857" t="inlineStr">
        <is>
          <t>University of Béjaïa</t>
        </is>
      </c>
      <c r="C1857" t="inlineStr">
        <is>
          <t>AL</t>
        </is>
      </c>
      <c r="D1857" t="inlineStr">
        <is>
          <t>Algeria</t>
        </is>
      </c>
    </row>
    <row r="1858">
      <c r="A1858" t="inlineStr">
        <is>
          <t>U1857</t>
        </is>
      </c>
      <c r="B1858" t="inlineStr">
        <is>
          <t>University of Bío-Bío</t>
        </is>
      </c>
      <c r="C1858" t="inlineStr">
        <is>
          <t>CH</t>
        </is>
      </c>
      <c r="D1858" t="inlineStr">
        <is>
          <t>Chile</t>
        </is>
      </c>
    </row>
    <row r="1859">
      <c r="A1859" t="inlineStr">
        <is>
          <t>U1858</t>
        </is>
      </c>
      <c r="B1859" t="inlineStr">
        <is>
          <t>University of Babylon</t>
        </is>
      </c>
      <c r="C1859" t="inlineStr">
        <is>
          <t>IR</t>
        </is>
      </c>
      <c r="D1859" t="inlineStr">
        <is>
          <t>Iraq</t>
        </is>
      </c>
    </row>
    <row r="1860">
      <c r="A1860" t="inlineStr">
        <is>
          <t>U1859</t>
        </is>
      </c>
      <c r="B1860" t="inlineStr">
        <is>
          <t>University of Baghdad</t>
        </is>
      </c>
      <c r="C1860" t="inlineStr">
        <is>
          <t>IR</t>
        </is>
      </c>
      <c r="D1860" t="inlineStr">
        <is>
          <t>Iraq</t>
        </is>
      </c>
    </row>
    <row r="1861">
      <c r="A1861" t="inlineStr">
        <is>
          <t>U1860</t>
        </is>
      </c>
      <c r="B1861" t="inlineStr">
        <is>
          <t>University of Bahrain</t>
        </is>
      </c>
      <c r="C1861" t="inlineStr">
        <is>
          <t>BA</t>
        </is>
      </c>
      <c r="D1861" t="inlineStr">
        <is>
          <t>Bahrain</t>
        </is>
      </c>
    </row>
    <row r="1862">
      <c r="A1862" t="inlineStr">
        <is>
          <t>U1861</t>
        </is>
      </c>
      <c r="B1862" t="inlineStr">
        <is>
          <t>University of Barcelona</t>
        </is>
      </c>
      <c r="C1862" t="inlineStr">
        <is>
          <t>SP</t>
        </is>
      </c>
      <c r="D1862" t="inlineStr">
        <is>
          <t>Spain</t>
        </is>
      </c>
    </row>
    <row r="1863">
      <c r="A1863" t="inlineStr">
        <is>
          <t>U1862</t>
        </is>
      </c>
      <c r="B1863" t="inlineStr">
        <is>
          <t>University of Bari</t>
        </is>
      </c>
      <c r="C1863" t="inlineStr">
        <is>
          <t>IT</t>
        </is>
      </c>
      <c r="D1863" t="inlineStr">
        <is>
          <t>Italy</t>
        </is>
      </c>
    </row>
    <row r="1864">
      <c r="A1864" t="inlineStr">
        <is>
          <t>U1863</t>
        </is>
      </c>
      <c r="B1864" t="inlineStr">
        <is>
          <t>University of Bari Aldo Moro</t>
        </is>
      </c>
      <c r="C1864" t="inlineStr">
        <is>
          <t>IT</t>
        </is>
      </c>
      <c r="D1864" t="inlineStr">
        <is>
          <t>Italy</t>
        </is>
      </c>
    </row>
    <row r="1865">
      <c r="A1865" t="inlineStr">
        <is>
          <t>U1864</t>
        </is>
      </c>
      <c r="B1865" t="inlineStr">
        <is>
          <t>University of Basel</t>
        </is>
      </c>
      <c r="C1865" t="inlineStr">
        <is>
          <t>SW</t>
        </is>
      </c>
      <c r="D1865" t="inlineStr">
        <is>
          <t>Switzerland</t>
        </is>
      </c>
    </row>
    <row r="1866">
      <c r="A1866" t="inlineStr">
        <is>
          <t>U1865</t>
        </is>
      </c>
      <c r="B1866" t="inlineStr">
        <is>
          <t>University of Basrah</t>
        </is>
      </c>
      <c r="C1866" t="inlineStr">
        <is>
          <t>IR</t>
        </is>
      </c>
      <c r="D1866" t="inlineStr">
        <is>
          <t>Iraq</t>
        </is>
      </c>
    </row>
    <row r="1867">
      <c r="A1867" t="inlineStr">
        <is>
          <t>U1866</t>
        </is>
      </c>
      <c r="B1867" t="inlineStr">
        <is>
          <t>University of Bath</t>
        </is>
      </c>
      <c r="C1867" t="inlineStr">
        <is>
          <t>UN</t>
        </is>
      </c>
      <c r="D1867" t="inlineStr">
        <is>
          <t>United Kingdom</t>
        </is>
      </c>
    </row>
    <row r="1868">
      <c r="A1868" t="inlineStr">
        <is>
          <t>U1867</t>
        </is>
      </c>
      <c r="B1868" t="inlineStr">
        <is>
          <t>University of Batna 2</t>
        </is>
      </c>
      <c r="C1868" t="inlineStr">
        <is>
          <t>AL</t>
        </is>
      </c>
      <c r="D1868" t="inlineStr">
        <is>
          <t>Algeria</t>
        </is>
      </c>
    </row>
    <row r="1869">
      <c r="A1869" t="inlineStr">
        <is>
          <t>U1868</t>
        </is>
      </c>
      <c r="B1869" t="inlineStr">
        <is>
          <t>University of Bayreuth</t>
        </is>
      </c>
      <c r="C1869" t="inlineStr">
        <is>
          <t>GE</t>
        </is>
      </c>
      <c r="D1869" t="inlineStr">
        <is>
          <t>Germany</t>
        </is>
      </c>
    </row>
    <row r="1870">
      <c r="A1870" t="inlineStr">
        <is>
          <t>U1869</t>
        </is>
      </c>
      <c r="B1870" t="inlineStr">
        <is>
          <t>University of Bedfordshire</t>
        </is>
      </c>
      <c r="C1870" t="inlineStr">
        <is>
          <t>UN</t>
        </is>
      </c>
      <c r="D1870" t="inlineStr">
        <is>
          <t>United Kingdom</t>
        </is>
      </c>
    </row>
    <row r="1871">
      <c r="A1871" t="inlineStr">
        <is>
          <t>U1870</t>
        </is>
      </c>
      <c r="B1871" t="inlineStr">
        <is>
          <t>University of Beira Interior</t>
        </is>
      </c>
      <c r="C1871" t="inlineStr">
        <is>
          <t>PO</t>
        </is>
      </c>
      <c r="D1871" t="inlineStr">
        <is>
          <t>Portugal</t>
        </is>
      </c>
    </row>
    <row r="1872">
      <c r="A1872" t="inlineStr">
        <is>
          <t>U1871</t>
        </is>
      </c>
      <c r="B1872" t="inlineStr">
        <is>
          <t>University of Belgrade</t>
        </is>
      </c>
      <c r="C1872" t="inlineStr">
        <is>
          <t>SE</t>
        </is>
      </c>
      <c r="D1872" t="inlineStr">
        <is>
          <t>Serbia</t>
        </is>
      </c>
    </row>
    <row r="1873">
      <c r="A1873" t="inlineStr">
        <is>
          <t>U1872</t>
        </is>
      </c>
      <c r="B1873" t="inlineStr">
        <is>
          <t>University of Benin</t>
        </is>
      </c>
      <c r="C1873" t="inlineStr">
        <is>
          <t>NI</t>
        </is>
      </c>
      <c r="D1873" t="inlineStr">
        <is>
          <t>Nigeria</t>
        </is>
      </c>
    </row>
    <row r="1874">
      <c r="A1874" t="inlineStr">
        <is>
          <t>U1873</t>
        </is>
      </c>
      <c r="B1874" t="inlineStr">
        <is>
          <t>University of Bergamo</t>
        </is>
      </c>
      <c r="C1874" t="inlineStr">
        <is>
          <t>IT</t>
        </is>
      </c>
      <c r="D1874" t="inlineStr">
        <is>
          <t>Italy</t>
        </is>
      </c>
    </row>
    <row r="1875">
      <c r="A1875" t="inlineStr">
        <is>
          <t>U1874</t>
        </is>
      </c>
      <c r="B1875" t="inlineStr">
        <is>
          <t>University of Bergen</t>
        </is>
      </c>
      <c r="C1875" t="inlineStr">
        <is>
          <t>NO</t>
        </is>
      </c>
      <c r="D1875" t="inlineStr">
        <is>
          <t>Norway</t>
        </is>
      </c>
    </row>
    <row r="1876">
      <c r="A1876" t="inlineStr">
        <is>
          <t>U1875</t>
        </is>
      </c>
      <c r="B1876" t="inlineStr">
        <is>
          <t>University of Bern</t>
        </is>
      </c>
      <c r="C1876" t="inlineStr">
        <is>
          <t>SW</t>
        </is>
      </c>
      <c r="D1876" t="inlineStr">
        <is>
          <t>Switzerland</t>
        </is>
      </c>
    </row>
    <row r="1877">
      <c r="A1877" t="inlineStr">
        <is>
          <t>U1876</t>
        </is>
      </c>
      <c r="B1877" t="inlineStr">
        <is>
          <t>University of Bialystok</t>
        </is>
      </c>
      <c r="C1877" t="inlineStr">
        <is>
          <t>PO</t>
        </is>
      </c>
      <c r="D1877" t="inlineStr">
        <is>
          <t>Poland</t>
        </is>
      </c>
    </row>
    <row r="1878">
      <c r="A1878" t="inlineStr">
        <is>
          <t>U1877</t>
        </is>
      </c>
      <c r="B1878" t="inlineStr">
        <is>
          <t>University of Birjand</t>
        </is>
      </c>
      <c r="C1878" t="inlineStr">
        <is>
          <t>IR</t>
        </is>
      </c>
      <c r="D1878" t="inlineStr">
        <is>
          <t>Iran</t>
        </is>
      </c>
    </row>
    <row r="1879">
      <c r="A1879" t="inlineStr">
        <is>
          <t>U1878</t>
        </is>
      </c>
      <c r="B1879" t="inlineStr">
        <is>
          <t>University of Birmingham</t>
        </is>
      </c>
      <c r="C1879" t="inlineStr">
        <is>
          <t>UN</t>
        </is>
      </c>
      <c r="D1879" t="inlineStr">
        <is>
          <t>United Kingdom</t>
        </is>
      </c>
    </row>
    <row r="1880">
      <c r="A1880" t="inlineStr">
        <is>
          <t>U1879</t>
        </is>
      </c>
      <c r="B1880" t="inlineStr">
        <is>
          <t>University of Biskra</t>
        </is>
      </c>
      <c r="C1880" t="inlineStr">
        <is>
          <t>AL</t>
        </is>
      </c>
      <c r="D1880" t="inlineStr">
        <is>
          <t>Algeria</t>
        </is>
      </c>
    </row>
    <row r="1881">
      <c r="A1881" t="inlineStr">
        <is>
          <t>U1880</t>
        </is>
      </c>
      <c r="B1881" t="inlineStr">
        <is>
          <t>University of Bologna</t>
        </is>
      </c>
      <c r="C1881" t="inlineStr">
        <is>
          <t>IT</t>
        </is>
      </c>
      <c r="D1881" t="inlineStr">
        <is>
          <t>Italy</t>
        </is>
      </c>
    </row>
    <row r="1882">
      <c r="A1882" t="inlineStr">
        <is>
          <t>U1881</t>
        </is>
      </c>
      <c r="B1882" t="inlineStr">
        <is>
          <t>University of Bonn</t>
        </is>
      </c>
      <c r="C1882" t="inlineStr">
        <is>
          <t>GE</t>
        </is>
      </c>
      <c r="D1882" t="inlineStr">
        <is>
          <t>Germany</t>
        </is>
      </c>
    </row>
    <row r="1883">
      <c r="A1883" t="inlineStr">
        <is>
          <t>U1882</t>
        </is>
      </c>
      <c r="B1883" t="inlineStr">
        <is>
          <t>University of Bordeaux</t>
        </is>
      </c>
      <c r="C1883" t="inlineStr">
        <is>
          <t>FR</t>
        </is>
      </c>
      <c r="D1883" t="inlineStr">
        <is>
          <t>France</t>
        </is>
      </c>
    </row>
    <row r="1884">
      <c r="A1884" t="inlineStr">
        <is>
          <t>U1883</t>
        </is>
      </c>
      <c r="B1884" t="inlineStr">
        <is>
          <t>University of Botswana</t>
        </is>
      </c>
      <c r="C1884" t="inlineStr">
        <is>
          <t>BO</t>
        </is>
      </c>
      <c r="D1884" t="inlineStr">
        <is>
          <t>Botswana</t>
        </is>
      </c>
    </row>
    <row r="1885">
      <c r="A1885" t="inlineStr">
        <is>
          <t>U1884</t>
        </is>
      </c>
      <c r="B1885" t="inlineStr">
        <is>
          <t>University of Bradford</t>
        </is>
      </c>
      <c r="C1885" t="inlineStr">
        <is>
          <t>UN</t>
        </is>
      </c>
      <c r="D1885" t="inlineStr">
        <is>
          <t>United Kingdom</t>
        </is>
      </c>
    </row>
    <row r="1886">
      <c r="A1886" t="inlineStr">
        <is>
          <t>U1885</t>
        </is>
      </c>
      <c r="B1886" t="inlineStr">
        <is>
          <t>University of Brasília</t>
        </is>
      </c>
      <c r="C1886" t="inlineStr">
        <is>
          <t>BR</t>
        </is>
      </c>
      <c r="D1886" t="inlineStr">
        <is>
          <t>Brazil</t>
        </is>
      </c>
    </row>
    <row r="1887">
      <c r="A1887" t="inlineStr">
        <is>
          <t>U1886</t>
        </is>
      </c>
      <c r="B1887" t="inlineStr">
        <is>
          <t>University of Brawijaya</t>
        </is>
      </c>
      <c r="C1887" t="inlineStr">
        <is>
          <t>IN</t>
        </is>
      </c>
      <c r="D1887" t="inlineStr">
        <is>
          <t>Indonesia</t>
        </is>
      </c>
    </row>
    <row r="1888">
      <c r="A1888" t="inlineStr">
        <is>
          <t>U1887</t>
        </is>
      </c>
      <c r="B1888" t="inlineStr">
        <is>
          <t>University of Bremen</t>
        </is>
      </c>
      <c r="C1888" t="inlineStr">
        <is>
          <t>GE</t>
        </is>
      </c>
      <c r="D1888" t="inlineStr">
        <is>
          <t>Germany</t>
        </is>
      </c>
    </row>
    <row r="1889">
      <c r="A1889" t="inlineStr">
        <is>
          <t>U1888</t>
        </is>
      </c>
      <c r="B1889" t="inlineStr">
        <is>
          <t>University of Brescia</t>
        </is>
      </c>
      <c r="C1889" t="inlineStr">
        <is>
          <t>IT</t>
        </is>
      </c>
      <c r="D1889" t="inlineStr">
        <is>
          <t>Italy</t>
        </is>
      </c>
    </row>
    <row r="1890">
      <c r="A1890" t="inlineStr">
        <is>
          <t>U1889</t>
        </is>
      </c>
      <c r="B1890" t="inlineStr">
        <is>
          <t>University of Brighton</t>
        </is>
      </c>
      <c r="C1890" t="inlineStr">
        <is>
          <t>UN</t>
        </is>
      </c>
      <c r="D1890" t="inlineStr">
        <is>
          <t>United Kingdom</t>
        </is>
      </c>
    </row>
    <row r="1891">
      <c r="A1891" t="inlineStr">
        <is>
          <t>U1890</t>
        </is>
      </c>
      <c r="B1891" t="inlineStr">
        <is>
          <t>University of Bristol</t>
        </is>
      </c>
      <c r="C1891" t="inlineStr">
        <is>
          <t>UN</t>
        </is>
      </c>
      <c r="D1891" t="inlineStr">
        <is>
          <t>United Kingdom</t>
        </is>
      </c>
    </row>
    <row r="1892">
      <c r="A1892" t="inlineStr">
        <is>
          <t>U1891</t>
        </is>
      </c>
      <c r="B1892" t="inlineStr">
        <is>
          <t>University of British Columbia</t>
        </is>
      </c>
      <c r="C1892" t="inlineStr">
        <is>
          <t>CA</t>
        </is>
      </c>
      <c r="D1892" t="inlineStr">
        <is>
          <t>Canada</t>
        </is>
      </c>
    </row>
    <row r="1893">
      <c r="A1893" t="inlineStr">
        <is>
          <t>U1892</t>
        </is>
      </c>
      <c r="B1893" t="inlineStr">
        <is>
          <t>University of Bucharest</t>
        </is>
      </c>
      <c r="C1893" t="inlineStr">
        <is>
          <t>RO</t>
        </is>
      </c>
      <c r="D1893" t="inlineStr">
        <is>
          <t>Romania</t>
        </is>
      </c>
    </row>
    <row r="1894">
      <c r="A1894" t="inlineStr">
        <is>
          <t>U1893</t>
        </is>
      </c>
      <c r="B1894" t="inlineStr">
        <is>
          <t>University of Burgos</t>
        </is>
      </c>
      <c r="C1894" t="inlineStr">
        <is>
          <t>SP</t>
        </is>
      </c>
      <c r="D1894" t="inlineStr">
        <is>
          <t>Spain</t>
        </is>
      </c>
    </row>
    <row r="1895">
      <c r="A1895" t="inlineStr">
        <is>
          <t>U1894</t>
        </is>
      </c>
      <c r="B1895" t="inlineStr">
        <is>
          <t>University of Córdoba</t>
        </is>
      </c>
      <c r="C1895" t="inlineStr">
        <is>
          <t>SP</t>
        </is>
      </c>
      <c r="D1895" t="inlineStr">
        <is>
          <t>Spain</t>
        </is>
      </c>
    </row>
    <row r="1896">
      <c r="A1896" t="inlineStr">
        <is>
          <t>U1895</t>
        </is>
      </c>
      <c r="B1896" t="inlineStr">
        <is>
          <t>University of Côte d’Azur</t>
        </is>
      </c>
      <c r="C1896" t="inlineStr">
        <is>
          <t>FR</t>
        </is>
      </c>
      <c r="D1896" t="inlineStr">
        <is>
          <t>France</t>
        </is>
      </c>
    </row>
    <row r="1897">
      <c r="A1897" t="inlineStr">
        <is>
          <t>U1896</t>
        </is>
      </c>
      <c r="B1897" t="inlineStr">
        <is>
          <t>University of Cadiz</t>
        </is>
      </c>
      <c r="C1897" t="inlineStr">
        <is>
          <t>SP</t>
        </is>
      </c>
      <c r="D1897" t="inlineStr">
        <is>
          <t>Spain</t>
        </is>
      </c>
    </row>
    <row r="1898">
      <c r="A1898" t="inlineStr">
        <is>
          <t>U1897</t>
        </is>
      </c>
      <c r="B1898" t="inlineStr">
        <is>
          <t>University of Calabria</t>
        </is>
      </c>
      <c r="C1898" t="inlineStr">
        <is>
          <t>IT</t>
        </is>
      </c>
      <c r="D1898" t="inlineStr">
        <is>
          <t>Italy</t>
        </is>
      </c>
    </row>
    <row r="1899">
      <c r="A1899" t="inlineStr">
        <is>
          <t>U1898</t>
        </is>
      </c>
      <c r="B1899" t="inlineStr">
        <is>
          <t>University of Calcutta</t>
        </is>
      </c>
      <c r="C1899" t="inlineStr">
        <is>
          <t>IN</t>
        </is>
      </c>
      <c r="D1899" t="inlineStr">
        <is>
          <t>India</t>
        </is>
      </c>
    </row>
    <row r="1900">
      <c r="A1900" t="inlineStr">
        <is>
          <t>U1899</t>
        </is>
      </c>
      <c r="B1900" t="inlineStr">
        <is>
          <t>University of Caldas</t>
        </is>
      </c>
      <c r="C1900" t="inlineStr">
        <is>
          <t>CO</t>
        </is>
      </c>
      <c r="D1900" t="inlineStr">
        <is>
          <t>Colombia</t>
        </is>
      </c>
    </row>
    <row r="1901">
      <c r="A1901" t="inlineStr">
        <is>
          <t>U1900</t>
        </is>
      </c>
      <c r="B1901" t="inlineStr">
        <is>
          <t>University of Calgary</t>
        </is>
      </c>
      <c r="C1901" t="inlineStr">
        <is>
          <t>CA</t>
        </is>
      </c>
      <c r="D1901" t="inlineStr">
        <is>
          <t>Canada</t>
        </is>
      </c>
    </row>
    <row r="1902">
      <c r="A1902" t="inlineStr">
        <is>
          <t>U1901</t>
        </is>
      </c>
      <c r="B1902" t="inlineStr">
        <is>
          <t>University of California, Berkeley (UCB)</t>
        </is>
      </c>
      <c r="C1902" t="inlineStr">
        <is>
          <t>UN</t>
        </is>
      </c>
      <c r="D1902" t="inlineStr">
        <is>
          <t>United States</t>
        </is>
      </c>
    </row>
    <row r="1903">
      <c r="A1903" t="inlineStr">
        <is>
          <t>U1902</t>
        </is>
      </c>
      <c r="B1903" t="inlineStr">
        <is>
          <t>University of California, Davis</t>
        </is>
      </c>
      <c r="C1903" t="inlineStr">
        <is>
          <t>UN</t>
        </is>
      </c>
      <c r="D1903" t="inlineStr">
        <is>
          <t>United States</t>
        </is>
      </c>
    </row>
    <row r="1904">
      <c r="A1904" t="inlineStr">
        <is>
          <t>U1903</t>
        </is>
      </c>
      <c r="B1904" t="inlineStr">
        <is>
          <t>University of California, Irvine</t>
        </is>
      </c>
      <c r="C1904" t="inlineStr">
        <is>
          <t>UN</t>
        </is>
      </c>
      <c r="D1904" t="inlineStr">
        <is>
          <t>United States</t>
        </is>
      </c>
    </row>
    <row r="1905">
      <c r="A1905" t="inlineStr">
        <is>
          <t>U1904</t>
        </is>
      </c>
      <c r="B1905" t="inlineStr">
        <is>
          <t>University of California, Los Angeles (UCLA)</t>
        </is>
      </c>
      <c r="C1905" t="inlineStr">
        <is>
          <t>UN</t>
        </is>
      </c>
      <c r="D1905" t="inlineStr">
        <is>
          <t>United States</t>
        </is>
      </c>
    </row>
    <row r="1906">
      <c r="A1906" t="inlineStr">
        <is>
          <t>U1905</t>
        </is>
      </c>
      <c r="B1906" t="inlineStr">
        <is>
          <t>University of California, Merced</t>
        </is>
      </c>
      <c r="C1906" t="inlineStr">
        <is>
          <t>UN</t>
        </is>
      </c>
      <c r="D1906" t="inlineStr">
        <is>
          <t>United States</t>
        </is>
      </c>
    </row>
    <row r="1907">
      <c r="A1907" t="inlineStr">
        <is>
          <t>U1906</t>
        </is>
      </c>
      <c r="B1907" t="inlineStr">
        <is>
          <t>University of California, Riverside</t>
        </is>
      </c>
      <c r="C1907" t="inlineStr">
        <is>
          <t>UN</t>
        </is>
      </c>
      <c r="D1907" t="inlineStr">
        <is>
          <t>United States</t>
        </is>
      </c>
    </row>
    <row r="1908">
      <c r="A1908" t="inlineStr">
        <is>
          <t>U1907</t>
        </is>
      </c>
      <c r="B1908" t="inlineStr">
        <is>
          <t>University of California, San Diego (UCSD)</t>
        </is>
      </c>
      <c r="C1908" t="inlineStr">
        <is>
          <t>UN</t>
        </is>
      </c>
      <c r="D1908" t="inlineStr">
        <is>
          <t>United States</t>
        </is>
      </c>
    </row>
    <row r="1909">
      <c r="A1909" t="inlineStr">
        <is>
          <t>U1908</t>
        </is>
      </c>
      <c r="B1909" t="inlineStr">
        <is>
          <t>University of California, Santa Barbara (UCSB)</t>
        </is>
      </c>
      <c r="C1909" t="inlineStr">
        <is>
          <t>UN</t>
        </is>
      </c>
      <c r="D1909" t="inlineStr">
        <is>
          <t>United States</t>
        </is>
      </c>
    </row>
    <row r="1910">
      <c r="A1910" t="inlineStr">
        <is>
          <t>U1909</t>
        </is>
      </c>
      <c r="B1910" t="inlineStr">
        <is>
          <t>University of California, Santa Cruz</t>
        </is>
      </c>
      <c r="C1910" t="inlineStr">
        <is>
          <t>UN</t>
        </is>
      </c>
      <c r="D1910" t="inlineStr">
        <is>
          <t>United States</t>
        </is>
      </c>
    </row>
    <row r="1911">
      <c r="A1911" t="inlineStr">
        <is>
          <t>U1910</t>
        </is>
      </c>
      <c r="B1911" t="inlineStr">
        <is>
          <t>University of Cambridge</t>
        </is>
      </c>
      <c r="C1911" t="inlineStr">
        <is>
          <t>UN</t>
        </is>
      </c>
      <c r="D1911" t="inlineStr">
        <is>
          <t>United Kingdom</t>
        </is>
      </c>
    </row>
    <row r="1912">
      <c r="A1912" t="inlineStr">
        <is>
          <t>U1911</t>
        </is>
      </c>
      <c r="B1912" t="inlineStr">
        <is>
          <t>University of Camerino (Unicam)</t>
        </is>
      </c>
      <c r="C1912" t="inlineStr">
        <is>
          <t>IT</t>
        </is>
      </c>
      <c r="D1912" t="inlineStr">
        <is>
          <t>Italy</t>
        </is>
      </c>
    </row>
    <row r="1913">
      <c r="A1913" t="inlineStr">
        <is>
          <t>U1912</t>
        </is>
      </c>
      <c r="B1913" t="inlineStr">
        <is>
          <t>University of Campania Luigi Vanvitelli</t>
        </is>
      </c>
      <c r="C1913" t="inlineStr">
        <is>
          <t>IT</t>
        </is>
      </c>
      <c r="D1913" t="inlineStr">
        <is>
          <t>Italy</t>
        </is>
      </c>
    </row>
    <row r="1914">
      <c r="A1914" t="inlineStr">
        <is>
          <t>U1913</t>
        </is>
      </c>
      <c r="B1914" t="inlineStr">
        <is>
          <t>University of Campinas</t>
        </is>
      </c>
      <c r="C1914" t="inlineStr">
        <is>
          <t>BR</t>
        </is>
      </c>
      <c r="D1914" t="inlineStr">
        <is>
          <t>Brazil</t>
        </is>
      </c>
    </row>
    <row r="1915">
      <c r="A1915" t="inlineStr">
        <is>
          <t>U1914</t>
        </is>
      </c>
      <c r="B1915" t="inlineStr">
        <is>
          <t xml:space="preserve">University of Canberra </t>
        </is>
      </c>
      <c r="C1915" t="inlineStr">
        <is>
          <t>AU</t>
        </is>
      </c>
      <c r="D1915" t="inlineStr">
        <is>
          <t>Australia</t>
        </is>
      </c>
    </row>
    <row r="1916">
      <c r="A1916" t="inlineStr">
        <is>
          <t>U1915</t>
        </is>
      </c>
      <c r="B1916" t="inlineStr">
        <is>
          <t>University of Canterbury</t>
        </is>
      </c>
      <c r="C1916" t="inlineStr">
        <is>
          <t>NE</t>
        </is>
      </c>
      <c r="D1916" t="inlineStr">
        <is>
          <t>New Zealand</t>
        </is>
      </c>
    </row>
    <row r="1917">
      <c r="A1917" t="inlineStr">
        <is>
          <t>U1916</t>
        </is>
      </c>
      <c r="B1917" t="inlineStr">
        <is>
          <t>University of Canterbury | Te Whare W?nanga o Waitaha</t>
        </is>
      </c>
      <c r="C1917" t="inlineStr">
        <is>
          <t>NE</t>
        </is>
      </c>
      <c r="D1917" t="inlineStr">
        <is>
          <t>New Zealand</t>
        </is>
      </c>
    </row>
    <row r="1918">
      <c r="A1918" t="inlineStr">
        <is>
          <t>U1917</t>
        </is>
      </c>
      <c r="B1918" t="inlineStr">
        <is>
          <t>University of Cape Coast</t>
        </is>
      </c>
      <c r="C1918" t="inlineStr">
        <is>
          <t>GH</t>
        </is>
      </c>
      <c r="D1918" t="inlineStr">
        <is>
          <t>Ghana</t>
        </is>
      </c>
    </row>
    <row r="1919">
      <c r="A1919" t="inlineStr">
        <is>
          <t>U1918</t>
        </is>
      </c>
      <c r="B1919" t="inlineStr">
        <is>
          <t>University of Cape Town</t>
        </is>
      </c>
      <c r="C1919" t="inlineStr">
        <is>
          <t>SO</t>
        </is>
      </c>
      <c r="D1919" t="inlineStr">
        <is>
          <t>South Africa</t>
        </is>
      </c>
    </row>
    <row r="1920">
      <c r="A1920" t="inlineStr">
        <is>
          <t>U1919</t>
        </is>
      </c>
      <c r="B1920" t="inlineStr">
        <is>
          <t>University of Carthage</t>
        </is>
      </c>
      <c r="C1920" t="inlineStr">
        <is>
          <t>TU</t>
        </is>
      </c>
      <c r="D1920" t="inlineStr">
        <is>
          <t>Tunisia</t>
        </is>
      </c>
    </row>
    <row r="1921">
      <c r="A1921" t="inlineStr">
        <is>
          <t>U1920</t>
        </is>
      </c>
      <c r="B1921" t="inlineStr">
        <is>
          <t>University of Castilla-La Mancha</t>
        </is>
      </c>
      <c r="C1921" t="inlineStr">
        <is>
          <t>SP</t>
        </is>
      </c>
      <c r="D1921" t="inlineStr">
        <is>
          <t>Spain</t>
        </is>
      </c>
    </row>
    <row r="1922">
      <c r="A1922" t="inlineStr">
        <is>
          <t>U1921</t>
        </is>
      </c>
      <c r="B1922" t="inlineStr">
        <is>
          <t>University of Catania</t>
        </is>
      </c>
      <c r="C1922" t="inlineStr">
        <is>
          <t>IT</t>
        </is>
      </c>
      <c r="D1922" t="inlineStr">
        <is>
          <t>Italy</t>
        </is>
      </c>
    </row>
    <row r="1923">
      <c r="A1923" t="inlineStr">
        <is>
          <t>U1922</t>
        </is>
      </c>
      <c r="B1923" t="inlineStr">
        <is>
          <t>University of Caxias do Sul</t>
        </is>
      </c>
      <c r="C1923" t="inlineStr">
        <is>
          <t>BR</t>
        </is>
      </c>
      <c r="D1923" t="inlineStr">
        <is>
          <t>Brazil</t>
        </is>
      </c>
    </row>
    <row r="1924">
      <c r="A1924" t="inlineStr">
        <is>
          <t>U1923</t>
        </is>
      </c>
      <c r="B1924" t="inlineStr">
        <is>
          <t>University of Central Florida</t>
        </is>
      </c>
      <c r="C1924" t="inlineStr">
        <is>
          <t>UN</t>
        </is>
      </c>
      <c r="D1924" t="inlineStr">
        <is>
          <t>United States</t>
        </is>
      </c>
    </row>
    <row r="1925">
      <c r="A1925" t="inlineStr">
        <is>
          <t>U1924</t>
        </is>
      </c>
      <c r="B1925" t="inlineStr">
        <is>
          <t>University of Central Lancashire</t>
        </is>
      </c>
      <c r="C1925" t="inlineStr">
        <is>
          <t>UN</t>
        </is>
      </c>
      <c r="D1925" t="inlineStr">
        <is>
          <t>United Kingdom</t>
        </is>
      </c>
    </row>
    <row r="1926">
      <c r="A1926" t="inlineStr">
        <is>
          <t>U1925</t>
        </is>
      </c>
      <c r="B1926" t="inlineStr">
        <is>
          <t>University of Central Oklahoma</t>
        </is>
      </c>
      <c r="C1926" t="inlineStr">
        <is>
          <t>UN</t>
        </is>
      </c>
      <c r="D1926" t="inlineStr">
        <is>
          <t>United States</t>
        </is>
      </c>
    </row>
    <row r="1927">
      <c r="A1927" t="inlineStr">
        <is>
          <t>U1926</t>
        </is>
      </c>
      <c r="B1927" t="inlineStr">
        <is>
          <t>University of Chemistry and Technology, Prague</t>
        </is>
      </c>
      <c r="C1927" t="inlineStr">
        <is>
          <t>CZ</t>
        </is>
      </c>
      <c r="D1927" t="inlineStr">
        <is>
          <t>Czech Republic</t>
        </is>
      </c>
    </row>
    <row r="1928">
      <c r="A1928" t="inlineStr">
        <is>
          <t>U1927</t>
        </is>
      </c>
      <c r="B1928" t="inlineStr">
        <is>
          <t>University of Chester</t>
        </is>
      </c>
      <c r="C1928" t="inlineStr">
        <is>
          <t>UN</t>
        </is>
      </c>
      <c r="D1928" t="inlineStr">
        <is>
          <t>United Kingdom</t>
        </is>
      </c>
    </row>
    <row r="1929">
      <c r="A1929" t="inlineStr">
        <is>
          <t>U1928</t>
        </is>
      </c>
      <c r="B1929" t="inlineStr">
        <is>
          <t>University of Chicago</t>
        </is>
      </c>
      <c r="C1929" t="inlineStr">
        <is>
          <t>UN</t>
        </is>
      </c>
      <c r="D1929" t="inlineStr">
        <is>
          <t>United States</t>
        </is>
      </c>
    </row>
    <row r="1930">
      <c r="A1930" t="inlineStr">
        <is>
          <t>U1929</t>
        </is>
      </c>
      <c r="B1930" t="inlineStr">
        <is>
          <t>University of Chile</t>
        </is>
      </c>
      <c r="C1930" t="inlineStr">
        <is>
          <t>CH</t>
        </is>
      </c>
      <c r="D1930" t="inlineStr">
        <is>
          <t>Chile</t>
        </is>
      </c>
    </row>
    <row r="1931">
      <c r="A1931" t="inlineStr">
        <is>
          <t>U1930</t>
        </is>
      </c>
      <c r="B1931" t="inlineStr">
        <is>
          <t>University of Cincinnati</t>
        </is>
      </c>
      <c r="C1931" t="inlineStr">
        <is>
          <t>UN</t>
        </is>
      </c>
      <c r="D1931" t="inlineStr">
        <is>
          <t>United States</t>
        </is>
      </c>
    </row>
    <row r="1932">
      <c r="A1932" t="inlineStr">
        <is>
          <t>U1931</t>
        </is>
      </c>
      <c r="B1932" t="inlineStr">
        <is>
          <t>University of Clermont Auvergne</t>
        </is>
      </c>
      <c r="C1932" t="inlineStr">
        <is>
          <t>FR</t>
        </is>
      </c>
      <c r="D1932" t="inlineStr">
        <is>
          <t>France</t>
        </is>
      </c>
    </row>
    <row r="1933">
      <c r="A1933" t="inlineStr">
        <is>
          <t>U1932</t>
        </is>
      </c>
      <c r="B1933" t="inlineStr">
        <is>
          <t>University of Coimbra</t>
        </is>
      </c>
      <c r="C1933" t="inlineStr">
        <is>
          <t>PO</t>
        </is>
      </c>
      <c r="D1933" t="inlineStr">
        <is>
          <t>Portugal</t>
        </is>
      </c>
    </row>
    <row r="1934">
      <c r="A1934" t="inlineStr">
        <is>
          <t>U1933</t>
        </is>
      </c>
      <c r="B1934" t="inlineStr">
        <is>
          <t>University of Colima</t>
        </is>
      </c>
      <c r="C1934" t="inlineStr">
        <is>
          <t>ME</t>
        </is>
      </c>
      <c r="D1934" t="inlineStr">
        <is>
          <t>Mexico</t>
        </is>
      </c>
    </row>
    <row r="1935">
      <c r="A1935" t="inlineStr">
        <is>
          <t>U1934</t>
        </is>
      </c>
      <c r="B1935" t="inlineStr">
        <is>
          <t>University of Cologne</t>
        </is>
      </c>
      <c r="C1935" t="inlineStr">
        <is>
          <t>GE</t>
        </is>
      </c>
      <c r="D1935" t="inlineStr">
        <is>
          <t>Germany</t>
        </is>
      </c>
    </row>
    <row r="1936">
      <c r="A1936" t="inlineStr">
        <is>
          <t>U1935</t>
        </is>
      </c>
      <c r="B1936" t="inlineStr">
        <is>
          <t>University of Colombo</t>
        </is>
      </c>
      <c r="C1936" t="inlineStr">
        <is>
          <t>SR</t>
        </is>
      </c>
      <c r="D1936" t="inlineStr">
        <is>
          <t>Sri Lanka</t>
        </is>
      </c>
    </row>
    <row r="1937">
      <c r="A1937" t="inlineStr">
        <is>
          <t>U1936</t>
        </is>
      </c>
      <c r="B1937" t="inlineStr">
        <is>
          <t>University of Colorado Boulder</t>
        </is>
      </c>
      <c r="C1937" t="inlineStr">
        <is>
          <t>UN</t>
        </is>
      </c>
      <c r="D1937" t="inlineStr">
        <is>
          <t>United States</t>
        </is>
      </c>
    </row>
    <row r="1938">
      <c r="A1938" t="inlineStr">
        <is>
          <t>U1937</t>
        </is>
      </c>
      <c r="B1938" t="inlineStr">
        <is>
          <t xml:space="preserve">University of Colorado, Denver </t>
        </is>
      </c>
      <c r="C1938" t="inlineStr">
        <is>
          <t>UN</t>
        </is>
      </c>
      <c r="D1938" t="inlineStr">
        <is>
          <t>United States</t>
        </is>
      </c>
    </row>
    <row r="1939">
      <c r="A1939" t="inlineStr">
        <is>
          <t>U1938</t>
        </is>
      </c>
      <c r="B1939" t="inlineStr">
        <is>
          <t>University of Colorado Denver/Anschutz Medical Campus</t>
        </is>
      </c>
      <c r="C1939" t="inlineStr">
        <is>
          <t>UN</t>
        </is>
      </c>
      <c r="D1939" t="inlineStr">
        <is>
          <t>United States</t>
        </is>
      </c>
    </row>
    <row r="1940">
      <c r="A1940" t="inlineStr">
        <is>
          <t>U1939</t>
        </is>
      </c>
      <c r="B1940" t="inlineStr">
        <is>
          <t>University of Concepción</t>
        </is>
      </c>
      <c r="C1940" t="inlineStr">
        <is>
          <t>CH</t>
        </is>
      </c>
      <c r="D1940" t="inlineStr">
        <is>
          <t>Chile</t>
        </is>
      </c>
    </row>
    <row r="1941">
      <c r="A1941" t="inlineStr">
        <is>
          <t>U1940</t>
        </is>
      </c>
      <c r="B1941" t="inlineStr">
        <is>
          <t>University of Connecticut</t>
        </is>
      </c>
      <c r="C1941" t="inlineStr">
        <is>
          <t>UN</t>
        </is>
      </c>
      <c r="D1941" t="inlineStr">
        <is>
          <t>United States</t>
        </is>
      </c>
    </row>
    <row r="1942">
      <c r="A1942" t="inlineStr">
        <is>
          <t>U1941</t>
        </is>
      </c>
      <c r="B1942" t="inlineStr">
        <is>
          <t>University of Copenhagen</t>
        </is>
      </c>
      <c r="C1942" t="inlineStr">
        <is>
          <t>DE</t>
        </is>
      </c>
      <c r="D1942" t="inlineStr">
        <is>
          <t>Denmark</t>
        </is>
      </c>
    </row>
    <row r="1943">
      <c r="A1943" t="inlineStr">
        <is>
          <t>U1942</t>
        </is>
      </c>
      <c r="B1943" t="inlineStr">
        <is>
          <t>University of Costa Rica</t>
        </is>
      </c>
      <c r="C1943" t="inlineStr">
        <is>
          <t>CO</t>
        </is>
      </c>
      <c r="D1943" t="inlineStr">
        <is>
          <t>Costa Rica</t>
        </is>
      </c>
    </row>
    <row r="1944">
      <c r="A1944" t="inlineStr">
        <is>
          <t>U1943</t>
        </is>
      </c>
      <c r="B1944" t="inlineStr">
        <is>
          <t>University of Craiova</t>
        </is>
      </c>
      <c r="C1944" t="inlineStr">
        <is>
          <t>RO</t>
        </is>
      </c>
      <c r="D1944" t="inlineStr">
        <is>
          <t>Romania</t>
        </is>
      </c>
    </row>
    <row r="1945">
      <c r="A1945" t="inlineStr">
        <is>
          <t>U1944</t>
        </is>
      </c>
      <c r="B1945" t="inlineStr">
        <is>
          <t>University of Crete</t>
        </is>
      </c>
      <c r="C1945" t="inlineStr">
        <is>
          <t>GR</t>
        </is>
      </c>
      <c r="D1945" t="inlineStr">
        <is>
          <t>Greece</t>
        </is>
      </c>
    </row>
    <row r="1946">
      <c r="A1946" t="inlineStr">
        <is>
          <t>U1945</t>
        </is>
      </c>
      <c r="B1946" t="inlineStr">
        <is>
          <t>University of Cyprus (UCY)</t>
        </is>
      </c>
      <c r="C1946" t="inlineStr">
        <is>
          <t>CY</t>
        </is>
      </c>
      <c r="D1946" t="inlineStr">
        <is>
          <t>Cyprus</t>
        </is>
      </c>
    </row>
    <row r="1947">
      <c r="A1947" t="inlineStr">
        <is>
          <t>U1946</t>
        </is>
      </c>
      <c r="B1947" t="inlineStr">
        <is>
          <t>University of Łódź</t>
        </is>
      </c>
      <c r="C1947" t="inlineStr">
        <is>
          <t>PO</t>
        </is>
      </c>
      <c r="D1947" t="inlineStr">
        <is>
          <t>Poland</t>
        </is>
      </c>
    </row>
    <row r="1948">
      <c r="A1948" t="inlineStr">
        <is>
          <t>U1947</t>
        </is>
      </c>
      <c r="B1948" t="inlineStr">
        <is>
          <t>University of Dar es Salaam</t>
        </is>
      </c>
      <c r="C1948" t="inlineStr">
        <is>
          <t>TA</t>
        </is>
      </c>
      <c r="D1948" t="inlineStr">
        <is>
          <t>Tanzania</t>
        </is>
      </c>
    </row>
    <row r="1949">
      <c r="A1949" t="inlineStr">
        <is>
          <t>U1948</t>
        </is>
      </c>
      <c r="B1949" t="inlineStr">
        <is>
          <t>University of Debrecen</t>
        </is>
      </c>
      <c r="C1949" t="inlineStr">
        <is>
          <t>HU</t>
        </is>
      </c>
      <c r="D1949" t="inlineStr">
        <is>
          <t>Hungary</t>
        </is>
      </c>
    </row>
    <row r="1950">
      <c r="A1950" t="inlineStr">
        <is>
          <t>U1949</t>
        </is>
      </c>
      <c r="B1950" t="inlineStr">
        <is>
          <t>University of Delaware</t>
        </is>
      </c>
      <c r="C1950" t="inlineStr">
        <is>
          <t>UN</t>
        </is>
      </c>
      <c r="D1950" t="inlineStr">
        <is>
          <t>United States</t>
        </is>
      </c>
    </row>
    <row r="1951">
      <c r="A1951" t="inlineStr">
        <is>
          <t>U1950</t>
        </is>
      </c>
      <c r="B1951" t="inlineStr">
        <is>
          <t>University of Delhi</t>
        </is>
      </c>
      <c r="C1951" t="inlineStr">
        <is>
          <t>IN</t>
        </is>
      </c>
      <c r="D1951" t="inlineStr">
        <is>
          <t>India</t>
        </is>
      </c>
    </row>
    <row r="1952">
      <c r="A1952" t="inlineStr">
        <is>
          <t>U1951</t>
        </is>
      </c>
      <c r="B1952" t="inlineStr">
        <is>
          <t>University of Denver</t>
        </is>
      </c>
      <c r="C1952" t="inlineStr">
        <is>
          <t>UN</t>
        </is>
      </c>
      <c r="D1952" t="inlineStr">
        <is>
          <t>United States</t>
        </is>
      </c>
    </row>
    <row r="1953">
      <c r="A1953" t="inlineStr">
        <is>
          <t>U1952</t>
        </is>
      </c>
      <c r="B1953" t="inlineStr">
        <is>
          <t>University of Derby</t>
        </is>
      </c>
      <c r="C1953" t="inlineStr">
        <is>
          <t>UN</t>
        </is>
      </c>
      <c r="D1953" t="inlineStr">
        <is>
          <t>United Kingdom</t>
        </is>
      </c>
    </row>
    <row r="1954">
      <c r="A1954" t="inlineStr">
        <is>
          <t>U1953</t>
        </is>
      </c>
      <c r="B1954" t="inlineStr">
        <is>
          <t>University of Desarrollo</t>
        </is>
      </c>
      <c r="C1954" t="inlineStr">
        <is>
          <t>CH</t>
        </is>
      </c>
      <c r="D1954" t="inlineStr">
        <is>
          <t>Chile</t>
        </is>
      </c>
    </row>
    <row r="1955">
      <c r="A1955" t="inlineStr">
        <is>
          <t>U1954</t>
        </is>
      </c>
      <c r="B1955" t="inlineStr">
        <is>
          <t>University of Deusto</t>
        </is>
      </c>
      <c r="C1955" t="inlineStr">
        <is>
          <t>SP</t>
        </is>
      </c>
      <c r="D1955" t="inlineStr">
        <is>
          <t>Spain</t>
        </is>
      </c>
    </row>
    <row r="1956">
      <c r="A1956" t="inlineStr">
        <is>
          <t>U1955</t>
        </is>
      </c>
      <c r="B1956" t="inlineStr">
        <is>
          <t>University of Dhaka</t>
        </is>
      </c>
      <c r="C1956" t="inlineStr">
        <is>
          <t>BA</t>
        </is>
      </c>
      <c r="D1956" t="inlineStr">
        <is>
          <t>Bangladesh</t>
        </is>
      </c>
    </row>
    <row r="1957">
      <c r="A1957" t="inlineStr">
        <is>
          <t>U1956</t>
        </is>
      </c>
      <c r="B1957" t="inlineStr">
        <is>
          <t>University of Diyala</t>
        </is>
      </c>
      <c r="C1957" t="inlineStr">
        <is>
          <t>IR</t>
        </is>
      </c>
      <c r="D1957" t="inlineStr">
        <is>
          <t>Iraq</t>
        </is>
      </c>
    </row>
    <row r="1958">
      <c r="A1958" t="inlineStr">
        <is>
          <t>U1957</t>
        </is>
      </c>
      <c r="B1958" t="inlineStr">
        <is>
          <t>University of Dubai</t>
        </is>
      </c>
      <c r="C1958" t="inlineStr">
        <is>
          <t>UN</t>
        </is>
      </c>
      <c r="D1958" t="inlineStr">
        <is>
          <t>United Arab Emirates</t>
        </is>
      </c>
    </row>
    <row r="1959">
      <c r="A1959" t="inlineStr">
        <is>
          <t>U1958</t>
        </is>
      </c>
      <c r="B1959" t="inlineStr">
        <is>
          <t xml:space="preserve"> University of Dundee</t>
        </is>
      </c>
      <c r="C1959" t="inlineStr">
        <is>
          <t>UN</t>
        </is>
      </c>
      <c r="D1959" t="inlineStr">
        <is>
          <t>United Kingdom</t>
        </is>
      </c>
    </row>
    <row r="1960">
      <c r="A1960" t="inlineStr">
        <is>
          <t>U1959</t>
        </is>
      </c>
      <c r="B1960" t="inlineStr">
        <is>
          <t>University of East Anglia (UEA)</t>
        </is>
      </c>
      <c r="C1960" t="inlineStr">
        <is>
          <t>UN</t>
        </is>
      </c>
      <c r="D1960" t="inlineStr">
        <is>
          <t>United Kingdom</t>
        </is>
      </c>
    </row>
    <row r="1961">
      <c r="A1961" t="inlineStr">
        <is>
          <t>U1960</t>
        </is>
      </c>
      <c r="B1961" t="inlineStr">
        <is>
          <t>University of East London</t>
        </is>
      </c>
      <c r="C1961" t="inlineStr">
        <is>
          <t>UN</t>
        </is>
      </c>
      <c r="D1961" t="inlineStr">
        <is>
          <t>United Kingdom</t>
        </is>
      </c>
    </row>
    <row r="1962">
      <c r="A1962" t="inlineStr">
        <is>
          <t>U1961</t>
        </is>
      </c>
      <c r="B1962" t="inlineStr">
        <is>
          <t>University of Eastern Finland</t>
        </is>
      </c>
      <c r="C1962" t="inlineStr">
        <is>
          <t>FI</t>
        </is>
      </c>
      <c r="D1962" t="inlineStr">
        <is>
          <t>Finland</t>
        </is>
      </c>
    </row>
    <row r="1963">
      <c r="A1963" t="inlineStr">
        <is>
          <t>U1962</t>
        </is>
      </c>
      <c r="B1963" t="inlineStr">
        <is>
          <t>The University of Edinburgh</t>
        </is>
      </c>
      <c r="C1963" t="inlineStr">
        <is>
          <t>UN</t>
        </is>
      </c>
      <c r="D1963" t="inlineStr">
        <is>
          <t>United Kingdom</t>
        </is>
      </c>
    </row>
    <row r="1964">
      <c r="A1964" t="inlineStr">
        <is>
          <t>U1963</t>
        </is>
      </c>
      <c r="B1964" t="inlineStr">
        <is>
          <t>University of Education, Lahore</t>
        </is>
      </c>
      <c r="C1964" t="inlineStr">
        <is>
          <t>PA</t>
        </is>
      </c>
      <c r="D1964" t="inlineStr">
        <is>
          <t>Pakistan</t>
        </is>
      </c>
    </row>
    <row r="1965">
      <c r="A1965" t="inlineStr">
        <is>
          <t>U1964</t>
        </is>
      </c>
      <c r="B1965" t="inlineStr">
        <is>
          <t>The University of Electro-Communications</t>
        </is>
      </c>
      <c r="C1965" t="inlineStr">
        <is>
          <t>JA</t>
        </is>
      </c>
      <c r="D1965" t="inlineStr">
        <is>
          <t>Japan</t>
        </is>
      </c>
    </row>
    <row r="1966">
      <c r="A1966" t="inlineStr">
        <is>
          <t>U1965</t>
        </is>
      </c>
      <c r="B1966" t="inlineStr">
        <is>
          <t>University of Electronic Science and Technology of China</t>
        </is>
      </c>
      <c r="C1966" t="inlineStr">
        <is>
          <t>CH</t>
        </is>
      </c>
      <c r="D1966" t="inlineStr">
        <is>
          <t>China</t>
        </is>
      </c>
    </row>
    <row r="1967">
      <c r="A1967" t="inlineStr">
        <is>
          <t>U1966</t>
        </is>
      </c>
      <c r="B1967" t="inlineStr">
        <is>
          <t>University of Engineering &amp; Technology (UET) Lahore</t>
        </is>
      </c>
      <c r="C1967" t="inlineStr">
        <is>
          <t>PA</t>
        </is>
      </c>
      <c r="D1967" t="inlineStr">
        <is>
          <t>Pakistan</t>
        </is>
      </c>
    </row>
    <row r="1968">
      <c r="A1968" t="inlineStr">
        <is>
          <t>U1967</t>
        </is>
      </c>
      <c r="B1968" t="inlineStr">
        <is>
          <t>University of Engineering and Technology, Peshawar</t>
        </is>
      </c>
      <c r="C1968" t="inlineStr">
        <is>
          <t>PA</t>
        </is>
      </c>
      <c r="D1968" t="inlineStr">
        <is>
          <t>Pakistan</t>
        </is>
      </c>
    </row>
    <row r="1969">
      <c r="A1969" t="inlineStr">
        <is>
          <t>U1968</t>
        </is>
      </c>
      <c r="B1969" t="inlineStr">
        <is>
          <t>University of Engineering and Technology, Taxila</t>
        </is>
      </c>
      <c r="C1969" t="inlineStr">
        <is>
          <t>PA</t>
        </is>
      </c>
      <c r="D1969" t="inlineStr">
        <is>
          <t>Pakistan</t>
        </is>
      </c>
    </row>
    <row r="1970">
      <c r="A1970" t="inlineStr">
        <is>
          <t>U1969</t>
        </is>
      </c>
      <c r="B1970" t="inlineStr">
        <is>
          <t>University of Erlangen-Nuremberg</t>
        </is>
      </c>
      <c r="C1970" t="inlineStr">
        <is>
          <t>GE</t>
        </is>
      </c>
      <c r="D1970" t="inlineStr">
        <is>
          <t>Germany</t>
        </is>
      </c>
    </row>
    <row r="1971">
      <c r="A1971" t="inlineStr">
        <is>
          <t>U1970</t>
        </is>
      </c>
      <c r="B1971" t="inlineStr">
        <is>
          <t>University of Essex</t>
        </is>
      </c>
      <c r="C1971" t="inlineStr">
        <is>
          <t>UN</t>
        </is>
      </c>
      <c r="D1971" t="inlineStr">
        <is>
          <t>United Kingdom</t>
        </is>
      </c>
    </row>
    <row r="1972">
      <c r="A1972" t="inlineStr">
        <is>
          <t>U1971</t>
        </is>
      </c>
      <c r="B1972" t="inlineStr">
        <is>
          <t>The University of Exeter</t>
        </is>
      </c>
      <c r="C1972" t="inlineStr">
        <is>
          <t>UN</t>
        </is>
      </c>
      <c r="D1972" t="inlineStr">
        <is>
          <t>United Kingdom</t>
        </is>
      </c>
    </row>
    <row r="1973">
      <c r="A1973" t="inlineStr">
        <is>
          <t>U1972</t>
        </is>
      </c>
      <c r="B1973" t="inlineStr">
        <is>
          <t>University of Extremadura</t>
        </is>
      </c>
      <c r="C1973" t="inlineStr">
        <is>
          <t>SP</t>
        </is>
      </c>
      <c r="D1973" t="inlineStr">
        <is>
          <t>Spain</t>
        </is>
      </c>
    </row>
    <row r="1974">
      <c r="A1974" t="inlineStr">
        <is>
          <t>U1973</t>
        </is>
      </c>
      <c r="B1974" t="inlineStr">
        <is>
          <t>University of Ferrara</t>
        </is>
      </c>
      <c r="C1974" t="inlineStr">
        <is>
          <t>IT</t>
        </is>
      </c>
      <c r="D1974" t="inlineStr">
        <is>
          <t>Italy</t>
        </is>
      </c>
    </row>
    <row r="1975">
      <c r="A1975" t="inlineStr">
        <is>
          <t>U1974</t>
        </is>
      </c>
      <c r="B1975" t="inlineStr">
        <is>
          <t>University of Florence</t>
        </is>
      </c>
      <c r="C1975" t="inlineStr">
        <is>
          <t>IT</t>
        </is>
      </c>
      <c r="D1975" t="inlineStr">
        <is>
          <t>Italy</t>
        </is>
      </c>
    </row>
    <row r="1976">
      <c r="A1976" t="inlineStr">
        <is>
          <t>U1975</t>
        </is>
      </c>
      <c r="B1976" t="inlineStr">
        <is>
          <t>University of Florida</t>
        </is>
      </c>
      <c r="C1976" t="inlineStr">
        <is>
          <t>UN</t>
        </is>
      </c>
      <c r="D1976" t="inlineStr">
        <is>
          <t>United States</t>
        </is>
      </c>
    </row>
    <row r="1977">
      <c r="A1977" t="inlineStr">
        <is>
          <t>U1976</t>
        </is>
      </c>
      <c r="B1977" t="inlineStr">
        <is>
          <t>University of Foggia</t>
        </is>
      </c>
      <c r="C1977" t="inlineStr">
        <is>
          <t>IT</t>
        </is>
      </c>
      <c r="D1977" t="inlineStr">
        <is>
          <t>Italy</t>
        </is>
      </c>
    </row>
    <row r="1978">
      <c r="A1978" t="inlineStr">
        <is>
          <t>U1977</t>
        </is>
      </c>
      <c r="B1978" t="inlineStr">
        <is>
          <t>University of Fortaleza (UNIFOR)</t>
        </is>
      </c>
      <c r="C1978" t="inlineStr">
        <is>
          <t>BR</t>
        </is>
      </c>
      <c r="D1978" t="inlineStr">
        <is>
          <t>Brazil</t>
        </is>
      </c>
    </row>
    <row r="1979">
      <c r="A1979" t="inlineStr">
        <is>
          <t>U1978</t>
        </is>
      </c>
      <c r="B1979" t="inlineStr">
        <is>
          <t>University of Franche-Comté</t>
        </is>
      </c>
      <c r="C1979" t="inlineStr">
        <is>
          <t>FR</t>
        </is>
      </c>
      <c r="D1979" t="inlineStr">
        <is>
          <t>France</t>
        </is>
      </c>
    </row>
    <row r="1980">
      <c r="A1980" t="inlineStr">
        <is>
          <t>U1979</t>
        </is>
      </c>
      <c r="B1980" t="inlineStr">
        <is>
          <t>University of Freiburg</t>
        </is>
      </c>
      <c r="C1980" t="inlineStr">
        <is>
          <t>GE</t>
        </is>
      </c>
      <c r="D1980" t="inlineStr">
        <is>
          <t>Germany</t>
        </is>
      </c>
    </row>
    <row r="1981">
      <c r="A1981" t="inlineStr">
        <is>
          <t>U1980</t>
        </is>
      </c>
      <c r="B1981" t="inlineStr">
        <is>
          <t>University of Fribourg</t>
        </is>
      </c>
      <c r="C1981" t="inlineStr">
        <is>
          <t>SW</t>
        </is>
      </c>
      <c r="D1981" t="inlineStr">
        <is>
          <t>Switzerland</t>
        </is>
      </c>
    </row>
    <row r="1982">
      <c r="A1982" t="inlineStr">
        <is>
          <t>U1981</t>
        </is>
      </c>
      <c r="B1982" t="inlineStr">
        <is>
          <t>University of Fukui</t>
        </is>
      </c>
      <c r="C1982" t="inlineStr">
        <is>
          <t>JA</t>
        </is>
      </c>
      <c r="D1982" t="inlineStr">
        <is>
          <t>Japan</t>
        </is>
      </c>
    </row>
    <row r="1983">
      <c r="A1983" t="inlineStr">
        <is>
          <t>U1982</t>
        </is>
      </c>
      <c r="B1983" t="inlineStr">
        <is>
          <t>University of Göttingen</t>
        </is>
      </c>
      <c r="C1983" t="inlineStr">
        <is>
          <t>GE</t>
        </is>
      </c>
      <c r="D1983" t="inlineStr">
        <is>
          <t>Germany</t>
        </is>
      </c>
    </row>
    <row r="1984">
      <c r="A1984" t="inlineStr">
        <is>
          <t>U1983</t>
        </is>
      </c>
      <c r="B1984" t="inlineStr">
        <is>
          <t>University of Galway</t>
        </is>
      </c>
      <c r="C1984" t="inlineStr">
        <is>
          <t>IR</t>
        </is>
      </c>
      <c r="D1984" t="inlineStr">
        <is>
          <t>Ireland</t>
        </is>
      </c>
    </row>
    <row r="1985">
      <c r="A1985" t="inlineStr">
        <is>
          <t>U1984</t>
        </is>
      </c>
      <c r="B1985" t="inlineStr">
        <is>
          <t>University of Gdańsk</t>
        </is>
      </c>
      <c r="C1985" t="inlineStr">
        <is>
          <t>PO</t>
        </is>
      </c>
      <c r="D1985" t="inlineStr">
        <is>
          <t>Poland</t>
        </is>
      </c>
    </row>
    <row r="1986">
      <c r="A1986" t="inlineStr">
        <is>
          <t>U1985</t>
        </is>
      </c>
      <c r="B1986" t="inlineStr">
        <is>
          <t>UNIVERSITY OF GDANSK</t>
        </is>
      </c>
      <c r="C1986" t="inlineStr">
        <is>
          <t>PO</t>
        </is>
      </c>
      <c r="D1986" t="inlineStr">
        <is>
          <t>Poland</t>
        </is>
      </c>
    </row>
    <row r="1987">
      <c r="A1987" t="inlineStr">
        <is>
          <t>U1986</t>
        </is>
      </c>
      <c r="B1987" t="inlineStr">
        <is>
          <t>University of Geneva</t>
        </is>
      </c>
      <c r="C1987" t="inlineStr">
        <is>
          <t>SW</t>
        </is>
      </c>
      <c r="D1987" t="inlineStr">
        <is>
          <t>Switzerland</t>
        </is>
      </c>
    </row>
    <row r="1988">
      <c r="A1988" t="inlineStr">
        <is>
          <t>U1987</t>
        </is>
      </c>
      <c r="B1988" t="inlineStr">
        <is>
          <t>University of Genoa</t>
        </is>
      </c>
      <c r="C1988" t="inlineStr">
        <is>
          <t>IT</t>
        </is>
      </c>
      <c r="D1988" t="inlineStr">
        <is>
          <t>Italy</t>
        </is>
      </c>
    </row>
    <row r="1989">
      <c r="A1989" t="inlineStr">
        <is>
          <t>U1988</t>
        </is>
      </c>
      <c r="B1989" t="inlineStr">
        <is>
          <t>The University of Georgia</t>
        </is>
      </c>
      <c r="C1989" t="inlineStr">
        <is>
          <t>UN</t>
        </is>
      </c>
      <c r="D1989" t="inlineStr">
        <is>
          <t>United States</t>
        </is>
      </c>
    </row>
    <row r="1990">
      <c r="A1990" t="inlineStr">
        <is>
          <t>U1989</t>
        </is>
      </c>
      <c r="B1990" t="inlineStr">
        <is>
          <t>University of Ghana</t>
        </is>
      </c>
      <c r="C1990" t="inlineStr">
        <is>
          <t>GH</t>
        </is>
      </c>
      <c r="D1990" t="inlineStr">
        <is>
          <t>Ghana</t>
        </is>
      </c>
    </row>
    <row r="1991">
      <c r="A1991" t="inlineStr">
        <is>
          <t>U1990</t>
        </is>
      </c>
      <c r="B1991" t="inlineStr">
        <is>
          <t>University of Girona</t>
        </is>
      </c>
      <c r="C1991" t="inlineStr">
        <is>
          <t>SP</t>
        </is>
      </c>
      <c r="D1991" t="inlineStr">
        <is>
          <t>Spain</t>
        </is>
      </c>
    </row>
    <row r="1992">
      <c r="A1992" t="inlineStr">
        <is>
          <t>U1991</t>
        </is>
      </c>
      <c r="B1992" t="inlineStr">
        <is>
          <t>University of Glasgow</t>
        </is>
      </c>
      <c r="C1992" t="inlineStr">
        <is>
          <t>UN</t>
        </is>
      </c>
      <c r="D1992" t="inlineStr">
        <is>
          <t>United Kingdom</t>
        </is>
      </c>
    </row>
    <row r="1993">
      <c r="A1993" t="inlineStr">
        <is>
          <t>U1992</t>
        </is>
      </c>
      <c r="B1993" t="inlineStr">
        <is>
          <t>University of Gloucestershire</t>
        </is>
      </c>
      <c r="C1993" t="inlineStr">
        <is>
          <t>UN</t>
        </is>
      </c>
      <c r="D1993" t="inlineStr">
        <is>
          <t>United Kingdom</t>
        </is>
      </c>
    </row>
    <row r="1994">
      <c r="A1994" t="inlineStr">
        <is>
          <t>U1993</t>
        </is>
      </c>
      <c r="B1994" t="inlineStr">
        <is>
          <t>University of Gothenburg</t>
        </is>
      </c>
      <c r="C1994" t="inlineStr">
        <is>
          <t>SW</t>
        </is>
      </c>
      <c r="D1994" t="inlineStr">
        <is>
          <t>Sweden</t>
        </is>
      </c>
    </row>
    <row r="1995">
      <c r="A1995" t="inlineStr">
        <is>
          <t>U1994</t>
        </is>
      </c>
      <c r="B1995" t="inlineStr">
        <is>
          <t>University of Granada</t>
        </is>
      </c>
      <c r="C1995" t="inlineStr">
        <is>
          <t>SP</t>
        </is>
      </c>
      <c r="D1995" t="inlineStr">
        <is>
          <t>Spain</t>
        </is>
      </c>
    </row>
    <row r="1996">
      <c r="A1996" t="inlineStr">
        <is>
          <t>U1995</t>
        </is>
      </c>
      <c r="B1996" t="inlineStr">
        <is>
          <t>University of Graz</t>
        </is>
      </c>
      <c r="C1996" t="inlineStr">
        <is>
          <t>AU</t>
        </is>
      </c>
      <c r="D1996" t="inlineStr">
        <is>
          <t>Austria</t>
        </is>
      </c>
    </row>
    <row r="1997">
      <c r="A1997" t="inlineStr">
        <is>
          <t>U1996</t>
        </is>
      </c>
      <c r="B1997" t="inlineStr">
        <is>
          <t>University of Greenwich</t>
        </is>
      </c>
      <c r="C1997" t="inlineStr">
        <is>
          <t>UN</t>
        </is>
      </c>
      <c r="D1997" t="inlineStr">
        <is>
          <t>United Kingdom</t>
        </is>
      </c>
    </row>
    <row r="1998">
      <c r="A1998" t="inlineStr">
        <is>
          <t>U1997</t>
        </is>
      </c>
      <c r="B1998" t="inlineStr">
        <is>
          <t>University of Greifswald</t>
        </is>
      </c>
      <c r="C1998" t="inlineStr">
        <is>
          <t>GE</t>
        </is>
      </c>
      <c r="D1998" t="inlineStr">
        <is>
          <t>Germany</t>
        </is>
      </c>
    </row>
    <row r="1999">
      <c r="A1999" t="inlineStr">
        <is>
          <t>U1998</t>
        </is>
      </c>
      <c r="B1999" t="inlineStr">
        <is>
          <t>University of Groningen</t>
        </is>
      </c>
      <c r="C1999" t="inlineStr">
        <is>
          <t>NE</t>
        </is>
      </c>
      <c r="D1999" t="inlineStr">
        <is>
          <t>Netherlands</t>
        </is>
      </c>
    </row>
    <row r="2000">
      <c r="A2000" t="inlineStr">
        <is>
          <t>U1999</t>
        </is>
      </c>
      <c r="B2000" t="inlineStr">
        <is>
          <t>University of Guadalajara</t>
        </is>
      </c>
      <c r="C2000" t="inlineStr">
        <is>
          <t>ME</t>
        </is>
      </c>
      <c r="D2000" t="inlineStr">
        <is>
          <t>Mexico</t>
        </is>
      </c>
    </row>
    <row r="2001">
      <c r="A2001" t="inlineStr">
        <is>
          <t>U2000</t>
        </is>
      </c>
      <c r="B2001" t="inlineStr">
        <is>
          <t>University of Guanajuato</t>
        </is>
      </c>
      <c r="C2001" t="inlineStr">
        <is>
          <t>ME</t>
        </is>
      </c>
      <c r="D2001" t="inlineStr">
        <is>
          <t>Mexico</t>
        </is>
      </c>
    </row>
    <row r="2002">
      <c r="A2002" t="inlineStr">
        <is>
          <t>U2001</t>
        </is>
      </c>
      <c r="B2002" t="inlineStr">
        <is>
          <t>University of Guelph</t>
        </is>
      </c>
      <c r="C2002" t="inlineStr">
        <is>
          <t>CA</t>
        </is>
      </c>
      <c r="D2002" t="inlineStr">
        <is>
          <t>Canada</t>
        </is>
      </c>
    </row>
    <row r="2003">
      <c r="A2003" t="inlineStr">
        <is>
          <t>U2002</t>
        </is>
      </c>
      <c r="B2003" t="inlineStr">
        <is>
          <t>University of Guilan</t>
        </is>
      </c>
      <c r="C2003" t="inlineStr">
        <is>
          <t>IR</t>
        </is>
      </c>
      <c r="D2003" t="inlineStr">
        <is>
          <t>Iran</t>
        </is>
      </c>
    </row>
    <row r="2004">
      <c r="A2004" t="inlineStr">
        <is>
          <t>U2003</t>
        </is>
      </c>
      <c r="B2004" t="inlineStr">
        <is>
          <t>University of Gujrat</t>
        </is>
      </c>
      <c r="C2004" t="inlineStr">
        <is>
          <t>PA</t>
        </is>
      </c>
      <c r="D2004" t="inlineStr">
        <is>
          <t>Pakistan</t>
        </is>
      </c>
    </row>
    <row r="2005">
      <c r="A2005" t="inlineStr">
        <is>
          <t>U2004</t>
        </is>
      </c>
      <c r="B2005" t="inlineStr">
        <is>
          <t>University of Haifa</t>
        </is>
      </c>
      <c r="C2005" t="inlineStr">
        <is>
          <t>IS</t>
        </is>
      </c>
      <c r="D2005" t="inlineStr">
        <is>
          <t>Israel</t>
        </is>
      </c>
    </row>
    <row r="2006">
      <c r="A2006" t="inlineStr">
        <is>
          <t>U2005</t>
        </is>
      </c>
      <c r="B2006" t="inlineStr">
        <is>
          <t>University of Hail</t>
        </is>
      </c>
      <c r="C2006" t="inlineStr">
        <is>
          <t>SA</t>
        </is>
      </c>
      <c r="D2006" t="inlineStr">
        <is>
          <t>Saudi Arabia</t>
        </is>
      </c>
    </row>
    <row r="2007">
      <c r="A2007" t="inlineStr">
        <is>
          <t>U2006</t>
        </is>
      </c>
      <c r="B2007" t="inlineStr">
        <is>
          <t>University of Hamburg</t>
        </is>
      </c>
      <c r="C2007" t="inlineStr">
        <is>
          <t>GE</t>
        </is>
      </c>
      <c r="D2007" t="inlineStr">
        <is>
          <t>Germany</t>
        </is>
      </c>
    </row>
    <row r="2008">
      <c r="A2008" t="inlineStr">
        <is>
          <t>U2007</t>
        </is>
      </c>
      <c r="B2008" t="inlineStr">
        <is>
          <t>University of Havana</t>
        </is>
      </c>
      <c r="C2008" t="inlineStr">
        <is>
          <t>CU</t>
        </is>
      </c>
      <c r="D2008" t="inlineStr">
        <is>
          <t>Cuba</t>
        </is>
      </c>
    </row>
    <row r="2009">
      <c r="A2009" t="inlineStr">
        <is>
          <t>U2008</t>
        </is>
      </c>
      <c r="B2009" t="inlineStr">
        <is>
          <t>University of Hawai?i at M?noa</t>
        </is>
      </c>
      <c r="C2009" t="inlineStr">
        <is>
          <t>UN</t>
        </is>
      </c>
      <c r="D2009" t="inlineStr">
        <is>
          <t>United States</t>
        </is>
      </c>
    </row>
    <row r="2010">
      <c r="A2010" t="inlineStr">
        <is>
          <t>U2009</t>
        </is>
      </c>
      <c r="B2010" t="inlineStr">
        <is>
          <t>University of Helsinki</t>
        </is>
      </c>
      <c r="C2010" t="inlineStr">
        <is>
          <t>FI</t>
        </is>
      </c>
      <c r="D2010" t="inlineStr">
        <is>
          <t>Finland</t>
        </is>
      </c>
    </row>
    <row r="2011">
      <c r="A2011" t="inlineStr">
        <is>
          <t>U2010</t>
        </is>
      </c>
      <c r="B2011" t="inlineStr">
        <is>
          <t>University of Hertfordshire</t>
        </is>
      </c>
      <c r="C2011" t="inlineStr">
        <is>
          <t>UN</t>
        </is>
      </c>
      <c r="D2011" t="inlineStr">
        <is>
          <t>United Kingdom</t>
        </is>
      </c>
    </row>
    <row r="2012">
      <c r="A2012" t="inlineStr">
        <is>
          <t>U2011</t>
        </is>
      </c>
      <c r="B2012" t="inlineStr">
        <is>
          <t>University of Hohenheim</t>
        </is>
      </c>
      <c r="C2012" t="inlineStr">
        <is>
          <t>GE</t>
        </is>
      </c>
      <c r="D2012" t="inlineStr">
        <is>
          <t>Germany</t>
        </is>
      </c>
    </row>
    <row r="2013">
      <c r="A2013" t="inlineStr">
        <is>
          <t>U2012</t>
        </is>
      </c>
      <c r="B2013" t="inlineStr">
        <is>
          <t>The University of Hong Kong</t>
        </is>
      </c>
      <c r="C2013" t="inlineStr">
        <is>
          <t>HO</t>
        </is>
      </c>
      <c r="D2013" t="inlineStr">
        <is>
          <t>Hong Kong</t>
        </is>
      </c>
    </row>
    <row r="2014">
      <c r="A2014" t="inlineStr">
        <is>
          <t>U2013</t>
        </is>
      </c>
      <c r="B2014" t="inlineStr">
        <is>
          <t>University of Hormozgan</t>
        </is>
      </c>
      <c r="C2014" t="inlineStr">
        <is>
          <t>IR</t>
        </is>
      </c>
      <c r="D2014" t="inlineStr">
        <is>
          <t>Iran</t>
        </is>
      </c>
    </row>
    <row r="2015">
      <c r="A2015" t="inlineStr">
        <is>
          <t>U2014</t>
        </is>
      </c>
      <c r="B2015" t="inlineStr">
        <is>
          <t>University of Houston</t>
        </is>
      </c>
      <c r="C2015" t="inlineStr">
        <is>
          <t>UN</t>
        </is>
      </c>
      <c r="D2015" t="inlineStr">
        <is>
          <t>United States</t>
        </is>
      </c>
    </row>
    <row r="2016">
      <c r="A2016" t="inlineStr">
        <is>
          <t>U2015</t>
        </is>
      </c>
      <c r="B2016" t="inlineStr">
        <is>
          <t>University of Hradec Králové</t>
        </is>
      </c>
      <c r="C2016" t="inlineStr">
        <is>
          <t>CZ</t>
        </is>
      </c>
      <c r="D2016" t="inlineStr">
        <is>
          <t>Czech Republic</t>
        </is>
      </c>
    </row>
    <row r="2017">
      <c r="A2017" t="inlineStr">
        <is>
          <t>U2016</t>
        </is>
      </c>
      <c r="B2017" t="inlineStr">
        <is>
          <t>University of Hradec Kralove</t>
        </is>
      </c>
      <c r="C2017" t="inlineStr">
        <is>
          <t>CZ</t>
        </is>
      </c>
      <c r="D2017" t="inlineStr">
        <is>
          <t>Czech Republic</t>
        </is>
      </c>
    </row>
    <row r="2018">
      <c r="A2018" t="inlineStr">
        <is>
          <t>U2017</t>
        </is>
      </c>
      <c r="B2018" t="inlineStr">
        <is>
          <t>University of Huddersfield</t>
        </is>
      </c>
      <c r="C2018" t="inlineStr">
        <is>
          <t>UN</t>
        </is>
      </c>
      <c r="D2018" t="inlineStr">
        <is>
          <t>United Kingdom</t>
        </is>
      </c>
    </row>
    <row r="2019">
      <c r="A2019" t="inlineStr">
        <is>
          <t>U2018</t>
        </is>
      </c>
      <c r="B2019" t="inlineStr">
        <is>
          <t>University of Hull</t>
        </is>
      </c>
      <c r="C2019" t="inlineStr">
        <is>
          <t>UN</t>
        </is>
      </c>
      <c r="D2019" t="inlineStr">
        <is>
          <t>United Kingdom</t>
        </is>
      </c>
    </row>
    <row r="2020">
      <c r="A2020" t="inlineStr">
        <is>
          <t>U2019</t>
        </is>
      </c>
      <c r="B2020" t="inlineStr">
        <is>
          <t>University of Hyderabad</t>
        </is>
      </c>
      <c r="C2020" t="inlineStr">
        <is>
          <t>IN</t>
        </is>
      </c>
      <c r="D2020" t="inlineStr">
        <is>
          <t>India</t>
        </is>
      </c>
    </row>
    <row r="2021">
      <c r="A2021" t="inlineStr">
        <is>
          <t>U2020</t>
        </is>
      </c>
      <c r="B2021" t="inlineStr">
        <is>
          <t>University of Hyogo</t>
        </is>
      </c>
      <c r="C2021" t="inlineStr">
        <is>
          <t>JA</t>
        </is>
      </c>
      <c r="D2021" t="inlineStr">
        <is>
          <t>Japan</t>
        </is>
      </c>
    </row>
    <row r="2022">
      <c r="A2022" t="inlineStr">
        <is>
          <t>U2021</t>
        </is>
      </c>
      <c r="B2022" t="inlineStr">
        <is>
          <t>University of Ibadan</t>
        </is>
      </c>
      <c r="C2022" t="inlineStr">
        <is>
          <t>NI</t>
        </is>
      </c>
      <c r="D2022" t="inlineStr">
        <is>
          <t>Nigeria</t>
        </is>
      </c>
    </row>
    <row r="2023">
      <c r="A2023" t="inlineStr">
        <is>
          <t>U2022</t>
        </is>
      </c>
      <c r="B2023" t="inlineStr">
        <is>
          <t>University of Iceland</t>
        </is>
      </c>
      <c r="C2023" t="inlineStr">
        <is>
          <t>IC</t>
        </is>
      </c>
      <c r="D2023" t="inlineStr">
        <is>
          <t>Iceland</t>
        </is>
      </c>
    </row>
    <row r="2024">
      <c r="A2024" t="inlineStr">
        <is>
          <t>U2023</t>
        </is>
      </c>
      <c r="B2024" t="inlineStr">
        <is>
          <t>University of Idaho</t>
        </is>
      </c>
      <c r="C2024" t="inlineStr">
        <is>
          <t>UN</t>
        </is>
      </c>
      <c r="D2024" t="inlineStr">
        <is>
          <t>United States</t>
        </is>
      </c>
    </row>
    <row r="2025">
      <c r="A2025" t="inlineStr">
        <is>
          <t>U2024</t>
        </is>
      </c>
      <c r="B2025" t="inlineStr">
        <is>
          <t>University of Žilina</t>
        </is>
      </c>
      <c r="C2025" t="inlineStr">
        <is>
          <t>SL</t>
        </is>
      </c>
      <c r="D2025" t="inlineStr">
        <is>
          <t>Slovakia</t>
        </is>
      </c>
    </row>
    <row r="2026">
      <c r="A2026" t="inlineStr">
        <is>
          <t>U2025</t>
        </is>
      </c>
      <c r="B2026" t="inlineStr">
        <is>
          <t>University of Illinois at Chicago (UIC)</t>
        </is>
      </c>
      <c r="C2026" t="inlineStr">
        <is>
          <t>UN</t>
        </is>
      </c>
      <c r="D2026" t="inlineStr">
        <is>
          <t>United States</t>
        </is>
      </c>
    </row>
    <row r="2027">
      <c r="A2027" t="inlineStr">
        <is>
          <t>U2026</t>
        </is>
      </c>
      <c r="B2027" t="inlineStr">
        <is>
          <t>University of Illinois at Urbana-Champaign</t>
        </is>
      </c>
      <c r="C2027" t="inlineStr">
        <is>
          <t>UN</t>
        </is>
      </c>
      <c r="D2027" t="inlineStr">
        <is>
          <t>United States</t>
        </is>
      </c>
    </row>
    <row r="2028">
      <c r="A2028" t="inlineStr">
        <is>
          <t>U2027</t>
        </is>
      </c>
      <c r="B2028" t="inlineStr">
        <is>
          <t>University of Illinois Chicago</t>
        </is>
      </c>
      <c r="C2028" t="inlineStr">
        <is>
          <t>UN</t>
        </is>
      </c>
      <c r="D2028" t="inlineStr">
        <is>
          <t>United States</t>
        </is>
      </c>
    </row>
    <row r="2029">
      <c r="A2029" t="inlineStr">
        <is>
          <t>U2028</t>
        </is>
      </c>
      <c r="B2029" t="inlineStr">
        <is>
          <t>University of Ilorin</t>
        </is>
      </c>
      <c r="C2029" t="inlineStr">
        <is>
          <t>NI</t>
        </is>
      </c>
      <c r="D2029" t="inlineStr">
        <is>
          <t>Nigeria</t>
        </is>
      </c>
    </row>
    <row r="2030">
      <c r="A2030" t="inlineStr">
        <is>
          <t>U2029</t>
        </is>
      </c>
      <c r="B2030" t="inlineStr">
        <is>
          <t>University of Indonesia</t>
        </is>
      </c>
      <c r="C2030" t="inlineStr">
        <is>
          <t>IN</t>
        </is>
      </c>
      <c r="D2030" t="inlineStr">
        <is>
          <t>Indonesia</t>
        </is>
      </c>
    </row>
    <row r="2031">
      <c r="A2031" t="inlineStr">
        <is>
          <t>U2030</t>
        </is>
      </c>
      <c r="B2031" t="inlineStr">
        <is>
          <t>University of Innsbruck</t>
        </is>
      </c>
      <c r="C2031" t="inlineStr">
        <is>
          <t>AU</t>
        </is>
      </c>
      <c r="D2031" t="inlineStr">
        <is>
          <t>Austria</t>
        </is>
      </c>
    </row>
    <row r="2032">
      <c r="A2032" t="inlineStr">
        <is>
          <t>U2031</t>
        </is>
      </c>
      <c r="B2032" t="inlineStr">
        <is>
          <t>University of Insubria</t>
        </is>
      </c>
      <c r="C2032" t="inlineStr">
        <is>
          <t>IT</t>
        </is>
      </c>
      <c r="D2032" t="inlineStr">
        <is>
          <t>Italy</t>
        </is>
      </c>
    </row>
    <row r="2033">
      <c r="A2033" t="inlineStr">
        <is>
          <t>U2032</t>
        </is>
      </c>
      <c r="B2033" t="inlineStr">
        <is>
          <t>University of International Business and Economics</t>
        </is>
      </c>
      <c r="C2033" t="inlineStr">
        <is>
          <t>CH</t>
        </is>
      </c>
      <c r="D2033" t="inlineStr">
        <is>
          <t>China</t>
        </is>
      </c>
    </row>
    <row r="2034">
      <c r="A2034" t="inlineStr">
        <is>
          <t>U2033</t>
        </is>
      </c>
      <c r="B2034" t="inlineStr">
        <is>
          <t>University of Ioannina</t>
        </is>
      </c>
      <c r="C2034" t="inlineStr">
        <is>
          <t>GR</t>
        </is>
      </c>
      <c r="D2034" t="inlineStr">
        <is>
          <t>Greece</t>
        </is>
      </c>
    </row>
    <row r="2035">
      <c r="A2035" t="inlineStr">
        <is>
          <t>U2034</t>
        </is>
      </c>
      <c r="B2035" t="inlineStr">
        <is>
          <t>University of Iowa</t>
        </is>
      </c>
      <c r="C2035" t="inlineStr">
        <is>
          <t>UN</t>
        </is>
      </c>
      <c r="D2035" t="inlineStr">
        <is>
          <t>United States</t>
        </is>
      </c>
    </row>
    <row r="2036">
      <c r="A2036" t="inlineStr">
        <is>
          <t>U2035</t>
        </is>
      </c>
      <c r="B2036" t="inlineStr">
        <is>
          <t>University of Isfahan</t>
        </is>
      </c>
      <c r="C2036" t="inlineStr">
        <is>
          <t>IR</t>
        </is>
      </c>
      <c r="D2036" t="inlineStr">
        <is>
          <t>Iran</t>
        </is>
      </c>
    </row>
    <row r="2037">
      <c r="A2037" t="inlineStr">
        <is>
          <t>U2036</t>
        </is>
      </c>
      <c r="B2037" t="inlineStr">
        <is>
          <t>University of Jaén</t>
        </is>
      </c>
      <c r="C2037" t="inlineStr">
        <is>
          <t>SP</t>
        </is>
      </c>
      <c r="D2037" t="inlineStr">
        <is>
          <t>Spain</t>
        </is>
      </c>
    </row>
    <row r="2038">
      <c r="A2038" t="inlineStr">
        <is>
          <t>U2037</t>
        </is>
      </c>
      <c r="B2038" t="inlineStr">
        <is>
          <t>University of Jeddah</t>
        </is>
      </c>
      <c r="C2038" t="inlineStr">
        <is>
          <t>SA</t>
        </is>
      </c>
      <c r="D2038" t="inlineStr">
        <is>
          <t>Saudi Arabia</t>
        </is>
      </c>
    </row>
    <row r="2039">
      <c r="A2039" t="inlineStr">
        <is>
          <t>U2038</t>
        </is>
      </c>
      <c r="B2039" t="inlineStr">
        <is>
          <t>University of Jijel</t>
        </is>
      </c>
      <c r="C2039" t="inlineStr">
        <is>
          <t>AL</t>
        </is>
      </c>
      <c r="D2039" t="inlineStr">
        <is>
          <t>Algeria</t>
        </is>
      </c>
    </row>
    <row r="2040">
      <c r="A2040" t="inlineStr">
        <is>
          <t>U2039</t>
        </is>
      </c>
      <c r="B2040" t="inlineStr">
        <is>
          <t>University of Johannesburg</t>
        </is>
      </c>
      <c r="C2040" t="inlineStr">
        <is>
          <t>SO</t>
        </is>
      </c>
      <c r="D2040" t="inlineStr">
        <is>
          <t>South Africa</t>
        </is>
      </c>
    </row>
    <row r="2041">
      <c r="A2041" t="inlineStr">
        <is>
          <t>U2040</t>
        </is>
      </c>
      <c r="B2041" t="inlineStr">
        <is>
          <t>University of Jordan</t>
        </is>
      </c>
      <c r="C2041" t="inlineStr">
        <is>
          <t>JO</t>
        </is>
      </c>
      <c r="D2041" t="inlineStr">
        <is>
          <t>Jordan</t>
        </is>
      </c>
    </row>
    <row r="2042">
      <c r="A2042" t="inlineStr">
        <is>
          <t>U2041</t>
        </is>
      </c>
      <c r="B2042" t="inlineStr">
        <is>
          <t>University of Jyväskylä</t>
        </is>
      </c>
      <c r="C2042" t="inlineStr">
        <is>
          <t>FI</t>
        </is>
      </c>
      <c r="D2042" t="inlineStr">
        <is>
          <t>Finland</t>
        </is>
      </c>
    </row>
    <row r="2043">
      <c r="A2043" t="inlineStr">
        <is>
          <t>U2042</t>
        </is>
      </c>
      <c r="B2043" t="inlineStr">
        <is>
          <t>University of Kaiserslautern</t>
        </is>
      </c>
      <c r="C2043" t="inlineStr">
        <is>
          <t>GE</t>
        </is>
      </c>
      <c r="D2043" t="inlineStr">
        <is>
          <t>Germany</t>
        </is>
      </c>
    </row>
    <row r="2044">
      <c r="A2044" t="inlineStr">
        <is>
          <t>U2043</t>
        </is>
      </c>
      <c r="B2044" t="inlineStr">
        <is>
          <t>University of Kansas</t>
        </is>
      </c>
      <c r="C2044" t="inlineStr">
        <is>
          <t>UN</t>
        </is>
      </c>
      <c r="D2044" t="inlineStr">
        <is>
          <t>United States</t>
        </is>
      </c>
    </row>
    <row r="2045">
      <c r="A2045" t="inlineStr">
        <is>
          <t>U2044</t>
        </is>
      </c>
      <c r="B2045" t="inlineStr">
        <is>
          <t>University of Karachi</t>
        </is>
      </c>
      <c r="C2045" t="inlineStr">
        <is>
          <t>PA</t>
        </is>
      </c>
      <c r="D2045" t="inlineStr">
        <is>
          <t>Pakistan</t>
        </is>
      </c>
    </row>
    <row r="2046">
      <c r="A2046" t="inlineStr">
        <is>
          <t>U2045</t>
        </is>
      </c>
      <c r="B2046" t="inlineStr">
        <is>
          <t>University of Kashan</t>
        </is>
      </c>
      <c r="C2046" t="inlineStr">
        <is>
          <t>IR</t>
        </is>
      </c>
      <c r="D2046" t="inlineStr">
        <is>
          <t>Iran</t>
        </is>
      </c>
    </row>
    <row r="2047">
      <c r="A2047" t="inlineStr">
        <is>
          <t>U2046</t>
        </is>
      </c>
      <c r="B2047" t="inlineStr">
        <is>
          <t>University of Kelaniya</t>
        </is>
      </c>
      <c r="C2047" t="inlineStr">
        <is>
          <t>SR</t>
        </is>
      </c>
      <c r="D2047" t="inlineStr">
        <is>
          <t>Sri Lanka</t>
        </is>
      </c>
    </row>
    <row r="2048">
      <c r="A2048" t="inlineStr">
        <is>
          <t>U2047</t>
        </is>
      </c>
      <c r="B2048" t="inlineStr">
        <is>
          <t>University of Kent</t>
        </is>
      </c>
      <c r="C2048" t="inlineStr">
        <is>
          <t>UN</t>
        </is>
      </c>
      <c r="D2048" t="inlineStr">
        <is>
          <t>United Kingdom</t>
        </is>
      </c>
    </row>
    <row r="2049">
      <c r="A2049" t="inlineStr">
        <is>
          <t>U2048</t>
        </is>
      </c>
      <c r="B2049" t="inlineStr">
        <is>
          <t>University of Kentucky</t>
        </is>
      </c>
      <c r="C2049" t="inlineStr">
        <is>
          <t>UN</t>
        </is>
      </c>
      <c r="D2049" t="inlineStr">
        <is>
          <t>United States</t>
        </is>
      </c>
    </row>
    <row r="2050">
      <c r="A2050" t="inlineStr">
        <is>
          <t>U2049</t>
        </is>
      </c>
      <c r="B2050" t="inlineStr">
        <is>
          <t>University of Kerbala</t>
        </is>
      </c>
      <c r="C2050" t="inlineStr">
        <is>
          <t>IR</t>
        </is>
      </c>
      <c r="D2050" t="inlineStr">
        <is>
          <t>Iraq</t>
        </is>
      </c>
    </row>
    <row r="2051">
      <c r="A2051" t="inlineStr">
        <is>
          <t>U2050</t>
        </is>
      </c>
      <c r="B2051" t="inlineStr">
        <is>
          <t>University of Khartoum</t>
        </is>
      </c>
      <c r="C2051" t="inlineStr">
        <is>
          <t>SU</t>
        </is>
      </c>
      <c r="D2051" t="inlineStr">
        <is>
          <t>Sudan</t>
        </is>
      </c>
    </row>
    <row r="2052">
      <c r="A2052" t="inlineStr">
        <is>
          <t>U2051</t>
        </is>
      </c>
      <c r="B2052" t="inlineStr">
        <is>
          <t>University of Kiel</t>
        </is>
      </c>
      <c r="C2052" t="inlineStr">
        <is>
          <t>GE</t>
        </is>
      </c>
      <c r="D2052" t="inlineStr">
        <is>
          <t>Germany</t>
        </is>
      </c>
    </row>
    <row r="2053">
      <c r="A2053" t="inlineStr">
        <is>
          <t>U2052</t>
        </is>
      </c>
      <c r="B2053" t="inlineStr">
        <is>
          <t>University of Klagenfurt</t>
        </is>
      </c>
      <c r="C2053" t="inlineStr">
        <is>
          <t>AU</t>
        </is>
      </c>
      <c r="D2053" t="inlineStr">
        <is>
          <t>Austria</t>
        </is>
      </c>
    </row>
    <row r="2054">
      <c r="A2054" t="inlineStr">
        <is>
          <t>U2053</t>
        </is>
      </c>
      <c r="B2054" t="inlineStr">
        <is>
          <t>University of Konstanz</t>
        </is>
      </c>
      <c r="C2054" t="inlineStr">
        <is>
          <t>GE</t>
        </is>
      </c>
      <c r="D2054" t="inlineStr">
        <is>
          <t>Germany</t>
        </is>
      </c>
    </row>
    <row r="2055">
      <c r="A2055" t="inlineStr">
        <is>
          <t>U2054</t>
        </is>
      </c>
      <c r="B2055" t="inlineStr">
        <is>
          <t>University of Kragujevac</t>
        </is>
      </c>
      <c r="C2055" t="inlineStr">
        <is>
          <t>SE</t>
        </is>
      </c>
      <c r="D2055" t="inlineStr">
        <is>
          <t>Serbia</t>
        </is>
      </c>
    </row>
    <row r="2056">
      <c r="A2056" t="inlineStr">
        <is>
          <t>U2055</t>
        </is>
      </c>
      <c r="B2056" t="inlineStr">
        <is>
          <t>University of Kufa</t>
        </is>
      </c>
      <c r="C2056" t="inlineStr">
        <is>
          <t>IR</t>
        </is>
      </c>
      <c r="D2056" t="inlineStr">
        <is>
          <t>Iraq</t>
        </is>
      </c>
    </row>
    <row r="2057">
      <c r="A2057" t="inlineStr">
        <is>
          <t>U2056</t>
        </is>
      </c>
      <c r="B2057" t="inlineStr">
        <is>
          <t>University of Kurdistan</t>
        </is>
      </c>
      <c r="C2057" t="inlineStr">
        <is>
          <t>IR</t>
        </is>
      </c>
      <c r="D2057" t="inlineStr">
        <is>
          <t>Iran</t>
        </is>
      </c>
    </row>
    <row r="2058">
      <c r="A2058" t="inlineStr">
        <is>
          <t>U2057</t>
        </is>
      </c>
      <c r="B2058" t="inlineStr">
        <is>
          <t>University of Kwazulu-Natal</t>
        </is>
      </c>
      <c r="C2058" t="inlineStr">
        <is>
          <t>SO</t>
        </is>
      </c>
      <c r="D2058" t="inlineStr">
        <is>
          <t>South Africa</t>
        </is>
      </c>
    </row>
    <row r="2059">
      <c r="A2059" t="inlineStr">
        <is>
          <t>U2058</t>
        </is>
      </c>
      <c r="B2059" t="inlineStr">
        <is>
          <t>University of L’Aquila</t>
        </is>
      </c>
      <c r="C2059" t="inlineStr">
        <is>
          <t>IT</t>
        </is>
      </c>
      <c r="D2059" t="inlineStr">
        <is>
          <t>Italy</t>
        </is>
      </c>
    </row>
    <row r="2060">
      <c r="A2060" t="inlineStr">
        <is>
          <t>U2059</t>
        </is>
      </c>
      <c r="B2060" t="inlineStr">
        <is>
          <t>University of la Costa</t>
        </is>
      </c>
      <c r="C2060" t="inlineStr">
        <is>
          <t>CO</t>
        </is>
      </c>
      <c r="D2060" t="inlineStr">
        <is>
          <t>Colombia</t>
        </is>
      </c>
    </row>
    <row r="2061">
      <c r="A2061" t="inlineStr">
        <is>
          <t>U2060</t>
        </is>
      </c>
      <c r="B2061" t="inlineStr">
        <is>
          <t>University of La Frontera</t>
        </is>
      </c>
      <c r="C2061" t="inlineStr">
        <is>
          <t>CH</t>
        </is>
      </c>
      <c r="D2061" t="inlineStr">
        <is>
          <t>Chile</t>
        </is>
      </c>
    </row>
    <row r="2062">
      <c r="A2062" t="inlineStr">
        <is>
          <t>U2061</t>
        </is>
      </c>
      <c r="B2062" t="inlineStr">
        <is>
          <t>University of La Laguna</t>
        </is>
      </c>
      <c r="C2062" t="inlineStr">
        <is>
          <t>SP</t>
        </is>
      </c>
      <c r="D2062" t="inlineStr">
        <is>
          <t>Spain</t>
        </is>
      </c>
    </row>
    <row r="2063">
      <c r="A2063" t="inlineStr">
        <is>
          <t>U2062</t>
        </is>
      </c>
      <c r="B2063" t="inlineStr">
        <is>
          <t>University of La Sabana</t>
        </is>
      </c>
      <c r="C2063" t="inlineStr">
        <is>
          <t>CO</t>
        </is>
      </c>
      <c r="D2063" t="inlineStr">
        <is>
          <t>Colombia</t>
        </is>
      </c>
    </row>
    <row r="2064">
      <c r="A2064" t="inlineStr">
        <is>
          <t>U2063</t>
        </is>
      </c>
      <c r="B2064" t="inlineStr">
        <is>
          <t>University of La Serena</t>
        </is>
      </c>
      <c r="C2064" t="inlineStr">
        <is>
          <t>CH</t>
        </is>
      </c>
      <c r="D2064" t="inlineStr">
        <is>
          <t>Chile</t>
        </is>
      </c>
    </row>
    <row r="2065">
      <c r="A2065" t="inlineStr">
        <is>
          <t>U2064</t>
        </is>
      </c>
      <c r="B2065" t="inlineStr">
        <is>
          <t>University of Laghouat</t>
        </is>
      </c>
      <c r="C2065" t="inlineStr">
        <is>
          <t>AL</t>
        </is>
      </c>
      <c r="D2065" t="inlineStr">
        <is>
          <t>Algeria</t>
        </is>
      </c>
    </row>
    <row r="2066">
      <c r="A2066" t="inlineStr">
        <is>
          <t>U2065</t>
        </is>
      </c>
      <c r="B2066" t="inlineStr">
        <is>
          <t>University of Lagos</t>
        </is>
      </c>
      <c r="C2066" t="inlineStr">
        <is>
          <t>NI</t>
        </is>
      </c>
      <c r="D2066" t="inlineStr">
        <is>
          <t>Nigeria</t>
        </is>
      </c>
    </row>
    <row r="2067">
      <c r="A2067" t="inlineStr">
        <is>
          <t>U2066</t>
        </is>
      </c>
      <c r="B2067" t="inlineStr">
        <is>
          <t>The University of Lahore</t>
        </is>
      </c>
      <c r="C2067" t="inlineStr">
        <is>
          <t>PA</t>
        </is>
      </c>
      <c r="D2067" t="inlineStr">
        <is>
          <t>Pakistan</t>
        </is>
      </c>
    </row>
    <row r="2068">
      <c r="A2068" t="inlineStr">
        <is>
          <t>U2067</t>
        </is>
      </c>
      <c r="B2068" t="inlineStr">
        <is>
          <t>University of Lampung</t>
        </is>
      </c>
      <c r="C2068" t="inlineStr">
        <is>
          <t>IN</t>
        </is>
      </c>
      <c r="D2068" t="inlineStr">
        <is>
          <t>Indonesia</t>
        </is>
      </c>
    </row>
    <row r="2069">
      <c r="A2069" t="inlineStr">
        <is>
          <t>U2068</t>
        </is>
      </c>
      <c r="B2069" t="inlineStr">
        <is>
          <t>University of Las Palmas de Gran Canaria</t>
        </is>
      </c>
      <c r="C2069" t="inlineStr">
        <is>
          <t>SP</t>
        </is>
      </c>
      <c r="D2069" t="inlineStr">
        <is>
          <t>Spain</t>
        </is>
      </c>
    </row>
    <row r="2070">
      <c r="A2070" t="inlineStr">
        <is>
          <t>U2069</t>
        </is>
      </c>
      <c r="B2070" t="inlineStr">
        <is>
          <t>University of Latvia</t>
        </is>
      </c>
      <c r="C2070" t="inlineStr">
        <is>
          <t>LA</t>
        </is>
      </c>
      <c r="D2070" t="inlineStr">
        <is>
          <t>Latvia</t>
        </is>
      </c>
    </row>
    <row r="2071">
      <c r="A2071" t="inlineStr">
        <is>
          <t>U2070</t>
        </is>
      </c>
      <c r="B2071" t="inlineStr">
        <is>
          <t>University of Lausanne</t>
        </is>
      </c>
      <c r="C2071" t="inlineStr">
        <is>
          <t>SW</t>
        </is>
      </c>
      <c r="D2071" t="inlineStr">
        <is>
          <t>Switzerland</t>
        </is>
      </c>
    </row>
    <row r="2072">
      <c r="A2072" t="inlineStr">
        <is>
          <t>U2071</t>
        </is>
      </c>
      <c r="B2072" t="inlineStr">
        <is>
          <t>University of León</t>
        </is>
      </c>
      <c r="C2072" t="inlineStr">
        <is>
          <t>SP</t>
        </is>
      </c>
      <c r="D2072" t="inlineStr">
        <is>
          <t>Spain</t>
        </is>
      </c>
    </row>
    <row r="2073">
      <c r="A2073" t="inlineStr">
        <is>
          <t>U2072</t>
        </is>
      </c>
      <c r="B2073" t="inlineStr">
        <is>
          <t>University of Leeds</t>
        </is>
      </c>
      <c r="C2073" t="inlineStr">
        <is>
          <t>UN</t>
        </is>
      </c>
      <c r="D2073" t="inlineStr">
        <is>
          <t>United Kingdom</t>
        </is>
      </c>
    </row>
    <row r="2074">
      <c r="A2074" t="inlineStr">
        <is>
          <t>U2073</t>
        </is>
      </c>
      <c r="B2074" t="inlineStr">
        <is>
          <t>University of Leicester</t>
        </is>
      </c>
      <c r="C2074" t="inlineStr">
        <is>
          <t>UN</t>
        </is>
      </c>
      <c r="D2074" t="inlineStr">
        <is>
          <t>United Kingdom</t>
        </is>
      </c>
    </row>
    <row r="2075">
      <c r="A2075" t="inlineStr">
        <is>
          <t>U2074</t>
        </is>
      </c>
      <c r="B2075" t="inlineStr">
        <is>
          <t>University of Leoben</t>
        </is>
      </c>
      <c r="C2075" t="inlineStr">
        <is>
          <t>AU</t>
        </is>
      </c>
      <c r="D2075" t="inlineStr">
        <is>
          <t>Austria</t>
        </is>
      </c>
    </row>
    <row r="2076">
      <c r="A2076" t="inlineStr">
        <is>
          <t>U2075</t>
        </is>
      </c>
      <c r="B2076" t="inlineStr">
        <is>
          <t>University of Lethbridge</t>
        </is>
      </c>
      <c r="C2076" t="inlineStr">
        <is>
          <t>CA</t>
        </is>
      </c>
      <c r="D2076" t="inlineStr">
        <is>
          <t>Canada</t>
        </is>
      </c>
    </row>
    <row r="2077">
      <c r="A2077" t="inlineStr">
        <is>
          <t>U2076</t>
        </is>
      </c>
      <c r="B2077" t="inlineStr">
        <is>
          <t>University of Liège</t>
        </is>
      </c>
      <c r="C2077" t="inlineStr">
        <is>
          <t>BE</t>
        </is>
      </c>
      <c r="D2077" t="inlineStr">
        <is>
          <t>Belgium</t>
        </is>
      </c>
    </row>
    <row r="2078">
      <c r="A2078" t="inlineStr">
        <is>
          <t>U2077</t>
        </is>
      </c>
      <c r="B2078" t="inlineStr">
        <is>
          <t>University of Life Sciences in Lublin</t>
        </is>
      </c>
      <c r="C2078" t="inlineStr">
        <is>
          <t>PO</t>
        </is>
      </c>
      <c r="D2078" t="inlineStr">
        <is>
          <t>Poland</t>
        </is>
      </c>
    </row>
    <row r="2079">
      <c r="A2079" t="inlineStr">
        <is>
          <t>U2078</t>
        </is>
      </c>
      <c r="B2079" t="inlineStr">
        <is>
          <t>University of Lille</t>
        </is>
      </c>
      <c r="C2079" t="inlineStr">
        <is>
          <t>FR</t>
        </is>
      </c>
      <c r="D2079" t="inlineStr">
        <is>
          <t>France</t>
        </is>
      </c>
    </row>
    <row r="2080">
      <c r="A2080" t="inlineStr">
        <is>
          <t>U2079</t>
        </is>
      </c>
      <c r="B2080" t="inlineStr">
        <is>
          <t>University of Limerick</t>
        </is>
      </c>
      <c r="C2080" t="inlineStr">
        <is>
          <t>IR</t>
        </is>
      </c>
      <c r="D2080" t="inlineStr">
        <is>
          <t>Ireland</t>
        </is>
      </c>
    </row>
    <row r="2081">
      <c r="A2081" t="inlineStr">
        <is>
          <t>U2080</t>
        </is>
      </c>
      <c r="B2081" t="inlineStr">
        <is>
          <t>University of Lincoln</t>
        </is>
      </c>
      <c r="C2081" t="inlineStr">
        <is>
          <t>UN</t>
        </is>
      </c>
      <c r="D2081" t="inlineStr">
        <is>
          <t>United Kingdom</t>
        </is>
      </c>
    </row>
    <row r="2082">
      <c r="A2082" t="inlineStr">
        <is>
          <t>U2081</t>
        </is>
      </c>
      <c r="B2082" t="inlineStr">
        <is>
          <t xml:space="preserve">University of Lisbon </t>
        </is>
      </c>
      <c r="C2082" t="inlineStr">
        <is>
          <t>PO</t>
        </is>
      </c>
      <c r="D2082" t="inlineStr">
        <is>
          <t>Portugal</t>
        </is>
      </c>
    </row>
    <row r="2083">
      <c r="A2083" t="inlineStr">
        <is>
          <t>U2082</t>
        </is>
      </c>
      <c r="B2083" t="inlineStr">
        <is>
          <t>University of Liverpool</t>
        </is>
      </c>
      <c r="C2083" t="inlineStr">
        <is>
          <t>UN</t>
        </is>
      </c>
      <c r="D2083" t="inlineStr">
        <is>
          <t>United Kingdom</t>
        </is>
      </c>
    </row>
    <row r="2084">
      <c r="A2084" t="inlineStr">
        <is>
          <t>U2083</t>
        </is>
      </c>
      <c r="B2084" t="inlineStr">
        <is>
          <t>University of Ljubljana</t>
        </is>
      </c>
      <c r="C2084" t="inlineStr">
        <is>
          <t>SL</t>
        </is>
      </c>
      <c r="D2084" t="inlineStr">
        <is>
          <t>Slovenia</t>
        </is>
      </c>
    </row>
    <row r="2085">
      <c r="A2085" t="inlineStr">
        <is>
          <t>U2084</t>
        </is>
      </c>
      <c r="B2085" t="inlineStr">
        <is>
          <t>University of Lleida</t>
        </is>
      </c>
      <c r="C2085" t="inlineStr">
        <is>
          <t>SP</t>
        </is>
      </c>
      <c r="D2085" t="inlineStr">
        <is>
          <t>Spain</t>
        </is>
      </c>
    </row>
    <row r="2086">
      <c r="A2086" t="inlineStr">
        <is>
          <t>U2085</t>
        </is>
      </c>
      <c r="B2086" t="inlineStr">
        <is>
          <t>University of Lodz</t>
        </is>
      </c>
      <c r="C2086" t="inlineStr">
        <is>
          <t>PO</t>
        </is>
      </c>
      <c r="D2086" t="inlineStr">
        <is>
          <t>Poland</t>
        </is>
      </c>
    </row>
    <row r="2087">
      <c r="A2087" t="inlineStr">
        <is>
          <t>U2086</t>
        </is>
      </c>
      <c r="B2087" t="inlineStr">
        <is>
          <t>University of Lorraine</t>
        </is>
      </c>
      <c r="C2087" t="inlineStr">
        <is>
          <t>FR</t>
        </is>
      </c>
      <c r="D2087" t="inlineStr">
        <is>
          <t>France</t>
        </is>
      </c>
    </row>
    <row r="2088">
      <c r="A2088" t="inlineStr">
        <is>
          <t>U2087</t>
        </is>
      </c>
      <c r="B2088" t="inlineStr">
        <is>
          <t>University of Los Lagos</t>
        </is>
      </c>
      <c r="C2088" t="inlineStr">
        <is>
          <t>CH</t>
        </is>
      </c>
      <c r="D2088" t="inlineStr">
        <is>
          <t>Chile</t>
        </is>
      </c>
    </row>
    <row r="2089">
      <c r="A2089" t="inlineStr">
        <is>
          <t>U2088</t>
        </is>
      </c>
      <c r="B2089" t="inlineStr">
        <is>
          <t>University of Louisville</t>
        </is>
      </c>
      <c r="C2089" t="inlineStr">
        <is>
          <t>UN</t>
        </is>
      </c>
      <c r="D2089" t="inlineStr">
        <is>
          <t>United States</t>
        </is>
      </c>
    </row>
    <row r="2090">
      <c r="A2090" t="inlineStr">
        <is>
          <t>U2089</t>
        </is>
      </c>
      <c r="B2090" t="inlineStr">
        <is>
          <t>University of Lucknow</t>
        </is>
      </c>
      <c r="C2090" t="inlineStr">
        <is>
          <t>IN</t>
        </is>
      </c>
      <c r="D2090" t="inlineStr">
        <is>
          <t>India</t>
        </is>
      </c>
    </row>
    <row r="2091">
      <c r="A2091" t="inlineStr">
        <is>
          <t>U2090</t>
        </is>
      </c>
      <c r="B2091" t="inlineStr">
        <is>
          <t>University of Luxembourg</t>
        </is>
      </c>
      <c r="C2091" t="inlineStr">
        <is>
          <t>LU</t>
        </is>
      </c>
      <c r="D2091" t="inlineStr">
        <is>
          <t>Luxembourg</t>
        </is>
      </c>
    </row>
    <row r="2092">
      <c r="A2092" t="inlineStr">
        <is>
          <t>U2091</t>
        </is>
      </c>
      <c r="B2092" t="inlineStr">
        <is>
          <t>University of Münster</t>
        </is>
      </c>
      <c r="C2092" t="inlineStr">
        <is>
          <t>GE</t>
        </is>
      </c>
      <c r="D2092" t="inlineStr">
        <is>
          <t>Germany</t>
        </is>
      </c>
    </row>
    <row r="2093">
      <c r="A2093" t="inlineStr">
        <is>
          <t>U2092</t>
        </is>
      </c>
      <c r="B2093" t="inlineStr">
        <is>
          <t>University of Macau</t>
        </is>
      </c>
      <c r="C2093" t="inlineStr">
        <is>
          <t>MA</t>
        </is>
      </c>
      <c r="D2093" t="inlineStr">
        <is>
          <t>Macao</t>
        </is>
      </c>
    </row>
    <row r="2094">
      <c r="A2094" t="inlineStr">
        <is>
          <t>U2093</t>
        </is>
      </c>
      <c r="B2094" t="inlineStr">
        <is>
          <t>University of Macerata (UNIMC)</t>
        </is>
      </c>
      <c r="C2094" t="inlineStr">
        <is>
          <t>IT</t>
        </is>
      </c>
      <c r="D2094" t="inlineStr">
        <is>
          <t>Italy</t>
        </is>
      </c>
    </row>
    <row r="2095">
      <c r="A2095" t="inlineStr">
        <is>
          <t>U2094</t>
        </is>
      </c>
      <c r="B2095" t="inlineStr">
        <is>
          <t>University of Malaga</t>
        </is>
      </c>
      <c r="C2095" t="inlineStr">
        <is>
          <t>SP</t>
        </is>
      </c>
      <c r="D2095" t="inlineStr">
        <is>
          <t>Spain</t>
        </is>
      </c>
    </row>
    <row r="2096">
      <c r="A2096" t="inlineStr">
        <is>
          <t>U2095</t>
        </is>
      </c>
      <c r="B2096" t="inlineStr">
        <is>
          <t>University of Malakand</t>
        </is>
      </c>
      <c r="C2096" t="inlineStr">
        <is>
          <t>PA</t>
        </is>
      </c>
      <c r="D2096" t="inlineStr">
        <is>
          <t>Pakistan</t>
        </is>
      </c>
    </row>
    <row r="2097">
      <c r="A2097" t="inlineStr">
        <is>
          <t>U2096</t>
        </is>
      </c>
      <c r="B2097" t="inlineStr">
        <is>
          <t>University of Malaya</t>
        </is>
      </c>
      <c r="C2097" t="inlineStr">
        <is>
          <t>MA</t>
        </is>
      </c>
      <c r="D2097" t="inlineStr">
        <is>
          <t>Malaysia</t>
        </is>
      </c>
    </row>
    <row r="2098">
      <c r="A2098" t="inlineStr">
        <is>
          <t>U2097</t>
        </is>
      </c>
      <c r="B2098" t="inlineStr">
        <is>
          <t>University of Malta</t>
        </is>
      </c>
      <c r="C2098" t="inlineStr">
        <is>
          <t>MA</t>
        </is>
      </c>
      <c r="D2098" t="inlineStr">
        <is>
          <t>Malta</t>
        </is>
      </c>
    </row>
    <row r="2099">
      <c r="A2099" t="inlineStr">
        <is>
          <t>U2098</t>
        </is>
      </c>
      <c r="B2099" t="inlineStr">
        <is>
          <t>University of Management and Technology</t>
        </is>
      </c>
      <c r="C2099" t="inlineStr">
        <is>
          <t>PA</t>
        </is>
      </c>
      <c r="D2099" t="inlineStr">
        <is>
          <t>Pakistan</t>
        </is>
      </c>
    </row>
    <row r="2100">
      <c r="A2100" t="inlineStr">
        <is>
          <t>U2099</t>
        </is>
      </c>
      <c r="B2100" t="inlineStr">
        <is>
          <t>The University of Manchester</t>
        </is>
      </c>
      <c r="C2100" t="inlineStr">
        <is>
          <t>UN</t>
        </is>
      </c>
      <c r="D2100" t="inlineStr">
        <is>
          <t>United Kingdom</t>
        </is>
      </c>
    </row>
    <row r="2101">
      <c r="A2101" t="inlineStr">
        <is>
          <t>U2100</t>
        </is>
      </c>
      <c r="B2101" t="inlineStr">
        <is>
          <t>University of Manitoba</t>
        </is>
      </c>
      <c r="C2101" t="inlineStr">
        <is>
          <t>CA</t>
        </is>
      </c>
      <c r="D2101" t="inlineStr">
        <is>
          <t>Canada</t>
        </is>
      </c>
    </row>
    <row r="2102">
      <c r="A2102" t="inlineStr">
        <is>
          <t>U2101</t>
        </is>
      </c>
      <c r="B2102" t="inlineStr">
        <is>
          <t>University of Mannheim</t>
        </is>
      </c>
      <c r="C2102" t="inlineStr">
        <is>
          <t>GE</t>
        </is>
      </c>
      <c r="D2102" t="inlineStr">
        <is>
          <t>Germany</t>
        </is>
      </c>
    </row>
    <row r="2103">
      <c r="A2103" t="inlineStr">
        <is>
          <t>U2102</t>
        </is>
      </c>
      <c r="B2103" t="inlineStr">
        <is>
          <t>University of Manouba</t>
        </is>
      </c>
      <c r="C2103" t="inlineStr">
        <is>
          <t>TU</t>
        </is>
      </c>
      <c r="D2103" t="inlineStr">
        <is>
          <t>Tunisia</t>
        </is>
      </c>
    </row>
    <row r="2104">
      <c r="A2104" t="inlineStr">
        <is>
          <t>U2103</t>
        </is>
      </c>
      <c r="B2104" t="inlineStr">
        <is>
          <t>University of Maragheh</t>
        </is>
      </c>
      <c r="C2104" t="inlineStr">
        <is>
          <t>IR</t>
        </is>
      </c>
      <c r="D2104" t="inlineStr">
        <is>
          <t>Iran</t>
        </is>
      </c>
    </row>
    <row r="2105">
      <c r="A2105" t="inlineStr">
        <is>
          <t>U2104</t>
        </is>
      </c>
      <c r="B2105" t="inlineStr">
        <is>
          <t>University of Marburg</t>
        </is>
      </c>
      <c r="C2105" t="inlineStr">
        <is>
          <t>GE</t>
        </is>
      </c>
      <c r="D2105" t="inlineStr">
        <is>
          <t>Germany</t>
        </is>
      </c>
    </row>
    <row r="2106">
      <c r="A2106" t="inlineStr">
        <is>
          <t>U2105</t>
        </is>
      </c>
      <c r="B2106" t="inlineStr">
        <is>
          <t>University of Maribor</t>
        </is>
      </c>
      <c r="C2106" t="inlineStr">
        <is>
          <t>SL</t>
        </is>
      </c>
      <c r="D2106" t="inlineStr">
        <is>
          <t>Slovenia</t>
        </is>
      </c>
    </row>
    <row r="2107">
      <c r="A2107" t="inlineStr">
        <is>
          <t>U2106</t>
        </is>
      </c>
      <c r="B2107" t="inlineStr">
        <is>
          <t>University of Marrakech Cadi Ayyad</t>
        </is>
      </c>
      <c r="C2107" t="inlineStr">
        <is>
          <t>MO</t>
        </is>
      </c>
      <c r="D2107" t="inlineStr">
        <is>
          <t>Morocco</t>
        </is>
      </c>
    </row>
    <row r="2108">
      <c r="A2108" t="inlineStr">
        <is>
          <t>U2107</t>
        </is>
      </c>
      <c r="B2108" t="inlineStr">
        <is>
          <t>University of Maryland, Baltimore County</t>
        </is>
      </c>
      <c r="C2108" t="inlineStr">
        <is>
          <t>UN</t>
        </is>
      </c>
      <c r="D2108" t="inlineStr">
        <is>
          <t>United States</t>
        </is>
      </c>
    </row>
    <row r="2109">
      <c r="A2109" t="inlineStr">
        <is>
          <t>U2108</t>
        </is>
      </c>
      <c r="B2109" t="inlineStr">
        <is>
          <t>University of Maryland, College Park</t>
        </is>
      </c>
      <c r="C2109" t="inlineStr">
        <is>
          <t>UN</t>
        </is>
      </c>
      <c r="D2109" t="inlineStr">
        <is>
          <t>United States</t>
        </is>
      </c>
    </row>
    <row r="2110">
      <c r="A2110" t="inlineStr">
        <is>
          <t>U2109</t>
        </is>
      </c>
      <c r="B2110" t="inlineStr">
        <is>
          <t>University of Mascara</t>
        </is>
      </c>
      <c r="C2110" t="inlineStr">
        <is>
          <t>AL</t>
        </is>
      </c>
      <c r="D2110" t="inlineStr">
        <is>
          <t>Algeria</t>
        </is>
      </c>
    </row>
    <row r="2111">
      <c r="A2111" t="inlineStr">
        <is>
          <t>U2110</t>
        </is>
      </c>
      <c r="B2111" t="inlineStr">
        <is>
          <t>University of Massachusetts</t>
        </is>
      </c>
      <c r="C2111" t="inlineStr">
        <is>
          <t>UN</t>
        </is>
      </c>
      <c r="D2111" t="inlineStr">
        <is>
          <t>United States</t>
        </is>
      </c>
    </row>
    <row r="2112">
      <c r="A2112" t="inlineStr">
        <is>
          <t>U2111</t>
        </is>
      </c>
      <c r="B2112" t="inlineStr">
        <is>
          <t>University of Massachusetts Amherst</t>
        </is>
      </c>
      <c r="C2112" t="inlineStr">
        <is>
          <t>UN</t>
        </is>
      </c>
      <c r="D2112" t="inlineStr">
        <is>
          <t>United States</t>
        </is>
      </c>
    </row>
    <row r="2113">
      <c r="A2113" t="inlineStr">
        <is>
          <t>U2112</t>
        </is>
      </c>
      <c r="B2113" t="inlineStr">
        <is>
          <t>University of Massachusetts Boston</t>
        </is>
      </c>
      <c r="C2113" t="inlineStr">
        <is>
          <t>UN</t>
        </is>
      </c>
      <c r="D2113" t="inlineStr">
        <is>
          <t>United States</t>
        </is>
      </c>
    </row>
    <row r="2114">
      <c r="A2114" t="inlineStr">
        <is>
          <t>U2113</t>
        </is>
      </c>
      <c r="B2114" t="inlineStr">
        <is>
          <t>University of Mataram</t>
        </is>
      </c>
      <c r="C2114" t="inlineStr">
        <is>
          <t>IN</t>
        </is>
      </c>
      <c r="D2114" t="inlineStr">
        <is>
          <t>Indonesia</t>
        </is>
      </c>
    </row>
    <row r="2115">
      <c r="A2115" t="inlineStr">
        <is>
          <t>U2114</t>
        </is>
      </c>
      <c r="B2115" t="inlineStr">
        <is>
          <t>University of Mauritius</t>
        </is>
      </c>
      <c r="C2115" t="inlineStr">
        <is>
          <t>MA</t>
        </is>
      </c>
      <c r="D2115" t="inlineStr">
        <is>
          <t>Mauritius</t>
        </is>
      </c>
    </row>
    <row r="2116">
      <c r="A2116" t="inlineStr">
        <is>
          <t>U2115</t>
        </is>
      </c>
      <c r="B2116" t="inlineStr">
        <is>
          <t>University of Mazandaran</t>
        </is>
      </c>
      <c r="C2116" t="inlineStr">
        <is>
          <t>IR</t>
        </is>
      </c>
      <c r="D2116" t="inlineStr">
        <is>
          <t>Iran</t>
        </is>
      </c>
    </row>
    <row r="2117">
      <c r="A2117" t="inlineStr">
        <is>
          <t>U2116</t>
        </is>
      </c>
      <c r="B2117" t="inlineStr">
        <is>
          <t>University of Medicine and Pharmacy Carol Davila</t>
        </is>
      </c>
      <c r="C2117" t="inlineStr">
        <is>
          <t>RO</t>
        </is>
      </c>
      <c r="D2117" t="inlineStr">
        <is>
          <t>Romania</t>
        </is>
      </c>
    </row>
    <row r="2118">
      <c r="A2118" t="inlineStr">
        <is>
          <t>U2117</t>
        </is>
      </c>
      <c r="B2118" t="inlineStr">
        <is>
          <t>University of Medicine and Pharmacy of Craiova</t>
        </is>
      </c>
      <c r="C2118" t="inlineStr">
        <is>
          <t>RO</t>
        </is>
      </c>
      <c r="D2118" t="inlineStr">
        <is>
          <t>Romania</t>
        </is>
      </c>
    </row>
    <row r="2119">
      <c r="A2119" t="inlineStr">
        <is>
          <t>U2118</t>
        </is>
      </c>
      <c r="B2119" t="inlineStr">
        <is>
          <t>The University of Melbourne</t>
        </is>
      </c>
      <c r="C2119" t="inlineStr">
        <is>
          <t>AU</t>
        </is>
      </c>
      <c r="D2119" t="inlineStr">
        <is>
          <t>Australia</t>
        </is>
      </c>
    </row>
    <row r="2120">
      <c r="A2120" t="inlineStr">
        <is>
          <t>U2119</t>
        </is>
      </c>
      <c r="B2120" t="inlineStr">
        <is>
          <t>University of Memphis</t>
        </is>
      </c>
      <c r="C2120" t="inlineStr">
        <is>
          <t>UN</t>
        </is>
      </c>
      <c r="D2120" t="inlineStr">
        <is>
          <t>United States</t>
        </is>
      </c>
    </row>
    <row r="2121">
      <c r="A2121" t="inlineStr">
        <is>
          <t>U2120</t>
        </is>
      </c>
      <c r="B2121" t="inlineStr">
        <is>
          <t>University of Messina (UniME)</t>
        </is>
      </c>
      <c r="C2121" t="inlineStr">
        <is>
          <t>IT</t>
        </is>
      </c>
      <c r="D2121" t="inlineStr">
        <is>
          <t>Italy</t>
        </is>
      </c>
    </row>
    <row r="2122">
      <c r="A2122" t="inlineStr">
        <is>
          <t>U2121</t>
        </is>
      </c>
      <c r="B2122" t="inlineStr">
        <is>
          <t>University of Miami</t>
        </is>
      </c>
      <c r="C2122" t="inlineStr">
        <is>
          <t>UN</t>
        </is>
      </c>
      <c r="D2122" t="inlineStr">
        <is>
          <t>United States</t>
        </is>
      </c>
    </row>
    <row r="2123">
      <c r="A2123" t="inlineStr">
        <is>
          <t>U2122</t>
        </is>
      </c>
      <c r="B2123" t="inlineStr">
        <is>
          <t>University of Michigan-Ann Arbor</t>
        </is>
      </c>
      <c r="C2123" t="inlineStr">
        <is>
          <t>UN</t>
        </is>
      </c>
      <c r="D2123" t="inlineStr">
        <is>
          <t>United States</t>
        </is>
      </c>
    </row>
    <row r="2124">
      <c r="A2124" t="inlineStr">
        <is>
          <t>U2123</t>
        </is>
      </c>
      <c r="B2124" t="inlineStr">
        <is>
          <t>University of Milan</t>
        </is>
      </c>
      <c r="C2124" t="inlineStr">
        <is>
          <t>IT</t>
        </is>
      </c>
      <c r="D2124" t="inlineStr">
        <is>
          <t>Italy</t>
        </is>
      </c>
    </row>
    <row r="2125">
      <c r="A2125" t="inlineStr">
        <is>
          <t>U2124</t>
        </is>
      </c>
      <c r="B2125" t="inlineStr">
        <is>
          <t>University of Milan-Bicocca</t>
        </is>
      </c>
      <c r="C2125" t="inlineStr">
        <is>
          <t>IT</t>
        </is>
      </c>
      <c r="D2125" t="inlineStr">
        <is>
          <t>Italy</t>
        </is>
      </c>
    </row>
    <row r="2126">
      <c r="A2126" t="inlineStr">
        <is>
          <t>U2125</t>
        </is>
      </c>
      <c r="B2126" t="inlineStr">
        <is>
          <t xml:space="preserve">University of Milano-Bicocca </t>
        </is>
      </c>
      <c r="C2126" t="inlineStr">
        <is>
          <t>IT</t>
        </is>
      </c>
      <c r="D2126" t="inlineStr">
        <is>
          <t>Italy</t>
        </is>
      </c>
    </row>
    <row r="2127">
      <c r="A2127" t="inlineStr">
        <is>
          <t>U2126</t>
        </is>
      </c>
      <c r="B2127" t="inlineStr">
        <is>
          <t>University of Minho</t>
        </is>
      </c>
      <c r="C2127" t="inlineStr">
        <is>
          <t>PO</t>
        </is>
      </c>
      <c r="D2127" t="inlineStr">
        <is>
          <t>Portugal</t>
        </is>
      </c>
    </row>
    <row r="2128">
      <c r="A2128" t="inlineStr">
        <is>
          <t>U2127</t>
        </is>
      </c>
      <c r="B2128" t="inlineStr">
        <is>
          <t>University of Minnesota</t>
        </is>
      </c>
      <c r="C2128" t="inlineStr">
        <is>
          <t>UN</t>
        </is>
      </c>
      <c r="D2128" t="inlineStr">
        <is>
          <t>United States</t>
        </is>
      </c>
    </row>
    <row r="2129">
      <c r="A2129" t="inlineStr">
        <is>
          <t>U2128</t>
        </is>
      </c>
      <c r="B2129" t="inlineStr">
        <is>
          <t>University of Minnesota Twin Cities</t>
        </is>
      </c>
      <c r="C2129" t="inlineStr">
        <is>
          <t>UN</t>
        </is>
      </c>
      <c r="D2129" t="inlineStr">
        <is>
          <t>United States</t>
        </is>
      </c>
    </row>
    <row r="2130">
      <c r="A2130" t="inlineStr">
        <is>
          <t>U2129</t>
        </is>
      </c>
      <c r="B2130" t="inlineStr">
        <is>
          <t xml:space="preserve">University of Miskolc </t>
        </is>
      </c>
      <c r="C2130" t="inlineStr">
        <is>
          <t>HU</t>
        </is>
      </c>
      <c r="D2130" t="inlineStr">
        <is>
          <t>Hungary</t>
        </is>
      </c>
    </row>
    <row r="2131">
      <c r="A2131" t="inlineStr">
        <is>
          <t>U2130</t>
        </is>
      </c>
      <c r="B2131" t="inlineStr">
        <is>
          <t>University of Mississippi</t>
        </is>
      </c>
      <c r="C2131" t="inlineStr">
        <is>
          <t>UN</t>
        </is>
      </c>
      <c r="D2131" t="inlineStr">
        <is>
          <t>United States</t>
        </is>
      </c>
    </row>
    <row r="2132">
      <c r="A2132" t="inlineStr">
        <is>
          <t>U2131</t>
        </is>
      </c>
      <c r="B2132" t="inlineStr">
        <is>
          <t>University of Missouri, Columbia</t>
        </is>
      </c>
      <c r="C2132" t="inlineStr">
        <is>
          <t>UN</t>
        </is>
      </c>
      <c r="D2132" t="inlineStr">
        <is>
          <t>United States</t>
        </is>
      </c>
    </row>
    <row r="2133">
      <c r="A2133" t="inlineStr">
        <is>
          <t>U2132</t>
        </is>
      </c>
      <c r="B2133" t="inlineStr">
        <is>
          <t>University of Missouri, Kansas City</t>
        </is>
      </c>
      <c r="C2133" t="inlineStr">
        <is>
          <t>UN</t>
        </is>
      </c>
      <c r="D2133" t="inlineStr">
        <is>
          <t>United States</t>
        </is>
      </c>
    </row>
    <row r="2134">
      <c r="A2134" t="inlineStr">
        <is>
          <t>U2133</t>
        </is>
      </c>
      <c r="B2134" t="inlineStr">
        <is>
          <t>University of Missouri Saint Louis</t>
        </is>
      </c>
      <c r="C2134" t="inlineStr">
        <is>
          <t>UN</t>
        </is>
      </c>
      <c r="D2134" t="inlineStr">
        <is>
          <t>United States</t>
        </is>
      </c>
    </row>
    <row r="2135">
      <c r="A2135" t="inlineStr">
        <is>
          <t>U2134</t>
        </is>
      </c>
      <c r="B2135" t="inlineStr">
        <is>
          <t>University of Miyazaki</t>
        </is>
      </c>
      <c r="C2135" t="inlineStr">
        <is>
          <t>JA</t>
        </is>
      </c>
      <c r="D2135" t="inlineStr">
        <is>
          <t>Japan</t>
        </is>
      </c>
    </row>
    <row r="2136">
      <c r="A2136" t="inlineStr">
        <is>
          <t>U2135</t>
        </is>
      </c>
      <c r="B2136" t="inlineStr">
        <is>
          <t>University of Modena and Reggio Emilia</t>
        </is>
      </c>
      <c r="C2136" t="inlineStr">
        <is>
          <t>IT</t>
        </is>
      </c>
      <c r="D2136" t="inlineStr">
        <is>
          <t>Italy</t>
        </is>
      </c>
    </row>
    <row r="2137">
      <c r="A2137" t="inlineStr">
        <is>
          <t>U2136</t>
        </is>
      </c>
      <c r="B2137" t="inlineStr">
        <is>
          <t>University of Mohaghegh Ardabili</t>
        </is>
      </c>
      <c r="C2137" t="inlineStr">
        <is>
          <t>IR</t>
        </is>
      </c>
      <c r="D2137" t="inlineStr">
        <is>
          <t>Iran</t>
        </is>
      </c>
    </row>
    <row r="2138">
      <c r="A2138" t="inlineStr">
        <is>
          <t>U2137</t>
        </is>
      </c>
      <c r="B2138" t="inlineStr">
        <is>
          <t>University of Monastir</t>
        </is>
      </c>
      <c r="C2138" t="inlineStr">
        <is>
          <t>TU</t>
        </is>
      </c>
      <c r="D2138" t="inlineStr">
        <is>
          <t>Tunisia</t>
        </is>
      </c>
    </row>
    <row r="2139">
      <c r="A2139" t="inlineStr">
        <is>
          <t>U2138</t>
        </is>
      </c>
      <c r="B2139" t="inlineStr">
        <is>
          <t xml:space="preserve">University of Mons </t>
        </is>
      </c>
      <c r="C2139" t="inlineStr">
        <is>
          <t>BE</t>
        </is>
      </c>
      <c r="D2139" t="inlineStr">
        <is>
          <t>Belgium</t>
        </is>
      </c>
    </row>
    <row r="2140">
      <c r="A2140" t="inlineStr">
        <is>
          <t>U2139</t>
        </is>
      </c>
      <c r="B2140" t="inlineStr">
        <is>
          <t xml:space="preserve">University of Montana Missoula </t>
        </is>
      </c>
      <c r="C2140" t="inlineStr">
        <is>
          <t>UN</t>
        </is>
      </c>
      <c r="D2140" t="inlineStr">
        <is>
          <t>United States</t>
        </is>
      </c>
    </row>
    <row r="2141">
      <c r="A2141" t="inlineStr">
        <is>
          <t>U2140</t>
        </is>
      </c>
      <c r="B2141" t="inlineStr">
        <is>
          <t>University of Montenegro</t>
        </is>
      </c>
      <c r="C2141" t="inlineStr">
        <is>
          <t>MO</t>
        </is>
      </c>
      <c r="D2141" t="inlineStr">
        <is>
          <t>Montenegro</t>
        </is>
      </c>
    </row>
    <row r="2142">
      <c r="A2142" t="inlineStr">
        <is>
          <t>U2141</t>
        </is>
      </c>
      <c r="B2142" t="inlineStr">
        <is>
          <t>University of Montreal</t>
        </is>
      </c>
      <c r="C2142" t="inlineStr">
        <is>
          <t>CA</t>
        </is>
      </c>
      <c r="D2142" t="inlineStr">
        <is>
          <t>Canada</t>
        </is>
      </c>
    </row>
    <row r="2143">
      <c r="A2143" t="inlineStr">
        <is>
          <t>U2142</t>
        </is>
      </c>
      <c r="B2143" t="inlineStr">
        <is>
          <t>University of Mosul</t>
        </is>
      </c>
      <c r="C2143" t="inlineStr">
        <is>
          <t>IR</t>
        </is>
      </c>
      <c r="D2143" t="inlineStr">
        <is>
          <t>Iraq</t>
        </is>
      </c>
    </row>
    <row r="2144">
      <c r="A2144" t="inlineStr">
        <is>
          <t>U2143</t>
        </is>
      </c>
      <c r="B2144" t="inlineStr">
        <is>
          <t>University of Mumbai</t>
        </is>
      </c>
      <c r="C2144" t="inlineStr">
        <is>
          <t>IN</t>
        </is>
      </c>
      <c r="D2144" t="inlineStr">
        <is>
          <t>India</t>
        </is>
      </c>
    </row>
    <row r="2145">
      <c r="A2145" t="inlineStr">
        <is>
          <t>U2144</t>
        </is>
      </c>
      <c r="B2145" t="inlineStr">
        <is>
          <t>University of Murcia</t>
        </is>
      </c>
      <c r="C2145" t="inlineStr">
        <is>
          <t>SP</t>
        </is>
      </c>
      <c r="D2145" t="inlineStr">
        <is>
          <t>Spain</t>
        </is>
      </c>
    </row>
    <row r="2146">
      <c r="A2146" t="inlineStr">
        <is>
          <t>U2145</t>
        </is>
      </c>
      <c r="B2146" t="inlineStr">
        <is>
          <t>University of Mysore</t>
        </is>
      </c>
      <c r="C2146" t="inlineStr">
        <is>
          <t>IN</t>
        </is>
      </c>
      <c r="D2146" t="inlineStr">
        <is>
          <t>India</t>
        </is>
      </c>
    </row>
    <row r="2147">
      <c r="A2147" t="inlineStr">
        <is>
          <t>U2146</t>
        </is>
      </c>
      <c r="B2147" t="inlineStr">
        <is>
          <t>University of Nairobi</t>
        </is>
      </c>
      <c r="C2147" t="inlineStr">
        <is>
          <t>KE</t>
        </is>
      </c>
      <c r="D2147" t="inlineStr">
        <is>
          <t>Kenya</t>
        </is>
      </c>
    </row>
    <row r="2148">
      <c r="A2148" t="inlineStr">
        <is>
          <t>U2147</t>
        </is>
      </c>
      <c r="B2148" t="inlineStr">
        <is>
          <t>University of Namibia</t>
        </is>
      </c>
      <c r="C2148" t="inlineStr">
        <is>
          <t>NA</t>
        </is>
      </c>
      <c r="D2148" t="inlineStr">
        <is>
          <t>Namibia</t>
        </is>
      </c>
    </row>
    <row r="2149">
      <c r="A2149" t="inlineStr">
        <is>
          <t>U2148</t>
        </is>
      </c>
      <c r="B2149" t="inlineStr">
        <is>
          <t>University of Namur</t>
        </is>
      </c>
      <c r="C2149" t="inlineStr">
        <is>
          <t>BE</t>
        </is>
      </c>
      <c r="D2149" t="inlineStr">
        <is>
          <t>Belgium</t>
        </is>
      </c>
    </row>
    <row r="2150">
      <c r="A2150" t="inlineStr">
        <is>
          <t>U2149</t>
        </is>
      </c>
      <c r="B2150" t="inlineStr">
        <is>
          <t>University of Naples - Federico II</t>
        </is>
      </c>
      <c r="C2150" t="inlineStr">
        <is>
          <t>IT</t>
        </is>
      </c>
      <c r="D2150" t="inlineStr">
        <is>
          <t>Italy</t>
        </is>
      </c>
    </row>
    <row r="2151">
      <c r="A2151" t="inlineStr">
        <is>
          <t>U2150</t>
        </is>
      </c>
      <c r="B2151" t="inlineStr">
        <is>
          <t>University of Naples Parthenope</t>
        </is>
      </c>
      <c r="C2151" t="inlineStr">
        <is>
          <t>IT</t>
        </is>
      </c>
      <c r="D2151" t="inlineStr">
        <is>
          <t>Italy</t>
        </is>
      </c>
    </row>
    <row r="2152">
      <c r="A2152" t="inlineStr">
        <is>
          <t>U2151</t>
        </is>
      </c>
      <c r="B2152" t="inlineStr">
        <is>
          <t>University of Navarra</t>
        </is>
      </c>
      <c r="C2152" t="inlineStr">
        <is>
          <t>SP</t>
        </is>
      </c>
      <c r="D2152" t="inlineStr">
        <is>
          <t>Spain</t>
        </is>
      </c>
    </row>
    <row r="2153">
      <c r="A2153" t="inlineStr">
        <is>
          <t>U2152</t>
        </is>
      </c>
      <c r="B2153" t="inlineStr">
        <is>
          <t>University of Nebraska - Lincoln</t>
        </is>
      </c>
      <c r="C2153" t="inlineStr">
        <is>
          <t>UN</t>
        </is>
      </c>
      <c r="D2153" t="inlineStr">
        <is>
          <t>United States</t>
        </is>
      </c>
    </row>
    <row r="2154">
      <c r="A2154" t="inlineStr">
        <is>
          <t>U2153</t>
        </is>
      </c>
      <c r="B2154" t="inlineStr">
        <is>
          <t>University of Nebraska Medical Center</t>
        </is>
      </c>
      <c r="C2154" t="inlineStr">
        <is>
          <t>UN</t>
        </is>
      </c>
      <c r="D2154" t="inlineStr">
        <is>
          <t>United States</t>
        </is>
      </c>
    </row>
    <row r="2155">
      <c r="A2155" t="inlineStr">
        <is>
          <t>U2154</t>
        </is>
      </c>
      <c r="B2155" t="inlineStr">
        <is>
          <t>University of Neuchâtel</t>
        </is>
      </c>
      <c r="C2155" t="inlineStr">
        <is>
          <t>SW</t>
        </is>
      </c>
      <c r="D2155" t="inlineStr">
        <is>
          <t>Switzerland</t>
        </is>
      </c>
    </row>
    <row r="2156">
      <c r="A2156" t="inlineStr">
        <is>
          <t>U2155</t>
        </is>
      </c>
      <c r="B2156" t="inlineStr">
        <is>
          <t>University of Nevada, Las Vegas</t>
        </is>
      </c>
      <c r="C2156" t="inlineStr">
        <is>
          <t>UN</t>
        </is>
      </c>
      <c r="D2156" t="inlineStr">
        <is>
          <t>United States</t>
        </is>
      </c>
    </row>
    <row r="2157">
      <c r="A2157" t="inlineStr">
        <is>
          <t>U2156</t>
        </is>
      </c>
      <c r="B2157" t="inlineStr">
        <is>
          <t>University of New Brunswick</t>
        </is>
      </c>
      <c r="C2157" t="inlineStr">
        <is>
          <t>CA</t>
        </is>
      </c>
      <c r="D2157" t="inlineStr">
        <is>
          <t>Canada</t>
        </is>
      </c>
    </row>
    <row r="2158">
      <c r="A2158" t="inlineStr">
        <is>
          <t>U2157</t>
        </is>
      </c>
      <c r="B2158" t="inlineStr">
        <is>
          <t>University of New Brunswick UNB</t>
        </is>
      </c>
      <c r="C2158" t="inlineStr">
        <is>
          <t>CA</t>
        </is>
      </c>
      <c r="D2158" t="inlineStr">
        <is>
          <t>Canada</t>
        </is>
      </c>
    </row>
    <row r="2159">
      <c r="A2159" t="inlineStr">
        <is>
          <t>U2158</t>
        </is>
      </c>
      <c r="B2159" t="inlineStr">
        <is>
          <t>University of New England Australia</t>
        </is>
      </c>
      <c r="C2159" t="inlineStr">
        <is>
          <t>AU</t>
        </is>
      </c>
      <c r="D2159" t="inlineStr">
        <is>
          <t>Australia</t>
        </is>
      </c>
    </row>
    <row r="2160">
      <c r="A2160" t="inlineStr">
        <is>
          <t>U2159</t>
        </is>
      </c>
      <c r="B2160" t="inlineStr">
        <is>
          <t>University of New Hampshire</t>
        </is>
      </c>
      <c r="C2160" t="inlineStr">
        <is>
          <t>UN</t>
        </is>
      </c>
      <c r="D2160" t="inlineStr">
        <is>
          <t>United States</t>
        </is>
      </c>
    </row>
    <row r="2161">
      <c r="A2161" t="inlineStr">
        <is>
          <t>U2160</t>
        </is>
      </c>
      <c r="B2161" t="inlineStr">
        <is>
          <t>University of New Mexico</t>
        </is>
      </c>
      <c r="C2161" t="inlineStr">
        <is>
          <t>UN</t>
        </is>
      </c>
      <c r="D2161" t="inlineStr">
        <is>
          <t>United States</t>
        </is>
      </c>
    </row>
    <row r="2162">
      <c r="A2162" t="inlineStr">
        <is>
          <t>U2161</t>
        </is>
      </c>
      <c r="B2162" t="inlineStr">
        <is>
          <t>The University of New South Wales (UNSW Sydney)</t>
        </is>
      </c>
      <c r="C2162" t="inlineStr">
        <is>
          <t>AU</t>
        </is>
      </c>
      <c r="D2162" t="inlineStr">
        <is>
          <t>Australia</t>
        </is>
      </c>
    </row>
    <row r="2163">
      <c r="A2163" t="inlineStr">
        <is>
          <t>U2162</t>
        </is>
      </c>
      <c r="B2163" t="inlineStr">
        <is>
          <t>University of Newcastle</t>
        </is>
      </c>
      <c r="C2163" t="inlineStr">
        <is>
          <t>AU</t>
        </is>
      </c>
      <c r="D2163" t="inlineStr">
        <is>
          <t>Australia</t>
        </is>
      </c>
    </row>
    <row r="2164">
      <c r="A2164" t="inlineStr">
        <is>
          <t>U2163</t>
        </is>
      </c>
      <c r="B2164" t="inlineStr">
        <is>
          <t>The University of Newcastle, Australia (UON)</t>
        </is>
      </c>
      <c r="C2164" t="inlineStr">
        <is>
          <t>AU</t>
        </is>
      </c>
      <c r="D2164" t="inlineStr">
        <is>
          <t>Australia</t>
        </is>
      </c>
    </row>
    <row r="2165">
      <c r="A2165" t="inlineStr">
        <is>
          <t>U2164</t>
        </is>
      </c>
      <c r="B2165" t="inlineStr">
        <is>
          <t>University of Niš</t>
        </is>
      </c>
      <c r="C2165" t="inlineStr">
        <is>
          <t>SE</t>
        </is>
      </c>
      <c r="D2165" t="inlineStr">
        <is>
          <t>Serbia</t>
        </is>
      </c>
    </row>
    <row r="2166">
      <c r="A2166" t="inlineStr">
        <is>
          <t>U2165</t>
        </is>
      </c>
      <c r="B2166" t="inlineStr">
        <is>
          <t>University of Nicosia</t>
        </is>
      </c>
      <c r="C2166" t="inlineStr">
        <is>
          <t>CY</t>
        </is>
      </c>
      <c r="D2166" t="inlineStr">
        <is>
          <t>Cyprus</t>
        </is>
      </c>
    </row>
    <row r="2167">
      <c r="A2167" t="inlineStr">
        <is>
          <t>U2166</t>
        </is>
      </c>
      <c r="B2167" t="inlineStr">
        <is>
          <t>University of Nigeria Nsukka</t>
        </is>
      </c>
      <c r="C2167" t="inlineStr">
        <is>
          <t>NI</t>
        </is>
      </c>
      <c r="D2167" t="inlineStr">
        <is>
          <t>Nigeria</t>
        </is>
      </c>
    </row>
    <row r="2168">
      <c r="A2168" t="inlineStr">
        <is>
          <t>U2167</t>
        </is>
      </c>
      <c r="B2168" t="inlineStr">
        <is>
          <t>University of North Carolina at Chapel Hill</t>
        </is>
      </c>
      <c r="C2168" t="inlineStr">
        <is>
          <t>UN</t>
        </is>
      </c>
      <c r="D2168" t="inlineStr">
        <is>
          <t>United States</t>
        </is>
      </c>
    </row>
    <row r="2169">
      <c r="A2169" t="inlineStr">
        <is>
          <t>U2168</t>
        </is>
      </c>
      <c r="B2169" t="inlineStr">
        <is>
          <t>University of North Carolina at Charlotte</t>
        </is>
      </c>
      <c r="C2169" t="inlineStr">
        <is>
          <t>UN</t>
        </is>
      </c>
      <c r="D2169" t="inlineStr">
        <is>
          <t>United States</t>
        </is>
      </c>
    </row>
    <row r="2170">
      <c r="A2170" t="inlineStr">
        <is>
          <t>U2169</t>
        </is>
      </c>
      <c r="B2170" t="inlineStr">
        <is>
          <t>University of North Carolina at Greensboro</t>
        </is>
      </c>
      <c r="C2170" t="inlineStr">
        <is>
          <t>UN</t>
        </is>
      </c>
      <c r="D2170" t="inlineStr">
        <is>
          <t>United States</t>
        </is>
      </c>
    </row>
    <row r="2171">
      <c r="A2171" t="inlineStr">
        <is>
          <t>U2170</t>
        </is>
      </c>
      <c r="B2171" t="inlineStr">
        <is>
          <t>University of North Carolina, Chapel Hill</t>
        </is>
      </c>
      <c r="C2171" t="inlineStr">
        <is>
          <t>UN</t>
        </is>
      </c>
      <c r="D2171" t="inlineStr">
        <is>
          <t>United States</t>
        </is>
      </c>
    </row>
    <row r="2172">
      <c r="A2172" t="inlineStr">
        <is>
          <t>U2171</t>
        </is>
      </c>
      <c r="B2172" t="inlineStr">
        <is>
          <t>University of North Texas</t>
        </is>
      </c>
      <c r="C2172" t="inlineStr">
        <is>
          <t>UN</t>
        </is>
      </c>
      <c r="D2172" t="inlineStr">
        <is>
          <t>United States</t>
        </is>
      </c>
    </row>
    <row r="2173">
      <c r="A2173" t="inlineStr">
        <is>
          <t>U2172</t>
        </is>
      </c>
      <c r="B2173" t="inlineStr">
        <is>
          <t>The University of Northampton</t>
        </is>
      </c>
      <c r="C2173" t="inlineStr">
        <is>
          <t>UN</t>
        </is>
      </c>
      <c r="D2173" t="inlineStr">
        <is>
          <t>United Kingdom</t>
        </is>
      </c>
    </row>
    <row r="2174">
      <c r="A2174" t="inlineStr">
        <is>
          <t>U2173</t>
        </is>
      </c>
      <c r="B2174" t="inlineStr">
        <is>
          <t>University of Northern British Columbia (UNBC)</t>
        </is>
      </c>
      <c r="C2174" t="inlineStr">
        <is>
          <t>CA</t>
        </is>
      </c>
      <c r="D2174" t="inlineStr">
        <is>
          <t>Canada</t>
        </is>
      </c>
    </row>
    <row r="2175">
      <c r="A2175" t="inlineStr">
        <is>
          <t>U2174</t>
        </is>
      </c>
      <c r="B2175" t="inlineStr">
        <is>
          <t>University of Notre Dame</t>
        </is>
      </c>
      <c r="C2175" t="inlineStr">
        <is>
          <t>UN</t>
        </is>
      </c>
      <c r="D2175" t="inlineStr">
        <is>
          <t>United States</t>
        </is>
      </c>
    </row>
    <row r="2176">
      <c r="A2176" t="inlineStr">
        <is>
          <t>U2175</t>
        </is>
      </c>
      <c r="B2176" t="inlineStr">
        <is>
          <t>The University of Notre Dame, Australia</t>
        </is>
      </c>
      <c r="C2176" t="inlineStr">
        <is>
          <t>AU</t>
        </is>
      </c>
      <c r="D2176" t="inlineStr">
        <is>
          <t>Australia</t>
        </is>
      </c>
    </row>
    <row r="2177">
      <c r="A2177" t="inlineStr">
        <is>
          <t>U2176</t>
        </is>
      </c>
      <c r="B2177" t="inlineStr">
        <is>
          <t>University of Nottingham</t>
        </is>
      </c>
      <c r="C2177" t="inlineStr">
        <is>
          <t>UN</t>
        </is>
      </c>
      <c r="D2177" t="inlineStr">
        <is>
          <t>United Kingdom</t>
        </is>
      </c>
    </row>
    <row r="2178">
      <c r="A2178" t="inlineStr">
        <is>
          <t>U2177</t>
        </is>
      </c>
      <c r="B2178" t="inlineStr">
        <is>
          <t>University of Novi Sad</t>
        </is>
      </c>
      <c r="C2178" t="inlineStr">
        <is>
          <t>SE</t>
        </is>
      </c>
      <c r="D2178" t="inlineStr">
        <is>
          <t>Serbia</t>
        </is>
      </c>
    </row>
    <row r="2179">
      <c r="A2179" t="inlineStr">
        <is>
          <t>U2178</t>
        </is>
      </c>
      <c r="B2179" t="inlineStr">
        <is>
          <t>University of Occupational and Environmental Health, Japan</t>
        </is>
      </c>
      <c r="C2179" t="inlineStr">
        <is>
          <t>JA</t>
        </is>
      </c>
      <c r="D2179" t="inlineStr">
        <is>
          <t>Japan</t>
        </is>
      </c>
    </row>
    <row r="2180">
      <c r="A2180" t="inlineStr">
        <is>
          <t>U2179</t>
        </is>
      </c>
      <c r="B2180" t="inlineStr">
        <is>
          <t>University of Oklahoma</t>
        </is>
      </c>
      <c r="C2180" t="inlineStr">
        <is>
          <t>UN</t>
        </is>
      </c>
      <c r="D2180" t="inlineStr">
        <is>
          <t>United States</t>
        </is>
      </c>
    </row>
    <row r="2181">
      <c r="A2181" t="inlineStr">
        <is>
          <t>U2180</t>
        </is>
      </c>
      <c r="B2181" t="inlineStr">
        <is>
          <t>University of Oradea</t>
        </is>
      </c>
      <c r="C2181" t="inlineStr">
        <is>
          <t>RO</t>
        </is>
      </c>
      <c r="D2181" t="inlineStr">
        <is>
          <t>Romania</t>
        </is>
      </c>
    </row>
    <row r="2182">
      <c r="A2182" t="inlineStr">
        <is>
          <t>U2181</t>
        </is>
      </c>
      <c r="B2182" t="inlineStr">
        <is>
          <t>University of Oregon</t>
        </is>
      </c>
      <c r="C2182" t="inlineStr">
        <is>
          <t>UN</t>
        </is>
      </c>
      <c r="D2182" t="inlineStr">
        <is>
          <t>United States</t>
        </is>
      </c>
    </row>
    <row r="2183">
      <c r="A2183" t="inlineStr">
        <is>
          <t>U2182</t>
        </is>
      </c>
      <c r="B2183" t="inlineStr">
        <is>
          <t>University of Oslo</t>
        </is>
      </c>
      <c r="C2183" t="inlineStr">
        <is>
          <t>NO</t>
        </is>
      </c>
      <c r="D2183" t="inlineStr">
        <is>
          <t>Norway</t>
        </is>
      </c>
    </row>
    <row r="2184">
      <c r="A2184" t="inlineStr">
        <is>
          <t>U2183</t>
        </is>
      </c>
      <c r="B2184" t="inlineStr">
        <is>
          <t>University of Ostrava</t>
        </is>
      </c>
      <c r="C2184" t="inlineStr">
        <is>
          <t>CZ</t>
        </is>
      </c>
      <c r="D2184" t="inlineStr">
        <is>
          <t>Czech Republic</t>
        </is>
      </c>
    </row>
    <row r="2185">
      <c r="A2185" t="inlineStr">
        <is>
          <t>U2184</t>
        </is>
      </c>
      <c r="B2185" t="inlineStr">
        <is>
          <t>University of Otago</t>
        </is>
      </c>
      <c r="C2185" t="inlineStr">
        <is>
          <t>NE</t>
        </is>
      </c>
      <c r="D2185" t="inlineStr">
        <is>
          <t>New Zealand</t>
        </is>
      </c>
    </row>
    <row r="2186">
      <c r="A2186" t="inlineStr">
        <is>
          <t>U2185</t>
        </is>
      </c>
      <c r="B2186" t="inlineStr">
        <is>
          <t>University of Ottawa</t>
        </is>
      </c>
      <c r="C2186" t="inlineStr">
        <is>
          <t>CA</t>
        </is>
      </c>
      <c r="D2186" t="inlineStr">
        <is>
          <t>Canada</t>
        </is>
      </c>
    </row>
    <row r="2187">
      <c r="A2187" t="inlineStr">
        <is>
          <t>U2186</t>
        </is>
      </c>
      <c r="B2187" t="inlineStr">
        <is>
          <t>University of Oulu</t>
        </is>
      </c>
      <c r="C2187" t="inlineStr">
        <is>
          <t>FI</t>
        </is>
      </c>
      <c r="D2187" t="inlineStr">
        <is>
          <t>Finland</t>
        </is>
      </c>
    </row>
    <row r="2188">
      <c r="A2188" t="inlineStr">
        <is>
          <t>U2187</t>
        </is>
      </c>
      <c r="B2188" t="inlineStr">
        <is>
          <t>University of Oviedo</t>
        </is>
      </c>
      <c r="C2188" t="inlineStr">
        <is>
          <t>SP</t>
        </is>
      </c>
      <c r="D2188" t="inlineStr">
        <is>
          <t>Spain</t>
        </is>
      </c>
    </row>
    <row r="2189">
      <c r="A2189" t="inlineStr">
        <is>
          <t>U2188</t>
        </is>
      </c>
      <c r="B2189" t="inlineStr">
        <is>
          <t>University of Oxford</t>
        </is>
      </c>
      <c r="C2189" t="inlineStr">
        <is>
          <t>UN</t>
        </is>
      </c>
      <c r="D2189" t="inlineStr">
        <is>
          <t>United Kingdom</t>
        </is>
      </c>
    </row>
    <row r="2190">
      <c r="A2190" t="inlineStr">
        <is>
          <t>U2189</t>
        </is>
      </c>
      <c r="B2190" t="inlineStr">
        <is>
          <t>University of Pécs</t>
        </is>
      </c>
      <c r="C2190" t="inlineStr">
        <is>
          <t>HU</t>
        </is>
      </c>
      <c r="D2190" t="inlineStr">
        <is>
          <t>Hungary</t>
        </is>
      </c>
    </row>
    <row r="2191">
      <c r="A2191" t="inlineStr">
        <is>
          <t>U2190</t>
        </is>
      </c>
      <c r="B2191" t="inlineStr">
        <is>
          <t>University of Padua</t>
        </is>
      </c>
      <c r="C2191" t="inlineStr">
        <is>
          <t>IT</t>
        </is>
      </c>
      <c r="D2191" t="inlineStr">
        <is>
          <t>Italy</t>
        </is>
      </c>
    </row>
    <row r="2192">
      <c r="A2192" t="inlineStr">
        <is>
          <t>U2191</t>
        </is>
      </c>
      <c r="B2192" t="inlineStr">
        <is>
          <t>University of Palermo</t>
        </is>
      </c>
      <c r="C2192" t="inlineStr">
        <is>
          <t>IT</t>
        </is>
      </c>
      <c r="D2192" t="inlineStr">
        <is>
          <t>Italy</t>
        </is>
      </c>
    </row>
    <row r="2193">
      <c r="A2193" t="inlineStr">
        <is>
          <t>U2192</t>
        </is>
      </c>
      <c r="B2193" t="inlineStr">
        <is>
          <t>University of Pannonia</t>
        </is>
      </c>
      <c r="C2193" t="inlineStr">
        <is>
          <t>HU</t>
        </is>
      </c>
      <c r="D2193" t="inlineStr">
        <is>
          <t>Hungary</t>
        </is>
      </c>
    </row>
    <row r="2194">
      <c r="A2194" t="inlineStr">
        <is>
          <t>U2193</t>
        </is>
      </c>
      <c r="B2194" t="inlineStr">
        <is>
          <t>University of Pardubice</t>
        </is>
      </c>
      <c r="C2194" t="inlineStr">
        <is>
          <t>CZ</t>
        </is>
      </c>
      <c r="D2194" t="inlineStr">
        <is>
          <t>Czech Republic</t>
        </is>
      </c>
    </row>
    <row r="2195">
      <c r="A2195" t="inlineStr">
        <is>
          <t>U2194</t>
        </is>
      </c>
      <c r="B2195" t="inlineStr">
        <is>
          <t>University of Parma</t>
        </is>
      </c>
      <c r="C2195" t="inlineStr">
        <is>
          <t>IT</t>
        </is>
      </c>
      <c r="D2195" t="inlineStr">
        <is>
          <t>Italy</t>
        </is>
      </c>
    </row>
    <row r="2196">
      <c r="A2196" t="inlineStr">
        <is>
          <t>U2195</t>
        </is>
      </c>
      <c r="B2196" t="inlineStr">
        <is>
          <t>University of Passau</t>
        </is>
      </c>
      <c r="C2196" t="inlineStr">
        <is>
          <t>GE</t>
        </is>
      </c>
      <c r="D2196" t="inlineStr">
        <is>
          <t>Germany</t>
        </is>
      </c>
    </row>
    <row r="2197">
      <c r="A2197" t="inlineStr">
        <is>
          <t>U2196</t>
        </is>
      </c>
      <c r="B2197" t="inlineStr">
        <is>
          <t>University of Patras</t>
        </is>
      </c>
      <c r="C2197" t="inlineStr">
        <is>
          <t>GR</t>
        </is>
      </c>
      <c r="D2197" t="inlineStr">
        <is>
          <t>Greece</t>
        </is>
      </c>
    </row>
    <row r="2198">
      <c r="A2198" t="inlineStr">
        <is>
          <t>U2197</t>
        </is>
      </c>
      <c r="B2198" t="inlineStr">
        <is>
          <t>University of Pau and Pays de l’Adour</t>
        </is>
      </c>
      <c r="C2198" t="inlineStr">
        <is>
          <t>FR</t>
        </is>
      </c>
      <c r="D2198" t="inlineStr">
        <is>
          <t>France</t>
        </is>
      </c>
    </row>
    <row r="2199">
      <c r="A2199" t="inlineStr">
        <is>
          <t>U2198</t>
        </is>
      </c>
      <c r="B2199" t="inlineStr">
        <is>
          <t>University of Pavia</t>
        </is>
      </c>
      <c r="C2199" t="inlineStr">
        <is>
          <t>IT</t>
        </is>
      </c>
      <c r="D2199" t="inlineStr">
        <is>
          <t>Italy</t>
        </is>
      </c>
    </row>
    <row r="2200">
      <c r="A2200" t="inlineStr">
        <is>
          <t>U2199</t>
        </is>
      </c>
      <c r="B2200" t="inlineStr">
        <is>
          <t>University of Pecs</t>
        </is>
      </c>
      <c r="C2200" t="inlineStr">
        <is>
          <t>HU</t>
        </is>
      </c>
      <c r="D2200" t="inlineStr">
        <is>
          <t>Hungary</t>
        </is>
      </c>
    </row>
    <row r="2201">
      <c r="A2201" t="inlineStr">
        <is>
          <t>U2200</t>
        </is>
      </c>
      <c r="B2201" t="inlineStr">
        <is>
          <t>University of Pennsylvania</t>
        </is>
      </c>
      <c r="C2201" t="inlineStr">
        <is>
          <t>UN</t>
        </is>
      </c>
      <c r="D2201" t="inlineStr">
        <is>
          <t>United States</t>
        </is>
      </c>
    </row>
    <row r="2202">
      <c r="A2202" t="inlineStr">
        <is>
          <t>U2201</t>
        </is>
      </c>
      <c r="B2202" t="inlineStr">
        <is>
          <t xml:space="preserve">University of Peradeniya </t>
        </is>
      </c>
      <c r="C2202" t="inlineStr">
        <is>
          <t>SR</t>
        </is>
      </c>
      <c r="D2202" t="inlineStr">
        <is>
          <t>Sri Lanka</t>
        </is>
      </c>
    </row>
    <row r="2203">
      <c r="A2203" t="inlineStr">
        <is>
          <t>U2202</t>
        </is>
      </c>
      <c r="B2203" t="inlineStr">
        <is>
          <t>University of Pernambuco</t>
        </is>
      </c>
      <c r="C2203" t="inlineStr">
        <is>
          <t>BR</t>
        </is>
      </c>
      <c r="D2203" t="inlineStr">
        <is>
          <t>Brazil</t>
        </is>
      </c>
    </row>
    <row r="2204">
      <c r="A2204" t="inlineStr">
        <is>
          <t>U2203</t>
        </is>
      </c>
      <c r="B2204" t="inlineStr">
        <is>
          <t>University of Peshawar</t>
        </is>
      </c>
      <c r="C2204" t="inlineStr">
        <is>
          <t>PA</t>
        </is>
      </c>
      <c r="D2204" t="inlineStr">
        <is>
          <t>Pakistan</t>
        </is>
      </c>
    </row>
    <row r="2205">
      <c r="A2205" t="inlineStr">
        <is>
          <t>U2204</t>
        </is>
      </c>
      <c r="B2205" t="inlineStr">
        <is>
          <t>University of Petroleum and Energy Studies (UPES)</t>
        </is>
      </c>
      <c r="C2205" t="inlineStr">
        <is>
          <t>IN</t>
        </is>
      </c>
      <c r="D2205" t="inlineStr">
        <is>
          <t>India</t>
        </is>
      </c>
    </row>
    <row r="2206">
      <c r="A2206" t="inlineStr">
        <is>
          <t>U2205</t>
        </is>
      </c>
      <c r="B2206" t="inlineStr">
        <is>
          <t>University of Phayao</t>
        </is>
      </c>
      <c r="C2206" t="inlineStr">
        <is>
          <t>TH</t>
        </is>
      </c>
      <c r="D2206" t="inlineStr">
        <is>
          <t>Thailand</t>
        </is>
      </c>
    </row>
    <row r="2207">
      <c r="A2207" t="inlineStr">
        <is>
          <t>U2206</t>
        </is>
      </c>
      <c r="B2207" t="inlineStr">
        <is>
          <t>University of Pisa</t>
        </is>
      </c>
      <c r="C2207" t="inlineStr">
        <is>
          <t>IT</t>
        </is>
      </c>
      <c r="D2207" t="inlineStr">
        <is>
          <t>Italy</t>
        </is>
      </c>
    </row>
    <row r="2208">
      <c r="A2208" t="inlineStr">
        <is>
          <t>U2207</t>
        </is>
      </c>
      <c r="B2208" t="inlineStr">
        <is>
          <t>University of Pittsburgh</t>
        </is>
      </c>
      <c r="C2208" t="inlineStr">
        <is>
          <t>UN</t>
        </is>
      </c>
      <c r="D2208" t="inlineStr">
        <is>
          <t>United States</t>
        </is>
      </c>
    </row>
    <row r="2209">
      <c r="A2209" t="inlineStr">
        <is>
          <t>U2208</t>
        </is>
      </c>
      <c r="B2209" t="inlineStr">
        <is>
          <t>University of Pittsburgh-Pittsburgh campus</t>
        </is>
      </c>
      <c r="C2209" t="inlineStr">
        <is>
          <t>UN</t>
        </is>
      </c>
      <c r="D2209" t="inlineStr">
        <is>
          <t>United States</t>
        </is>
      </c>
    </row>
    <row r="2210">
      <c r="A2210" t="inlineStr">
        <is>
          <t>U2209</t>
        </is>
      </c>
      <c r="B2210" t="inlineStr">
        <is>
          <t>University of Plymouth</t>
        </is>
      </c>
      <c r="C2210" t="inlineStr">
        <is>
          <t>UN</t>
        </is>
      </c>
      <c r="D2210" t="inlineStr">
        <is>
          <t>United Kingdom</t>
        </is>
      </c>
    </row>
    <row r="2211">
      <c r="A2211" t="inlineStr">
        <is>
          <t>U2210</t>
        </is>
      </c>
      <c r="B2211" t="inlineStr">
        <is>
          <t>University of Port Harcourt</t>
        </is>
      </c>
      <c r="C2211" t="inlineStr">
        <is>
          <t>NI</t>
        </is>
      </c>
      <c r="D2211" t="inlineStr">
        <is>
          <t>Nigeria</t>
        </is>
      </c>
    </row>
    <row r="2212">
      <c r="A2212" t="inlineStr">
        <is>
          <t>U2211</t>
        </is>
      </c>
      <c r="B2212" t="inlineStr">
        <is>
          <t>University of Porto</t>
        </is>
      </c>
      <c r="C2212" t="inlineStr">
        <is>
          <t>PO</t>
        </is>
      </c>
      <c r="D2212" t="inlineStr">
        <is>
          <t>Portugal</t>
        </is>
      </c>
    </row>
    <row r="2213">
      <c r="A2213" t="inlineStr">
        <is>
          <t>U2212</t>
        </is>
      </c>
      <c r="B2213" t="inlineStr">
        <is>
          <t>University of Portsmouth</t>
        </is>
      </c>
      <c r="C2213" t="inlineStr">
        <is>
          <t>UN</t>
        </is>
      </c>
      <c r="D2213" t="inlineStr">
        <is>
          <t>United Kingdom</t>
        </is>
      </c>
    </row>
    <row r="2214">
      <c r="A2214" t="inlineStr">
        <is>
          <t>U2213</t>
        </is>
      </c>
      <c r="B2214" t="inlineStr">
        <is>
          <t>University of Potsdam</t>
        </is>
      </c>
      <c r="C2214" t="inlineStr">
        <is>
          <t>GE</t>
        </is>
      </c>
      <c r="D2214" t="inlineStr">
        <is>
          <t>Germany</t>
        </is>
      </c>
    </row>
    <row r="2215">
      <c r="A2215" t="inlineStr">
        <is>
          <t>U2214</t>
        </is>
      </c>
      <c r="B2215" t="inlineStr">
        <is>
          <t>University of Pretoria</t>
        </is>
      </c>
      <c r="C2215" t="inlineStr">
        <is>
          <t>SO</t>
        </is>
      </c>
      <c r="D2215" t="inlineStr">
        <is>
          <t>South Africa</t>
        </is>
      </c>
    </row>
    <row r="2216">
      <c r="A2216" t="inlineStr">
        <is>
          <t>U2215</t>
        </is>
      </c>
      <c r="B2216" t="inlineStr">
        <is>
          <t>University of Primorska</t>
        </is>
      </c>
      <c r="C2216" t="inlineStr">
        <is>
          <t>SL</t>
        </is>
      </c>
      <c r="D2216" t="inlineStr">
        <is>
          <t>Slovenia</t>
        </is>
      </c>
    </row>
    <row r="2217">
      <c r="A2217" t="inlineStr">
        <is>
          <t>U2216</t>
        </is>
      </c>
      <c r="B2217" t="inlineStr">
        <is>
          <t>University of Prishtina</t>
        </is>
      </c>
      <c r="C2217" t="inlineStr">
        <is>
          <t>KO</t>
        </is>
      </c>
      <c r="D2217" t="inlineStr">
        <is>
          <t>Kosovo</t>
        </is>
      </c>
    </row>
    <row r="2218">
      <c r="A2218" t="inlineStr">
        <is>
          <t>U2217</t>
        </is>
      </c>
      <c r="B2218" t="inlineStr">
        <is>
          <t>University of Puerto Rico</t>
        </is>
      </c>
      <c r="C2218" t="inlineStr">
        <is>
          <t>PU</t>
        </is>
      </c>
      <c r="D2218" t="inlineStr">
        <is>
          <t>Puerto Rico</t>
        </is>
      </c>
    </row>
    <row r="2219">
      <c r="A2219" t="inlineStr">
        <is>
          <t>U2218</t>
        </is>
      </c>
      <c r="B2219" t="inlineStr">
        <is>
          <t>University of Qom</t>
        </is>
      </c>
      <c r="C2219" t="inlineStr">
        <is>
          <t>IR</t>
        </is>
      </c>
      <c r="D2219" t="inlineStr">
        <is>
          <t>Iran</t>
        </is>
      </c>
    </row>
    <row r="2220">
      <c r="A2220" t="inlineStr">
        <is>
          <t>U2219</t>
        </is>
      </c>
      <c r="B2220" t="inlineStr">
        <is>
          <t>The University of Queensland</t>
        </is>
      </c>
      <c r="C2220" t="inlineStr">
        <is>
          <t>AU</t>
        </is>
      </c>
      <c r="D2220" t="inlineStr">
        <is>
          <t>Australia</t>
        </is>
      </c>
    </row>
    <row r="2221">
      <c r="A2221" t="inlineStr">
        <is>
          <t>U2220</t>
        </is>
      </c>
      <c r="B2221" t="inlineStr">
        <is>
          <t>University of Rajshahi</t>
        </is>
      </c>
      <c r="C2221" t="inlineStr">
        <is>
          <t>BA</t>
        </is>
      </c>
      <c r="D2221" t="inlineStr">
        <is>
          <t>Bangladesh</t>
        </is>
      </c>
    </row>
    <row r="2222">
      <c r="A2222" t="inlineStr">
        <is>
          <t>U2221</t>
        </is>
      </c>
      <c r="B2222" t="inlineStr">
        <is>
          <t>University of Reading</t>
        </is>
      </c>
      <c r="C2222" t="inlineStr">
        <is>
          <t>UN</t>
        </is>
      </c>
      <c r="D2222" t="inlineStr">
        <is>
          <t>United Kingdom</t>
        </is>
      </c>
    </row>
    <row r="2223">
      <c r="A2223" t="inlineStr">
        <is>
          <t>U2222</t>
        </is>
      </c>
      <c r="B2223" t="inlineStr">
        <is>
          <t>University of Regina</t>
        </is>
      </c>
      <c r="C2223" t="inlineStr">
        <is>
          <t>CA</t>
        </is>
      </c>
      <c r="D2223" t="inlineStr">
        <is>
          <t>Canada</t>
        </is>
      </c>
    </row>
    <row r="2224">
      <c r="A2224" t="inlineStr">
        <is>
          <t>U2223</t>
        </is>
      </c>
      <c r="B2224" t="inlineStr">
        <is>
          <t>University of Rennes 1</t>
        </is>
      </c>
      <c r="C2224" t="inlineStr">
        <is>
          <t>FR</t>
        </is>
      </c>
      <c r="D2224" t="inlineStr">
        <is>
          <t>France</t>
        </is>
      </c>
    </row>
    <row r="2225">
      <c r="A2225" t="inlineStr">
        <is>
          <t>U2224</t>
        </is>
      </c>
      <c r="B2225" t="inlineStr">
        <is>
          <t xml:space="preserve">University of Rhode Island </t>
        </is>
      </c>
      <c r="C2225" t="inlineStr">
        <is>
          <t>UN</t>
        </is>
      </c>
      <c r="D2225" t="inlineStr">
        <is>
          <t>United States</t>
        </is>
      </c>
    </row>
    <row r="2226">
      <c r="A2226" t="inlineStr">
        <is>
          <t>U2225</t>
        </is>
      </c>
      <c r="B2226" t="inlineStr">
        <is>
          <t>University of Rijeka</t>
        </is>
      </c>
      <c r="C2226" t="inlineStr">
        <is>
          <t>CR</t>
        </is>
      </c>
      <c r="D2226" t="inlineStr">
        <is>
          <t>Croatia</t>
        </is>
      </c>
    </row>
    <row r="2227">
      <c r="A2227" t="inlineStr">
        <is>
          <t>U2226</t>
        </is>
      </c>
      <c r="B2227" t="inlineStr">
        <is>
          <t>University of Rochester</t>
        </is>
      </c>
      <c r="C2227" t="inlineStr">
        <is>
          <t>UN</t>
        </is>
      </c>
      <c r="D2227" t="inlineStr">
        <is>
          <t>United States</t>
        </is>
      </c>
    </row>
    <row r="2228">
      <c r="A2228" t="inlineStr">
        <is>
          <t>U2227</t>
        </is>
      </c>
      <c r="B2228" t="inlineStr">
        <is>
          <t>University of Roehampton</t>
        </is>
      </c>
      <c r="C2228" t="inlineStr">
        <is>
          <t>UN</t>
        </is>
      </c>
      <c r="D2228" t="inlineStr">
        <is>
          <t>United Kingdom</t>
        </is>
      </c>
    </row>
    <row r="2229">
      <c r="A2229" t="inlineStr">
        <is>
          <t>U2228</t>
        </is>
      </c>
      <c r="B2229" t="inlineStr">
        <is>
          <t>University of Rome II – Tor Vergata</t>
        </is>
      </c>
      <c r="C2229" t="inlineStr">
        <is>
          <t>IT</t>
        </is>
      </c>
      <c r="D2229" t="inlineStr">
        <is>
          <t>Italy</t>
        </is>
      </c>
    </row>
    <row r="2230">
      <c r="A2230" t="inlineStr">
        <is>
          <t>U2229</t>
        </is>
      </c>
      <c r="B2230" t="inlineStr">
        <is>
          <t>University of Rome III</t>
        </is>
      </c>
      <c r="C2230" t="inlineStr">
        <is>
          <t>IT</t>
        </is>
      </c>
      <c r="D2230" t="inlineStr">
        <is>
          <t>Italy</t>
        </is>
      </c>
    </row>
    <row r="2231">
      <c r="A2231" t="inlineStr">
        <is>
          <t>U2230</t>
        </is>
      </c>
      <c r="B2231" t="inlineStr">
        <is>
          <t>University of Rome "Tor Vergata"</t>
        </is>
      </c>
      <c r="C2231" t="inlineStr">
        <is>
          <t>IT</t>
        </is>
      </c>
      <c r="D2231" t="inlineStr">
        <is>
          <t>Italy</t>
        </is>
      </c>
    </row>
    <row r="2232">
      <c r="A2232" t="inlineStr">
        <is>
          <t>U2231</t>
        </is>
      </c>
      <c r="B2232" t="inlineStr">
        <is>
          <t>University of Rzeszów</t>
        </is>
      </c>
      <c r="C2232" t="inlineStr">
        <is>
          <t>PO</t>
        </is>
      </c>
      <c r="D2232" t="inlineStr">
        <is>
          <t>Poland</t>
        </is>
      </c>
    </row>
    <row r="2233">
      <c r="A2233" t="inlineStr">
        <is>
          <t>U2232</t>
        </is>
      </c>
      <c r="B2233" t="inlineStr">
        <is>
          <t>University of São Paulo</t>
        </is>
      </c>
      <c r="C2233" t="inlineStr">
        <is>
          <t>BR</t>
        </is>
      </c>
      <c r="D2233" t="inlineStr">
        <is>
          <t>Brazil</t>
        </is>
      </c>
    </row>
    <row r="2234">
      <c r="A2234" t="inlineStr">
        <is>
          <t>U2233</t>
        </is>
      </c>
      <c r="B2234" t="inlineStr">
        <is>
          <t>University of Salamanca</t>
        </is>
      </c>
      <c r="C2234" t="inlineStr">
        <is>
          <t>SP</t>
        </is>
      </c>
      <c r="D2234" t="inlineStr">
        <is>
          <t>Spain</t>
        </is>
      </c>
    </row>
    <row r="2235">
      <c r="A2235" t="inlineStr">
        <is>
          <t>U2234</t>
        </is>
      </c>
      <c r="B2235" t="inlineStr">
        <is>
          <t>University of Salento</t>
        </is>
      </c>
      <c r="C2235" t="inlineStr">
        <is>
          <t>IT</t>
        </is>
      </c>
      <c r="D2235" t="inlineStr">
        <is>
          <t>Italy</t>
        </is>
      </c>
    </row>
    <row r="2236">
      <c r="A2236" t="inlineStr">
        <is>
          <t>U2235</t>
        </is>
      </c>
      <c r="B2236" t="inlineStr">
        <is>
          <t>University of Salerno</t>
        </is>
      </c>
      <c r="C2236" t="inlineStr">
        <is>
          <t>IT</t>
        </is>
      </c>
      <c r="D2236" t="inlineStr">
        <is>
          <t>Italy</t>
        </is>
      </c>
    </row>
    <row r="2237">
      <c r="A2237" t="inlineStr">
        <is>
          <t>U2236</t>
        </is>
      </c>
      <c r="B2237" t="inlineStr">
        <is>
          <t>University of Salford</t>
        </is>
      </c>
      <c r="C2237" t="inlineStr">
        <is>
          <t>UN</t>
        </is>
      </c>
      <c r="D2237" t="inlineStr">
        <is>
          <t>United Kingdom</t>
        </is>
      </c>
    </row>
    <row r="2238">
      <c r="A2238" t="inlineStr">
        <is>
          <t>U2237</t>
        </is>
      </c>
      <c r="B2238" t="inlineStr">
        <is>
          <t>University of San Carlos</t>
        </is>
      </c>
      <c r="C2238" t="inlineStr">
        <is>
          <t>PH</t>
        </is>
      </c>
      <c r="D2238" t="inlineStr">
        <is>
          <t>Philippines</t>
        </is>
      </c>
    </row>
    <row r="2239">
      <c r="A2239" t="inlineStr">
        <is>
          <t>U2238</t>
        </is>
      </c>
      <c r="B2239" t="inlineStr">
        <is>
          <t>University of San Diego</t>
        </is>
      </c>
      <c r="C2239" t="inlineStr">
        <is>
          <t>UN</t>
        </is>
      </c>
      <c r="D2239" t="inlineStr">
        <is>
          <t>United States</t>
        </is>
      </c>
    </row>
    <row r="2240">
      <c r="A2240" t="inlineStr">
        <is>
          <t>U2239</t>
        </is>
      </c>
      <c r="B2240" t="inlineStr">
        <is>
          <t>University of San Francisco</t>
        </is>
      </c>
      <c r="C2240" t="inlineStr">
        <is>
          <t>UN</t>
        </is>
      </c>
      <c r="D2240" t="inlineStr">
        <is>
          <t>United States</t>
        </is>
      </c>
    </row>
    <row r="2241">
      <c r="A2241" t="inlineStr">
        <is>
          <t>U2240</t>
        </is>
      </c>
      <c r="B2241" t="inlineStr">
        <is>
          <t>University of Sannio</t>
        </is>
      </c>
      <c r="C2241" t="inlineStr">
        <is>
          <t>IT</t>
        </is>
      </c>
      <c r="D2241" t="inlineStr">
        <is>
          <t>Italy</t>
        </is>
      </c>
    </row>
    <row r="2242">
      <c r="A2242" t="inlineStr">
        <is>
          <t>U2241</t>
        </is>
      </c>
      <c r="B2242" t="inlineStr">
        <is>
          <t>University of Santiago, Chile (USACH)</t>
        </is>
      </c>
      <c r="C2242" t="inlineStr">
        <is>
          <t>CH</t>
        </is>
      </c>
      <c r="D2242" t="inlineStr">
        <is>
          <t>Chile</t>
        </is>
      </c>
    </row>
    <row r="2243">
      <c r="A2243" t="inlineStr">
        <is>
          <t>U2242</t>
        </is>
      </c>
      <c r="B2243" t="inlineStr">
        <is>
          <t>University of Santiago de Compostela</t>
        </is>
      </c>
      <c r="C2243" t="inlineStr">
        <is>
          <t>SP</t>
        </is>
      </c>
      <c r="D2243" t="inlineStr">
        <is>
          <t>Spain</t>
        </is>
      </c>
    </row>
    <row r="2244">
      <c r="A2244" t="inlineStr">
        <is>
          <t>U2243</t>
        </is>
      </c>
      <c r="B2244" t="inlineStr">
        <is>
          <t>University of Santo Tomas</t>
        </is>
      </c>
      <c r="C2244" t="inlineStr">
        <is>
          <t>PH</t>
        </is>
      </c>
      <c r="D2244" t="inlineStr">
        <is>
          <t>Philippines</t>
        </is>
      </c>
    </row>
    <row r="2245">
      <c r="A2245" t="inlineStr">
        <is>
          <t>U2244</t>
        </is>
      </c>
      <c r="B2245" t="inlineStr">
        <is>
          <t xml:space="preserve">University of Sarajevo </t>
        </is>
      </c>
      <c r="C2245" t="inlineStr">
        <is>
          <t>BO</t>
        </is>
      </c>
      <c r="D2245" t="inlineStr">
        <is>
          <t>Bosnia and Herzegovina</t>
        </is>
      </c>
    </row>
    <row r="2246">
      <c r="A2246" t="inlineStr">
        <is>
          <t>U2245</t>
        </is>
      </c>
      <c r="B2246" t="inlineStr">
        <is>
          <t>University of Sargodha</t>
        </is>
      </c>
      <c r="C2246" t="inlineStr">
        <is>
          <t>PA</t>
        </is>
      </c>
      <c r="D2246" t="inlineStr">
        <is>
          <t>Pakistan</t>
        </is>
      </c>
    </row>
    <row r="2247">
      <c r="A2247" t="inlineStr">
        <is>
          <t>U2246</t>
        </is>
      </c>
      <c r="B2247" t="inlineStr">
        <is>
          <t>University of Saskatchewan</t>
        </is>
      </c>
      <c r="C2247" t="inlineStr">
        <is>
          <t>CA</t>
        </is>
      </c>
      <c r="D2247" t="inlineStr">
        <is>
          <t>Canada</t>
        </is>
      </c>
    </row>
    <row r="2248">
      <c r="A2248" t="inlineStr">
        <is>
          <t>U2247</t>
        </is>
      </c>
      <c r="B2248" t="inlineStr">
        <is>
          <t>University of Sassari</t>
        </is>
      </c>
      <c r="C2248" t="inlineStr">
        <is>
          <t>IT</t>
        </is>
      </c>
      <c r="D2248" t="inlineStr">
        <is>
          <t>Italy</t>
        </is>
      </c>
    </row>
    <row r="2249">
      <c r="A2249" t="inlineStr">
        <is>
          <t>U2248</t>
        </is>
      </c>
      <c r="B2249" t="inlineStr">
        <is>
          <t>University of Science and Technology Beijing</t>
        </is>
      </c>
      <c r="C2249" t="inlineStr">
        <is>
          <t>CH</t>
        </is>
      </c>
      <c r="D2249" t="inlineStr">
        <is>
          <t>China</t>
        </is>
      </c>
    </row>
    <row r="2250">
      <c r="A2250" t="inlineStr">
        <is>
          <t>U2249</t>
        </is>
      </c>
      <c r="B2250" t="inlineStr">
        <is>
          <t>University of Science and Technology of China</t>
        </is>
      </c>
      <c r="C2250" t="inlineStr">
        <is>
          <t>CH</t>
        </is>
      </c>
      <c r="D2250" t="inlineStr">
        <is>
          <t>China</t>
        </is>
      </c>
    </row>
    <row r="2251">
      <c r="A2251" t="inlineStr">
        <is>
          <t>U2250</t>
        </is>
      </c>
      <c r="B2251" t="inlineStr">
        <is>
          <t>University of Science and Technology of Oran Mohamed-Boudiaf</t>
        </is>
      </c>
      <c r="C2251" t="inlineStr">
        <is>
          <t>AL</t>
        </is>
      </c>
      <c r="D2251" t="inlineStr">
        <is>
          <t>Algeria</t>
        </is>
      </c>
    </row>
    <row r="2252">
      <c r="A2252" t="inlineStr">
        <is>
          <t>U2251</t>
        </is>
      </c>
      <c r="B2252" t="inlineStr">
        <is>
          <t>University of Sciences and Technology Houari Boumediene</t>
        </is>
      </c>
      <c r="C2252" t="inlineStr">
        <is>
          <t>AL</t>
        </is>
      </c>
      <c r="D2252" t="inlineStr">
        <is>
          <t>Algeria</t>
        </is>
      </c>
    </row>
    <row r="2253">
      <c r="A2253" t="inlineStr">
        <is>
          <t>U2252</t>
        </is>
      </c>
      <c r="B2253" t="inlineStr">
        <is>
          <t xml:space="preserve">University of Seoul </t>
        </is>
      </c>
      <c r="C2253" t="inlineStr">
        <is>
          <t>SO</t>
        </is>
      </c>
      <c r="D2253" t="inlineStr">
        <is>
          <t>South Korea</t>
        </is>
      </c>
    </row>
    <row r="2254">
      <c r="A2254" t="inlineStr">
        <is>
          <t>U2253</t>
        </is>
      </c>
      <c r="B2254" t="inlineStr">
        <is>
          <t>University of Seville</t>
        </is>
      </c>
      <c r="C2254" t="inlineStr">
        <is>
          <t>SP</t>
        </is>
      </c>
      <c r="D2254" t="inlineStr">
        <is>
          <t>Spain</t>
        </is>
      </c>
    </row>
    <row r="2255">
      <c r="A2255" t="inlineStr">
        <is>
          <t>U2254</t>
        </is>
      </c>
      <c r="B2255" t="inlineStr">
        <is>
          <t>University of Sfax</t>
        </is>
      </c>
      <c r="C2255" t="inlineStr">
        <is>
          <t>TU</t>
        </is>
      </c>
      <c r="D2255" t="inlineStr">
        <is>
          <t>Tunisia</t>
        </is>
      </c>
    </row>
    <row r="2256">
      <c r="A2256" t="inlineStr">
        <is>
          <t>U2255</t>
        </is>
      </c>
      <c r="B2256" t="inlineStr">
        <is>
          <t>University of Shanghai for Science and Technology</t>
        </is>
      </c>
      <c r="C2256" t="inlineStr">
        <is>
          <t>CH</t>
        </is>
      </c>
      <c r="D2256" t="inlineStr">
        <is>
          <t>China</t>
        </is>
      </c>
    </row>
    <row r="2257">
      <c r="A2257" t="inlineStr">
        <is>
          <t>U2256</t>
        </is>
      </c>
      <c r="B2257" t="inlineStr">
        <is>
          <t>University of Sharjah</t>
        </is>
      </c>
      <c r="C2257" t="inlineStr">
        <is>
          <t>UN</t>
        </is>
      </c>
      <c r="D2257" t="inlineStr">
        <is>
          <t>United Arab Emirates</t>
        </is>
      </c>
    </row>
    <row r="2258">
      <c r="A2258" t="inlineStr">
        <is>
          <t>U2257</t>
        </is>
      </c>
      <c r="B2258" t="inlineStr">
        <is>
          <t>The University of Sheffield</t>
        </is>
      </c>
      <c r="C2258" t="inlineStr">
        <is>
          <t>UN</t>
        </is>
      </c>
      <c r="D2258" t="inlineStr">
        <is>
          <t>United Kingdom</t>
        </is>
      </c>
    </row>
    <row r="2259">
      <c r="A2259" t="inlineStr">
        <is>
          <t>U2258</t>
        </is>
      </c>
      <c r="B2259" t="inlineStr">
        <is>
          <t>University of Shizuoka</t>
        </is>
      </c>
      <c r="C2259" t="inlineStr">
        <is>
          <t>JA</t>
        </is>
      </c>
      <c r="D2259" t="inlineStr">
        <is>
          <t>Japan</t>
        </is>
      </c>
    </row>
    <row r="2260">
      <c r="A2260" t="inlineStr">
        <is>
          <t>U2259</t>
        </is>
      </c>
      <c r="B2260" t="inlineStr">
        <is>
          <t>University of Siegen</t>
        </is>
      </c>
      <c r="C2260" t="inlineStr">
        <is>
          <t>GE</t>
        </is>
      </c>
      <c r="D2260" t="inlineStr">
        <is>
          <t>Germany</t>
        </is>
      </c>
    </row>
    <row r="2261">
      <c r="A2261" t="inlineStr">
        <is>
          <t>U2260</t>
        </is>
      </c>
      <c r="B2261" t="inlineStr">
        <is>
          <t>University of Siena</t>
        </is>
      </c>
      <c r="C2261" t="inlineStr">
        <is>
          <t>IT</t>
        </is>
      </c>
      <c r="D2261" t="inlineStr">
        <is>
          <t>Italy</t>
        </is>
      </c>
    </row>
    <row r="2262">
      <c r="A2262" t="inlineStr">
        <is>
          <t>U2261</t>
        </is>
      </c>
      <c r="B2262" t="inlineStr">
        <is>
          <t>University of Silesia in Katowice</t>
        </is>
      </c>
      <c r="C2262" t="inlineStr">
        <is>
          <t>PO</t>
        </is>
      </c>
      <c r="D2262" t="inlineStr">
        <is>
          <t>Poland</t>
        </is>
      </c>
    </row>
    <row r="2263">
      <c r="A2263" t="inlineStr">
        <is>
          <t>U2262</t>
        </is>
      </c>
      <c r="B2263" t="inlineStr">
        <is>
          <t>University of Sistan and Baluchestan</t>
        </is>
      </c>
      <c r="C2263" t="inlineStr">
        <is>
          <t>IR</t>
        </is>
      </c>
      <c r="D2263" t="inlineStr">
        <is>
          <t>Iran</t>
        </is>
      </c>
    </row>
    <row r="2264">
      <c r="A2264" t="inlineStr">
        <is>
          <t>U2263</t>
        </is>
      </c>
      <c r="B2264" t="inlineStr">
        <is>
          <t>University of Social Welfare and Rehabilitation Sciences</t>
        </is>
      </c>
      <c r="C2264" t="inlineStr">
        <is>
          <t>IR</t>
        </is>
      </c>
      <c r="D2264" t="inlineStr">
        <is>
          <t>Iran</t>
        </is>
      </c>
    </row>
    <row r="2265">
      <c r="A2265" t="inlineStr">
        <is>
          <t>U2264</t>
        </is>
      </c>
      <c r="B2265" t="inlineStr">
        <is>
          <t>University of Sonora</t>
        </is>
      </c>
      <c r="C2265" t="inlineStr">
        <is>
          <t>ME</t>
        </is>
      </c>
      <c r="D2265" t="inlineStr">
        <is>
          <t>Mexico</t>
        </is>
      </c>
    </row>
    <row r="2266">
      <c r="A2266" t="inlineStr">
        <is>
          <t>U2265</t>
        </is>
      </c>
      <c r="B2266" t="inlineStr">
        <is>
          <t>University of Sousse</t>
        </is>
      </c>
      <c r="C2266" t="inlineStr">
        <is>
          <t>TU</t>
        </is>
      </c>
      <c r="D2266" t="inlineStr">
        <is>
          <t>Tunisia</t>
        </is>
      </c>
    </row>
    <row r="2267">
      <c r="A2267" t="inlineStr">
        <is>
          <t>U2266</t>
        </is>
      </c>
      <c r="B2267" t="inlineStr">
        <is>
          <t>University of South Africa</t>
        </is>
      </c>
      <c r="C2267" t="inlineStr">
        <is>
          <t>SO</t>
        </is>
      </c>
      <c r="D2267" t="inlineStr">
        <is>
          <t>South Africa</t>
        </is>
      </c>
    </row>
    <row r="2268">
      <c r="A2268" t="inlineStr">
        <is>
          <t>U2267</t>
        </is>
      </c>
      <c r="B2268" t="inlineStr">
        <is>
          <t>University of South Alabama (USA)</t>
        </is>
      </c>
      <c r="C2268" t="inlineStr">
        <is>
          <t>UN</t>
        </is>
      </c>
      <c r="D2268" t="inlineStr">
        <is>
          <t>United States</t>
        </is>
      </c>
    </row>
    <row r="2269">
      <c r="A2269" t="inlineStr">
        <is>
          <t>U2268</t>
        </is>
      </c>
      <c r="B2269" t="inlineStr">
        <is>
          <t>University of South Australia</t>
        </is>
      </c>
      <c r="C2269" t="inlineStr">
        <is>
          <t>AU</t>
        </is>
      </c>
      <c r="D2269" t="inlineStr">
        <is>
          <t>Australia</t>
        </is>
      </c>
    </row>
    <row r="2270">
      <c r="A2270" t="inlineStr">
        <is>
          <t>U2269</t>
        </is>
      </c>
      <c r="B2270" t="inlineStr">
        <is>
          <t>University of South Bohemia</t>
        </is>
      </c>
      <c r="C2270" t="inlineStr">
        <is>
          <t>CZ</t>
        </is>
      </c>
      <c r="D2270" t="inlineStr">
        <is>
          <t>Czech Republic</t>
        </is>
      </c>
    </row>
    <row r="2271">
      <c r="A2271" t="inlineStr">
        <is>
          <t>U2270</t>
        </is>
      </c>
      <c r="B2271" t="inlineStr">
        <is>
          <t>University of South Bohemia in České Budějovice</t>
        </is>
      </c>
      <c r="C2271" t="inlineStr">
        <is>
          <t>CZ</t>
        </is>
      </c>
      <c r="D2271" t="inlineStr">
        <is>
          <t>Czech Republic</t>
        </is>
      </c>
    </row>
    <row r="2272">
      <c r="A2272" t="inlineStr">
        <is>
          <t>U2271</t>
        </is>
      </c>
      <c r="B2272" t="inlineStr">
        <is>
          <t>University of South Carolina</t>
        </is>
      </c>
      <c r="C2272" t="inlineStr">
        <is>
          <t>UN</t>
        </is>
      </c>
      <c r="D2272" t="inlineStr">
        <is>
          <t>United States</t>
        </is>
      </c>
    </row>
    <row r="2273">
      <c r="A2273" t="inlineStr">
        <is>
          <t>U2272</t>
        </is>
      </c>
      <c r="B2273" t="inlineStr">
        <is>
          <t>University of South Carolina-Columbia</t>
        </is>
      </c>
      <c r="C2273" t="inlineStr">
        <is>
          <t>UN</t>
        </is>
      </c>
      <c r="D2273" t="inlineStr">
        <is>
          <t>United States</t>
        </is>
      </c>
    </row>
    <row r="2274">
      <c r="A2274" t="inlineStr">
        <is>
          <t>U2273</t>
        </is>
      </c>
      <c r="B2274" t="inlineStr">
        <is>
          <t>University of South China</t>
        </is>
      </c>
      <c r="C2274" t="inlineStr">
        <is>
          <t>CH</t>
        </is>
      </c>
      <c r="D2274" t="inlineStr">
        <is>
          <t>China</t>
        </is>
      </c>
    </row>
    <row r="2275">
      <c r="A2275" t="inlineStr">
        <is>
          <t>U2274</t>
        </is>
      </c>
      <c r="B2275" t="inlineStr">
        <is>
          <t>University of South Dakota</t>
        </is>
      </c>
      <c r="C2275" t="inlineStr">
        <is>
          <t>UN</t>
        </is>
      </c>
      <c r="D2275" t="inlineStr">
        <is>
          <t>United States</t>
        </is>
      </c>
    </row>
    <row r="2276">
      <c r="A2276" t="inlineStr">
        <is>
          <t>U2275</t>
        </is>
      </c>
      <c r="B2276" t="inlineStr">
        <is>
          <t>University of South Florida</t>
        </is>
      </c>
      <c r="C2276" t="inlineStr">
        <is>
          <t>UN</t>
        </is>
      </c>
      <c r="D2276" t="inlineStr">
        <is>
          <t>United States</t>
        </is>
      </c>
    </row>
    <row r="2277">
      <c r="A2277" t="inlineStr">
        <is>
          <t>U2276</t>
        </is>
      </c>
      <c r="B2277" t="inlineStr">
        <is>
          <t>University of South Wales</t>
        </is>
      </c>
      <c r="C2277" t="inlineStr">
        <is>
          <t>UN</t>
        </is>
      </c>
      <c r="D2277" t="inlineStr">
        <is>
          <t>United Kingdom</t>
        </is>
      </c>
    </row>
    <row r="2278">
      <c r="A2278" t="inlineStr">
        <is>
          <t>U2277</t>
        </is>
      </c>
      <c r="B2278" t="inlineStr">
        <is>
          <t>University of Southampton</t>
        </is>
      </c>
      <c r="C2278" t="inlineStr">
        <is>
          <t>UN</t>
        </is>
      </c>
      <c r="D2278" t="inlineStr">
        <is>
          <t>United Kingdom</t>
        </is>
      </c>
    </row>
    <row r="2279">
      <c r="A2279" t="inlineStr">
        <is>
          <t>U2278</t>
        </is>
      </c>
      <c r="B2279" t="inlineStr">
        <is>
          <t>University of Southern California</t>
        </is>
      </c>
      <c r="C2279" t="inlineStr">
        <is>
          <t>UN</t>
        </is>
      </c>
      <c r="D2279" t="inlineStr">
        <is>
          <t>United States</t>
        </is>
      </c>
    </row>
    <row r="2280">
      <c r="A2280" t="inlineStr">
        <is>
          <t>U2279</t>
        </is>
      </c>
      <c r="B2280" t="inlineStr">
        <is>
          <t>University of Southern Denmark (SDU)</t>
        </is>
      </c>
      <c r="C2280" t="inlineStr">
        <is>
          <t>DE</t>
        </is>
      </c>
      <c r="D2280" t="inlineStr">
        <is>
          <t>Denmark</t>
        </is>
      </c>
    </row>
    <row r="2281">
      <c r="A2281" t="inlineStr">
        <is>
          <t>U2280</t>
        </is>
      </c>
      <c r="B2281" t="inlineStr">
        <is>
          <t xml:space="preserve">University of Southern Queensland </t>
        </is>
      </c>
      <c r="C2281" t="inlineStr">
        <is>
          <t>AU</t>
        </is>
      </c>
      <c r="D2281" t="inlineStr">
        <is>
          <t>Australia</t>
        </is>
      </c>
    </row>
    <row r="2282">
      <c r="A2282" t="inlineStr">
        <is>
          <t>U2281</t>
        </is>
      </c>
      <c r="B2282" t="inlineStr">
        <is>
          <t>University of Split</t>
        </is>
      </c>
      <c r="C2282" t="inlineStr">
        <is>
          <t>CR</t>
        </is>
      </c>
      <c r="D2282" t="inlineStr">
        <is>
          <t>Croatia</t>
        </is>
      </c>
    </row>
    <row r="2283">
      <c r="A2283" t="inlineStr">
        <is>
          <t>U2282</t>
        </is>
      </c>
      <c r="B2283" t="inlineStr">
        <is>
          <t>University of Sri Jayewardenepura</t>
        </is>
      </c>
      <c r="C2283" t="inlineStr">
        <is>
          <t>SR</t>
        </is>
      </c>
      <c r="D2283" t="inlineStr">
        <is>
          <t>Sri Lanka</t>
        </is>
      </c>
    </row>
    <row r="2284">
      <c r="A2284" t="inlineStr">
        <is>
          <t>U2283</t>
        </is>
      </c>
      <c r="B2284" t="inlineStr">
        <is>
          <t>University of St Andrews</t>
        </is>
      </c>
      <c r="C2284" t="inlineStr">
        <is>
          <t>UN</t>
        </is>
      </c>
      <c r="D2284" t="inlineStr">
        <is>
          <t>United Kingdom</t>
        </is>
      </c>
    </row>
    <row r="2285">
      <c r="A2285" t="inlineStr">
        <is>
          <t>U2284</t>
        </is>
      </c>
      <c r="B2285" t="inlineStr">
        <is>
          <t>University of St Gallen</t>
        </is>
      </c>
      <c r="C2285" t="inlineStr">
        <is>
          <t>SW</t>
        </is>
      </c>
      <c r="D2285" t="inlineStr">
        <is>
          <t>Switzerland</t>
        </is>
      </c>
    </row>
    <row r="2286">
      <c r="A2286" t="inlineStr">
        <is>
          <t>U2285</t>
        </is>
      </c>
      <c r="B2286" t="inlineStr">
        <is>
          <t>University of Stavanger</t>
        </is>
      </c>
      <c r="C2286" t="inlineStr">
        <is>
          <t>NO</t>
        </is>
      </c>
      <c r="D2286" t="inlineStr">
        <is>
          <t>Norway</t>
        </is>
      </c>
    </row>
    <row r="2287">
      <c r="A2287" t="inlineStr">
        <is>
          <t>U2286</t>
        </is>
      </c>
      <c r="B2287" t="inlineStr">
        <is>
          <t>University of Stirling</t>
        </is>
      </c>
      <c r="C2287" t="inlineStr">
        <is>
          <t>UN</t>
        </is>
      </c>
      <c r="D2287" t="inlineStr">
        <is>
          <t>United Kingdom</t>
        </is>
      </c>
    </row>
    <row r="2288">
      <c r="A2288" t="inlineStr">
        <is>
          <t>U2287</t>
        </is>
      </c>
      <c r="B2288" t="inlineStr">
        <is>
          <t>University of Strathclyde</t>
        </is>
      </c>
      <c r="C2288" t="inlineStr">
        <is>
          <t>UN</t>
        </is>
      </c>
      <c r="D2288" t="inlineStr">
        <is>
          <t>United Kingdom</t>
        </is>
      </c>
    </row>
    <row r="2289">
      <c r="A2289" t="inlineStr">
        <is>
          <t>U2288</t>
        </is>
      </c>
      <c r="B2289" t="inlineStr">
        <is>
          <t>University of Stuttgart</t>
        </is>
      </c>
      <c r="C2289" t="inlineStr">
        <is>
          <t>GE</t>
        </is>
      </c>
      <c r="D2289" t="inlineStr">
        <is>
          <t>Germany</t>
        </is>
      </c>
    </row>
    <row r="2290">
      <c r="A2290" t="inlineStr">
        <is>
          <t>U2289</t>
        </is>
      </c>
      <c r="B2290" t="inlineStr">
        <is>
          <t>University of Sunderland</t>
        </is>
      </c>
      <c r="C2290" t="inlineStr">
        <is>
          <t>UN</t>
        </is>
      </c>
      <c r="D2290" t="inlineStr">
        <is>
          <t>United Kingdom</t>
        </is>
      </c>
    </row>
    <row r="2291">
      <c r="A2291" t="inlineStr">
        <is>
          <t>U2290</t>
        </is>
      </c>
      <c r="B2291" t="inlineStr">
        <is>
          <t>University of Surrey</t>
        </is>
      </c>
      <c r="C2291" t="inlineStr">
        <is>
          <t>UN</t>
        </is>
      </c>
      <c r="D2291" t="inlineStr">
        <is>
          <t>United Kingdom</t>
        </is>
      </c>
    </row>
    <row r="2292">
      <c r="A2292" t="inlineStr">
        <is>
          <t>U2291</t>
        </is>
      </c>
      <c r="B2292" t="inlineStr">
        <is>
          <t>University of Sussex</t>
        </is>
      </c>
      <c r="C2292" t="inlineStr">
        <is>
          <t>UN</t>
        </is>
      </c>
      <c r="D2292" t="inlineStr">
        <is>
          <t>United Kingdom</t>
        </is>
      </c>
    </row>
    <row r="2293">
      <c r="A2293" t="inlineStr">
        <is>
          <t>U2292</t>
        </is>
      </c>
      <c r="B2293" t="inlineStr">
        <is>
          <t>The University of Sydney</t>
        </is>
      </c>
      <c r="C2293" t="inlineStr">
        <is>
          <t>AU</t>
        </is>
      </c>
      <c r="D2293" t="inlineStr">
        <is>
          <t>Australia</t>
        </is>
      </c>
    </row>
    <row r="2294">
      <c r="A2294" t="inlineStr">
        <is>
          <t>U2293</t>
        </is>
      </c>
      <c r="B2294" t="inlineStr">
        <is>
          <t>University of Szeged</t>
        </is>
      </c>
      <c r="C2294" t="inlineStr">
        <is>
          <t>HU</t>
        </is>
      </c>
      <c r="D2294" t="inlineStr">
        <is>
          <t>Hungary</t>
        </is>
      </c>
    </row>
    <row r="2295">
      <c r="A2295" t="inlineStr">
        <is>
          <t>U2294</t>
        </is>
      </c>
      <c r="B2295" t="inlineStr">
        <is>
          <t>University of Tübingen</t>
        </is>
      </c>
      <c r="C2295" t="inlineStr">
        <is>
          <t>GE</t>
        </is>
      </c>
      <c r="D2295" t="inlineStr">
        <is>
          <t>Germany</t>
        </is>
      </c>
    </row>
    <row r="2296">
      <c r="A2296" t="inlineStr">
        <is>
          <t>U2295</t>
        </is>
      </c>
      <c r="B2296" t="inlineStr">
        <is>
          <t>University of Tabriz</t>
        </is>
      </c>
      <c r="C2296" t="inlineStr">
        <is>
          <t>IR</t>
        </is>
      </c>
      <c r="D2296" t="inlineStr">
        <is>
          <t>Iran</t>
        </is>
      </c>
    </row>
    <row r="2297">
      <c r="A2297" t="inlineStr">
        <is>
          <t>U2296</t>
        </is>
      </c>
      <c r="B2297" t="inlineStr">
        <is>
          <t>University of Tabuk</t>
        </is>
      </c>
      <c r="C2297" t="inlineStr">
        <is>
          <t>SA</t>
        </is>
      </c>
      <c r="D2297" t="inlineStr">
        <is>
          <t>Saudi Arabia</t>
        </is>
      </c>
    </row>
    <row r="2298">
      <c r="A2298" t="inlineStr">
        <is>
          <t>U2297</t>
        </is>
      </c>
      <c r="B2298" t="inlineStr">
        <is>
          <t>University of Talca</t>
        </is>
      </c>
      <c r="C2298" t="inlineStr">
        <is>
          <t>CH</t>
        </is>
      </c>
      <c r="D2298" t="inlineStr">
        <is>
          <t>Chile</t>
        </is>
      </c>
    </row>
    <row r="2299">
      <c r="A2299" t="inlineStr">
        <is>
          <t>U2298</t>
        </is>
      </c>
      <c r="B2299" t="inlineStr">
        <is>
          <t>University of Tarapacá</t>
        </is>
      </c>
      <c r="C2299" t="inlineStr">
        <is>
          <t>CH</t>
        </is>
      </c>
      <c r="D2299" t="inlineStr">
        <is>
          <t>Chile</t>
        </is>
      </c>
    </row>
    <row r="2300">
      <c r="A2300" t="inlineStr">
        <is>
          <t>U2299</t>
        </is>
      </c>
      <c r="B2300" t="inlineStr">
        <is>
          <t>University of Tartu</t>
        </is>
      </c>
      <c r="C2300" t="inlineStr">
        <is>
          <t>ES</t>
        </is>
      </c>
      <c r="D2300" t="inlineStr">
        <is>
          <t>Estonia</t>
        </is>
      </c>
    </row>
    <row r="2301">
      <c r="A2301" t="inlineStr">
        <is>
          <t>U2300</t>
        </is>
      </c>
      <c r="B2301" t="inlineStr">
        <is>
          <t>University of Tasmania</t>
        </is>
      </c>
      <c r="C2301" t="inlineStr">
        <is>
          <t>AU</t>
        </is>
      </c>
      <c r="D2301" t="inlineStr">
        <is>
          <t>Australia</t>
        </is>
      </c>
    </row>
    <row r="2302">
      <c r="A2302" t="inlineStr">
        <is>
          <t>U2301</t>
        </is>
      </c>
      <c r="B2302" t="inlineStr">
        <is>
          <t>University of Technology, Iraq</t>
        </is>
      </c>
      <c r="C2302" t="inlineStr">
        <is>
          <t>IR</t>
        </is>
      </c>
      <c r="D2302" t="inlineStr">
        <is>
          <t>Iraq</t>
        </is>
      </c>
    </row>
    <row r="2303">
      <c r="A2303" t="inlineStr">
        <is>
          <t>U2302</t>
        </is>
      </c>
      <c r="B2303" t="inlineStr">
        <is>
          <t>University of Technology of Compiègne</t>
        </is>
      </c>
      <c r="C2303" t="inlineStr">
        <is>
          <t>FR</t>
        </is>
      </c>
      <c r="D2303" t="inlineStr">
        <is>
          <t>France</t>
        </is>
      </c>
    </row>
    <row r="2304">
      <c r="A2304" t="inlineStr">
        <is>
          <t>U2303</t>
        </is>
      </c>
      <c r="B2304" t="inlineStr">
        <is>
          <t>University of Technology of Troyes</t>
        </is>
      </c>
      <c r="C2304" t="inlineStr">
        <is>
          <t>FR</t>
        </is>
      </c>
      <c r="D2304" t="inlineStr">
        <is>
          <t>France</t>
        </is>
      </c>
    </row>
    <row r="2305">
      <c r="A2305" t="inlineStr">
        <is>
          <t>U2304</t>
        </is>
      </c>
      <c r="B2305" t="inlineStr">
        <is>
          <t>University of Technology Sydney</t>
        </is>
      </c>
      <c r="C2305" t="inlineStr">
        <is>
          <t>AU</t>
        </is>
      </c>
      <c r="D2305" t="inlineStr">
        <is>
          <t>Australia</t>
        </is>
      </c>
    </row>
    <row r="2306">
      <c r="A2306" t="inlineStr">
        <is>
          <t>U2305</t>
        </is>
      </c>
      <c r="B2306" t="inlineStr">
        <is>
          <t>University of Tehran</t>
        </is>
      </c>
      <c r="C2306" t="inlineStr">
        <is>
          <t>IR</t>
        </is>
      </c>
      <c r="D2306" t="inlineStr">
        <is>
          <t>Iran</t>
        </is>
      </c>
    </row>
    <row r="2307">
      <c r="A2307" t="inlineStr">
        <is>
          <t>U2306</t>
        </is>
      </c>
      <c r="B2307" t="inlineStr">
        <is>
          <t>The University of Tennessee, Knoxville</t>
        </is>
      </c>
      <c r="C2307" t="inlineStr">
        <is>
          <t>UN</t>
        </is>
      </c>
      <c r="D2307" t="inlineStr">
        <is>
          <t>United States</t>
        </is>
      </c>
    </row>
    <row r="2308">
      <c r="A2308" t="inlineStr">
        <is>
          <t>U2307</t>
        </is>
      </c>
      <c r="B2308" t="inlineStr">
        <is>
          <t>The University of Texas at Arlington</t>
        </is>
      </c>
      <c r="C2308" t="inlineStr">
        <is>
          <t>UN</t>
        </is>
      </c>
      <c r="D2308" t="inlineStr">
        <is>
          <t>United States</t>
        </is>
      </c>
    </row>
    <row r="2309">
      <c r="A2309" t="inlineStr">
        <is>
          <t>U2308</t>
        </is>
      </c>
      <c r="B2309" t="inlineStr">
        <is>
          <t>University of Texas at Austin</t>
        </is>
      </c>
      <c r="C2309" t="inlineStr">
        <is>
          <t>UN</t>
        </is>
      </c>
      <c r="D2309" t="inlineStr">
        <is>
          <t>United States</t>
        </is>
      </c>
    </row>
    <row r="2310">
      <c r="A2310" t="inlineStr">
        <is>
          <t>U2309</t>
        </is>
      </c>
      <c r="B2310" t="inlineStr">
        <is>
          <t>University of Texas at Dallas</t>
        </is>
      </c>
      <c r="C2310" t="inlineStr">
        <is>
          <t>UN</t>
        </is>
      </c>
      <c r="D2310" t="inlineStr">
        <is>
          <t>United States</t>
        </is>
      </c>
    </row>
    <row r="2311">
      <c r="A2311" t="inlineStr">
        <is>
          <t>U2310</t>
        </is>
      </c>
      <c r="B2311" t="inlineStr">
        <is>
          <t>University of Texas at El Paso</t>
        </is>
      </c>
      <c r="C2311" t="inlineStr">
        <is>
          <t>UN</t>
        </is>
      </c>
      <c r="D2311" t="inlineStr">
        <is>
          <t>United States</t>
        </is>
      </c>
    </row>
    <row r="2312">
      <c r="A2312" t="inlineStr">
        <is>
          <t>U2311</t>
        </is>
      </c>
      <c r="B2312" t="inlineStr">
        <is>
          <t>University of Texas at San Antonio</t>
        </is>
      </c>
      <c r="C2312" t="inlineStr">
        <is>
          <t>UN</t>
        </is>
      </c>
      <c r="D2312" t="inlineStr">
        <is>
          <t>United States</t>
        </is>
      </c>
    </row>
    <row r="2313">
      <c r="A2313" t="inlineStr">
        <is>
          <t>U2312</t>
        </is>
      </c>
      <c r="B2313" t="inlineStr">
        <is>
          <t>University of Texas Dallas</t>
        </is>
      </c>
      <c r="C2313" t="inlineStr">
        <is>
          <t>UN</t>
        </is>
      </c>
      <c r="D2313" t="inlineStr">
        <is>
          <t>United States</t>
        </is>
      </c>
    </row>
    <row r="2314">
      <c r="A2314" t="inlineStr">
        <is>
          <t>U2313</t>
        </is>
      </c>
      <c r="B2314" t="inlineStr">
        <is>
          <t xml:space="preserve">University of Texas El Paso </t>
        </is>
      </c>
      <c r="C2314" t="inlineStr">
        <is>
          <t>UN</t>
        </is>
      </c>
      <c r="D2314" t="inlineStr">
        <is>
          <t>United States</t>
        </is>
      </c>
    </row>
    <row r="2315">
      <c r="A2315" t="inlineStr">
        <is>
          <t>U2314</t>
        </is>
      </c>
      <c r="B2315" t="inlineStr">
        <is>
          <t>University of Texas Rio Grande Valley</t>
        </is>
      </c>
      <c r="C2315" t="inlineStr">
        <is>
          <t>UN</t>
        </is>
      </c>
      <c r="D2315" t="inlineStr">
        <is>
          <t>United States</t>
        </is>
      </c>
    </row>
    <row r="2316">
      <c r="A2316" t="inlineStr">
        <is>
          <t>U2315</t>
        </is>
      </c>
      <c r="B2316" t="inlineStr">
        <is>
          <t>University of the Aegean</t>
        </is>
      </c>
      <c r="C2316" t="inlineStr">
        <is>
          <t>GR</t>
        </is>
      </c>
      <c r="D2316" t="inlineStr">
        <is>
          <t>Greece</t>
        </is>
      </c>
    </row>
    <row r="2317">
      <c r="A2317" t="inlineStr">
        <is>
          <t>U2316</t>
        </is>
      </c>
      <c r="B2317" t="inlineStr">
        <is>
          <t>University of the Andes, Chile</t>
        </is>
      </c>
      <c r="C2317" t="inlineStr">
        <is>
          <t>CH</t>
        </is>
      </c>
      <c r="D2317" t="inlineStr">
        <is>
          <t>Chile</t>
        </is>
      </c>
    </row>
    <row r="2318">
      <c r="A2318" t="inlineStr">
        <is>
          <t>U2317</t>
        </is>
      </c>
      <c r="B2318" t="inlineStr">
        <is>
          <t>University of the Andes, Colombia</t>
        </is>
      </c>
      <c r="C2318" t="inlineStr">
        <is>
          <t>CO</t>
        </is>
      </c>
      <c r="D2318" t="inlineStr">
        <is>
          <t>Colombia</t>
        </is>
      </c>
    </row>
    <row r="2319">
      <c r="A2319" t="inlineStr">
        <is>
          <t>U2318</t>
        </is>
      </c>
      <c r="B2319" t="inlineStr">
        <is>
          <t>University of the Andes, Venezuela</t>
        </is>
      </c>
      <c r="C2319" t="inlineStr">
        <is>
          <t>VE</t>
        </is>
      </c>
      <c r="D2319" t="inlineStr">
        <is>
          <t>Venezuela</t>
        </is>
      </c>
    </row>
    <row r="2320">
      <c r="A2320" t="inlineStr">
        <is>
          <t>U2319</t>
        </is>
      </c>
      <c r="B2320" t="inlineStr">
        <is>
          <t>University of the Balearic Islands</t>
        </is>
      </c>
      <c r="C2320" t="inlineStr">
        <is>
          <t>SP</t>
        </is>
      </c>
      <c r="D2320" t="inlineStr">
        <is>
          <t>Spain</t>
        </is>
      </c>
    </row>
    <row r="2321">
      <c r="A2321" t="inlineStr">
        <is>
          <t>U2320</t>
        </is>
      </c>
      <c r="B2321" t="inlineStr">
        <is>
          <t>University of the Basque Country</t>
        </is>
      </c>
      <c r="C2321" t="inlineStr">
        <is>
          <t>SP</t>
        </is>
      </c>
      <c r="D2321" t="inlineStr">
        <is>
          <t>Spain</t>
        </is>
      </c>
    </row>
    <row r="2322">
      <c r="A2322" t="inlineStr">
        <is>
          <t>U2321</t>
        </is>
      </c>
      <c r="B2322" t="inlineStr">
        <is>
          <t>University of the Free State</t>
        </is>
      </c>
      <c r="C2322" t="inlineStr">
        <is>
          <t>SO</t>
        </is>
      </c>
      <c r="D2322" t="inlineStr">
        <is>
          <t>South Africa</t>
        </is>
      </c>
    </row>
    <row r="2323">
      <c r="A2323" t="inlineStr">
        <is>
          <t>U2322</t>
        </is>
      </c>
      <c r="B2323" t="inlineStr">
        <is>
          <t>University of the North, Colombia</t>
        </is>
      </c>
      <c r="C2323" t="inlineStr">
        <is>
          <t>CO</t>
        </is>
      </c>
      <c r="D2323" t="inlineStr">
        <is>
          <t>Colombia</t>
        </is>
      </c>
    </row>
    <row r="2324">
      <c r="A2324" t="inlineStr">
        <is>
          <t>U2323</t>
        </is>
      </c>
      <c r="B2324" t="inlineStr">
        <is>
          <t>University of the Pacific</t>
        </is>
      </c>
      <c r="C2324" t="inlineStr">
        <is>
          <t>UN</t>
        </is>
      </c>
      <c r="D2324" t="inlineStr">
        <is>
          <t>United States</t>
        </is>
      </c>
    </row>
    <row r="2325">
      <c r="A2325" t="inlineStr">
        <is>
          <t>U2324</t>
        </is>
      </c>
      <c r="B2325" t="inlineStr">
        <is>
          <t>University of the Peloponnese</t>
        </is>
      </c>
      <c r="C2325" t="inlineStr">
        <is>
          <t>GR</t>
        </is>
      </c>
      <c r="D2325" t="inlineStr">
        <is>
          <t>Greece</t>
        </is>
      </c>
    </row>
    <row r="2326">
      <c r="A2326" t="inlineStr">
        <is>
          <t>U2325</t>
        </is>
      </c>
      <c r="B2326" t="inlineStr">
        <is>
          <t>University of the Philippines</t>
        </is>
      </c>
      <c r="C2326" t="inlineStr">
        <is>
          <t>PH</t>
        </is>
      </c>
      <c r="D2326" t="inlineStr">
        <is>
          <t>Philippines</t>
        </is>
      </c>
    </row>
    <row r="2327">
      <c r="A2327" t="inlineStr">
        <is>
          <t>U2326</t>
        </is>
      </c>
      <c r="B2327" t="inlineStr">
        <is>
          <t>University of the Punjab</t>
        </is>
      </c>
      <c r="C2327" t="inlineStr">
        <is>
          <t>PA</t>
        </is>
      </c>
      <c r="D2327" t="inlineStr">
        <is>
          <t>Pakistan</t>
        </is>
      </c>
    </row>
    <row r="2328">
      <c r="A2328" t="inlineStr">
        <is>
          <t>U2327</t>
        </is>
      </c>
      <c r="B2328" t="inlineStr">
        <is>
          <t>University of the Ryukyus</t>
        </is>
      </c>
      <c r="C2328" t="inlineStr">
        <is>
          <t>JA</t>
        </is>
      </c>
      <c r="D2328" t="inlineStr">
        <is>
          <t>Japan</t>
        </is>
      </c>
    </row>
    <row r="2329">
      <c r="A2329" t="inlineStr">
        <is>
          <t>U2328</t>
        </is>
      </c>
      <c r="B2329" t="inlineStr">
        <is>
          <t>University of the South Pacific</t>
        </is>
      </c>
      <c r="C2329" t="inlineStr">
        <is>
          <t>FI</t>
        </is>
      </c>
      <c r="D2329" t="inlineStr">
        <is>
          <t>Fiji</t>
        </is>
      </c>
    </row>
    <row r="2330">
      <c r="A2330" t="inlineStr">
        <is>
          <t>U2329</t>
        </is>
      </c>
      <c r="B2330" t="inlineStr">
        <is>
          <t xml:space="preserve">University of the Sunshine Coast </t>
        </is>
      </c>
      <c r="C2330" t="inlineStr">
        <is>
          <t>AU</t>
        </is>
      </c>
      <c r="D2330" t="inlineStr">
        <is>
          <t>Australia</t>
        </is>
      </c>
    </row>
    <row r="2331">
      <c r="A2331" t="inlineStr">
        <is>
          <t>U2330</t>
        </is>
      </c>
      <c r="B2331" t="inlineStr">
        <is>
          <t>The University of the West Indies</t>
        </is>
      </c>
      <c r="C2331" t="inlineStr">
        <is>
          <t>JA</t>
        </is>
      </c>
      <c r="D2331" t="inlineStr">
        <is>
          <t>Jamaica</t>
        </is>
      </c>
    </row>
    <row r="2332">
      <c r="A2332" t="inlineStr">
        <is>
          <t>U2331</t>
        </is>
      </c>
      <c r="B2332" t="inlineStr">
        <is>
          <t>University of the West of England</t>
        </is>
      </c>
      <c r="C2332" t="inlineStr">
        <is>
          <t>UN</t>
        </is>
      </c>
      <c r="D2332" t="inlineStr">
        <is>
          <t>United Kingdom</t>
        </is>
      </c>
    </row>
    <row r="2333">
      <c r="A2333" t="inlineStr">
        <is>
          <t>U2332</t>
        </is>
      </c>
      <c r="B2333" t="inlineStr">
        <is>
          <t>University of the West of Scotland</t>
        </is>
      </c>
      <c r="C2333" t="inlineStr">
        <is>
          <t>UN</t>
        </is>
      </c>
      <c r="D2333" t="inlineStr">
        <is>
          <t>United Kingdom</t>
        </is>
      </c>
    </row>
    <row r="2334">
      <c r="A2334" t="inlineStr">
        <is>
          <t>U2333</t>
        </is>
      </c>
      <c r="B2334" t="inlineStr">
        <is>
          <t>University of the Western Cape</t>
        </is>
      </c>
      <c r="C2334" t="inlineStr">
        <is>
          <t>SO</t>
        </is>
      </c>
      <c r="D2334" t="inlineStr">
        <is>
          <t>South Africa</t>
        </is>
      </c>
    </row>
    <row r="2335">
      <c r="A2335" t="inlineStr">
        <is>
          <t>U2334</t>
        </is>
      </c>
      <c r="B2335" t="inlineStr">
        <is>
          <t>University of the Witwatersrand</t>
        </is>
      </c>
      <c r="C2335" t="inlineStr">
        <is>
          <t>SO</t>
        </is>
      </c>
      <c r="D2335" t="inlineStr">
        <is>
          <t>South Africa</t>
        </is>
      </c>
    </row>
    <row r="2336">
      <c r="A2336" t="inlineStr">
        <is>
          <t>U2335</t>
        </is>
      </c>
      <c r="B2336" t="inlineStr">
        <is>
          <t>The University of Tokyo</t>
        </is>
      </c>
      <c r="C2336" t="inlineStr">
        <is>
          <t>JA</t>
        </is>
      </c>
      <c r="D2336" t="inlineStr">
        <is>
          <t>Japan</t>
        </is>
      </c>
    </row>
    <row r="2337">
      <c r="A2337" t="inlineStr">
        <is>
          <t>U2336</t>
        </is>
      </c>
      <c r="B2337" t="inlineStr">
        <is>
          <t>University of Toledo</t>
        </is>
      </c>
      <c r="C2337" t="inlineStr">
        <is>
          <t>UN</t>
        </is>
      </c>
      <c r="D2337" t="inlineStr">
        <is>
          <t>United States</t>
        </is>
      </c>
    </row>
    <row r="2338">
      <c r="A2338" t="inlineStr">
        <is>
          <t>U2337</t>
        </is>
      </c>
      <c r="B2338" t="inlineStr">
        <is>
          <t>University of Toronto</t>
        </is>
      </c>
      <c r="C2338" t="inlineStr">
        <is>
          <t>CA</t>
        </is>
      </c>
      <c r="D2338" t="inlineStr">
        <is>
          <t>Canada</t>
        </is>
      </c>
    </row>
    <row r="2339">
      <c r="A2339" t="inlineStr">
        <is>
          <t>U2338</t>
        </is>
      </c>
      <c r="B2339" t="inlineStr">
        <is>
          <t>University of Tours</t>
        </is>
      </c>
      <c r="C2339" t="inlineStr">
        <is>
          <t>FR</t>
        </is>
      </c>
      <c r="D2339" t="inlineStr">
        <is>
          <t>France</t>
        </is>
      </c>
    </row>
    <row r="2340">
      <c r="A2340" t="inlineStr">
        <is>
          <t>U2339</t>
        </is>
      </c>
      <c r="B2340" t="inlineStr">
        <is>
          <t>University of Toyama</t>
        </is>
      </c>
      <c r="C2340" t="inlineStr">
        <is>
          <t>JA</t>
        </is>
      </c>
      <c r="D2340" t="inlineStr">
        <is>
          <t>Japan</t>
        </is>
      </c>
    </row>
    <row r="2341">
      <c r="A2341" t="inlineStr">
        <is>
          <t>U2340</t>
        </is>
      </c>
      <c r="B2341" t="inlineStr">
        <is>
          <t>University of Trás-os-Montes and Alto Douro</t>
        </is>
      </c>
      <c r="C2341" t="inlineStr">
        <is>
          <t>PO</t>
        </is>
      </c>
      <c r="D2341" t="inlineStr">
        <is>
          <t>Portugal</t>
        </is>
      </c>
    </row>
    <row r="2342">
      <c r="A2342" t="inlineStr">
        <is>
          <t>U2341</t>
        </is>
      </c>
      <c r="B2342" t="inlineStr">
        <is>
          <t>University of Trento</t>
        </is>
      </c>
      <c r="C2342" t="inlineStr">
        <is>
          <t>IT</t>
        </is>
      </c>
      <c r="D2342" t="inlineStr">
        <is>
          <t>Italy</t>
        </is>
      </c>
    </row>
    <row r="2343">
      <c r="A2343" t="inlineStr">
        <is>
          <t>U2342</t>
        </is>
      </c>
      <c r="B2343" t="inlineStr">
        <is>
          <t>University of Trieste</t>
        </is>
      </c>
      <c r="C2343" t="inlineStr">
        <is>
          <t>IT</t>
        </is>
      </c>
      <c r="D2343" t="inlineStr">
        <is>
          <t>Italy</t>
        </is>
      </c>
    </row>
    <row r="2344">
      <c r="A2344" t="inlineStr">
        <is>
          <t>U2343</t>
        </is>
      </c>
      <c r="B2344" t="inlineStr">
        <is>
          <t>University of Tromsø The Arctic University of Norway</t>
        </is>
      </c>
      <c r="C2344" t="inlineStr">
        <is>
          <t>NO</t>
        </is>
      </c>
      <c r="D2344" t="inlineStr">
        <is>
          <t>Norway</t>
        </is>
      </c>
    </row>
    <row r="2345">
      <c r="A2345" t="inlineStr">
        <is>
          <t>U2344</t>
        </is>
      </c>
      <c r="B2345" t="inlineStr">
        <is>
          <t>University of Tsukuba</t>
        </is>
      </c>
      <c r="C2345" t="inlineStr">
        <is>
          <t>JA</t>
        </is>
      </c>
      <c r="D2345" t="inlineStr">
        <is>
          <t>Japan</t>
        </is>
      </c>
    </row>
    <row r="2346">
      <c r="A2346" t="inlineStr">
        <is>
          <t>U2345</t>
        </is>
      </c>
      <c r="B2346" t="inlineStr">
        <is>
          <t>University of Tulsa</t>
        </is>
      </c>
      <c r="C2346" t="inlineStr">
        <is>
          <t>UN</t>
        </is>
      </c>
      <c r="D2346" t="inlineStr">
        <is>
          <t>United States</t>
        </is>
      </c>
    </row>
    <row r="2347">
      <c r="A2347" t="inlineStr">
        <is>
          <t>U2346</t>
        </is>
      </c>
      <c r="B2347" t="inlineStr">
        <is>
          <t>University of Tunis</t>
        </is>
      </c>
      <c r="C2347" t="inlineStr">
        <is>
          <t>TU</t>
        </is>
      </c>
      <c r="D2347" t="inlineStr">
        <is>
          <t>Tunisia</t>
        </is>
      </c>
    </row>
    <row r="2348">
      <c r="A2348" t="inlineStr">
        <is>
          <t>U2347</t>
        </is>
      </c>
      <c r="B2348" t="inlineStr">
        <is>
          <t>University of Tunis El Manar</t>
        </is>
      </c>
      <c r="C2348" t="inlineStr">
        <is>
          <t>TU</t>
        </is>
      </c>
      <c r="D2348" t="inlineStr">
        <is>
          <t>Tunisia</t>
        </is>
      </c>
    </row>
    <row r="2349">
      <c r="A2349" t="inlineStr">
        <is>
          <t>U2348</t>
        </is>
      </c>
      <c r="B2349" t="inlineStr">
        <is>
          <t>University of Turin</t>
        </is>
      </c>
      <c r="C2349" t="inlineStr">
        <is>
          <t>IT</t>
        </is>
      </c>
      <c r="D2349" t="inlineStr">
        <is>
          <t>Italy</t>
        </is>
      </c>
    </row>
    <row r="2350">
      <c r="A2350" t="inlineStr">
        <is>
          <t>U2349</t>
        </is>
      </c>
      <c r="B2350" t="inlineStr">
        <is>
          <t>University of Turku</t>
        </is>
      </c>
      <c r="C2350" t="inlineStr">
        <is>
          <t>FI</t>
        </is>
      </c>
      <c r="D2350" t="inlineStr">
        <is>
          <t>Finland</t>
        </is>
      </c>
    </row>
    <row r="2351">
      <c r="A2351" t="inlineStr">
        <is>
          <t>U2350</t>
        </is>
      </c>
      <c r="B2351" t="inlineStr">
        <is>
          <t>University of Tuscia</t>
        </is>
      </c>
      <c r="C2351" t="inlineStr">
        <is>
          <t>IT</t>
        </is>
      </c>
      <c r="D2351" t="inlineStr">
        <is>
          <t>Italy</t>
        </is>
      </c>
    </row>
    <row r="2352">
      <c r="A2352" t="inlineStr">
        <is>
          <t>U2351</t>
        </is>
      </c>
      <c r="B2352" t="inlineStr">
        <is>
          <t>University of Twente</t>
        </is>
      </c>
      <c r="C2352" t="inlineStr">
        <is>
          <t>NE</t>
        </is>
      </c>
      <c r="D2352" t="inlineStr">
        <is>
          <t>Netherlands</t>
        </is>
      </c>
    </row>
    <row r="2353">
      <c r="A2353" t="inlineStr">
        <is>
          <t>U2352</t>
        </is>
      </c>
      <c r="B2353" t="inlineStr">
        <is>
          <t>University of Tyumen</t>
        </is>
      </c>
      <c r="C2353" t="inlineStr">
        <is>
          <t>RU</t>
        </is>
      </c>
      <c r="D2353" t="inlineStr">
        <is>
          <t>Russian Federation</t>
        </is>
      </c>
    </row>
    <row r="2354">
      <c r="A2354" t="inlineStr">
        <is>
          <t>U2353</t>
        </is>
      </c>
      <c r="B2354" t="inlineStr">
        <is>
          <t>University of Udine</t>
        </is>
      </c>
      <c r="C2354" t="inlineStr">
        <is>
          <t>IT</t>
        </is>
      </c>
      <c r="D2354" t="inlineStr">
        <is>
          <t>Italy</t>
        </is>
      </c>
    </row>
    <row r="2355">
      <c r="A2355" t="inlineStr">
        <is>
          <t>U2354</t>
        </is>
      </c>
      <c r="B2355" t="inlineStr">
        <is>
          <t xml:space="preserve">University of Ulsan </t>
        </is>
      </c>
      <c r="C2355" t="inlineStr">
        <is>
          <t>SO</t>
        </is>
      </c>
      <c r="D2355" t="inlineStr">
        <is>
          <t>South Korea</t>
        </is>
      </c>
    </row>
    <row r="2356">
      <c r="A2356" t="inlineStr">
        <is>
          <t>U2355</t>
        </is>
      </c>
      <c r="B2356" t="inlineStr">
        <is>
          <t>University of Urbino Carlo Bo</t>
        </is>
      </c>
      <c r="C2356" t="inlineStr">
        <is>
          <t>IT</t>
        </is>
      </c>
      <c r="D2356" t="inlineStr">
        <is>
          <t>Italy</t>
        </is>
      </c>
    </row>
    <row r="2357">
      <c r="A2357" t="inlineStr">
        <is>
          <t>U2356</t>
        </is>
      </c>
      <c r="B2357" t="inlineStr">
        <is>
          <t>University of Utah</t>
        </is>
      </c>
      <c r="C2357" t="inlineStr">
        <is>
          <t>UN</t>
        </is>
      </c>
      <c r="D2357" t="inlineStr">
        <is>
          <t>United States</t>
        </is>
      </c>
    </row>
    <row r="2358">
      <c r="A2358" t="inlineStr">
        <is>
          <t>U2357</t>
        </is>
      </c>
      <c r="B2358" t="inlineStr">
        <is>
          <t>University of Vaasa</t>
        </is>
      </c>
      <c r="C2358" t="inlineStr">
        <is>
          <t>FI</t>
        </is>
      </c>
      <c r="D2358" t="inlineStr">
        <is>
          <t>Finland</t>
        </is>
      </c>
    </row>
    <row r="2359">
      <c r="A2359" t="inlineStr">
        <is>
          <t>U2358</t>
        </is>
      </c>
      <c r="B2359" t="inlineStr">
        <is>
          <t>University of Valencia</t>
        </is>
      </c>
      <c r="C2359" t="inlineStr">
        <is>
          <t>SP</t>
        </is>
      </c>
      <c r="D2359" t="inlineStr">
        <is>
          <t>Spain</t>
        </is>
      </c>
    </row>
    <row r="2360">
      <c r="A2360" t="inlineStr">
        <is>
          <t>U2359</t>
        </is>
      </c>
      <c r="B2360" t="inlineStr">
        <is>
          <t>University of Valladolid</t>
        </is>
      </c>
      <c r="C2360" t="inlineStr">
        <is>
          <t>SP</t>
        </is>
      </c>
      <c r="D2360" t="inlineStr">
        <is>
          <t>Spain</t>
        </is>
      </c>
    </row>
    <row r="2361">
      <c r="A2361" t="inlineStr">
        <is>
          <t>U2360</t>
        </is>
      </c>
      <c r="B2361" t="inlineStr">
        <is>
          <t>University of Valparaíso</t>
        </is>
      </c>
      <c r="C2361" t="inlineStr">
        <is>
          <t>CH</t>
        </is>
      </c>
      <c r="D2361" t="inlineStr">
        <is>
          <t>Chile</t>
        </is>
      </c>
    </row>
    <row r="2362">
      <c r="A2362" t="inlineStr">
        <is>
          <t>U2361</t>
        </is>
      </c>
      <c r="B2362" t="inlineStr">
        <is>
          <t>University of Venda</t>
        </is>
      </c>
      <c r="C2362" t="inlineStr">
        <is>
          <t>SO</t>
        </is>
      </c>
      <c r="D2362" t="inlineStr">
        <is>
          <t>South Africa</t>
        </is>
      </c>
    </row>
    <row r="2363">
      <c r="A2363" t="inlineStr">
        <is>
          <t>U2362</t>
        </is>
      </c>
      <c r="B2363" t="inlineStr">
        <is>
          <t>University of Vermont</t>
        </is>
      </c>
      <c r="C2363" t="inlineStr">
        <is>
          <t>UN</t>
        </is>
      </c>
      <c r="D2363" t="inlineStr">
        <is>
          <t>United States</t>
        </is>
      </c>
    </row>
    <row r="2364">
      <c r="A2364" t="inlineStr">
        <is>
          <t>U2363</t>
        </is>
      </c>
      <c r="B2364" t="inlineStr">
        <is>
          <t>University of Veterinary and Animal Sciences, Lahore</t>
        </is>
      </c>
      <c r="C2364" t="inlineStr">
        <is>
          <t>PA</t>
        </is>
      </c>
      <c r="D2364" t="inlineStr">
        <is>
          <t>Pakistan</t>
        </is>
      </c>
    </row>
    <row r="2365">
      <c r="A2365" t="inlineStr">
        <is>
          <t>U2364</t>
        </is>
      </c>
      <c r="B2365" t="inlineStr">
        <is>
          <t>University of Vic – Central University of Catalonia</t>
        </is>
      </c>
      <c r="C2365" t="inlineStr">
        <is>
          <t>SP</t>
        </is>
      </c>
      <c r="D2365" t="inlineStr">
        <is>
          <t>Spain</t>
        </is>
      </c>
    </row>
    <row r="2366">
      <c r="A2366" t="inlineStr">
        <is>
          <t>U2365</t>
        </is>
      </c>
      <c r="B2366" t="inlineStr">
        <is>
          <t>University of Victoria (UVic)</t>
        </is>
      </c>
      <c r="C2366" t="inlineStr">
        <is>
          <t>CA</t>
        </is>
      </c>
      <c r="D2366" t="inlineStr">
        <is>
          <t>Canada</t>
        </is>
      </c>
    </row>
    <row r="2367">
      <c r="A2367" t="inlineStr">
        <is>
          <t>U2366</t>
        </is>
      </c>
      <c r="B2367" t="inlineStr">
        <is>
          <t>University of Vienna</t>
        </is>
      </c>
      <c r="C2367" t="inlineStr">
        <is>
          <t>AU</t>
        </is>
      </c>
      <c r="D2367" t="inlineStr">
        <is>
          <t>Austria</t>
        </is>
      </c>
    </row>
    <row r="2368">
      <c r="A2368" t="inlineStr">
        <is>
          <t>U2367</t>
        </is>
      </c>
      <c r="B2368" t="inlineStr">
        <is>
          <t>University of Vigo</t>
        </is>
      </c>
      <c r="C2368" t="inlineStr">
        <is>
          <t>SP</t>
        </is>
      </c>
      <c r="D2368" t="inlineStr">
        <is>
          <t>Spain</t>
        </is>
      </c>
    </row>
    <row r="2369">
      <c r="A2369" t="inlineStr">
        <is>
          <t>U2368</t>
        </is>
      </c>
      <c r="B2369" t="inlineStr">
        <is>
          <t>University of Virginia</t>
        </is>
      </c>
      <c r="C2369" t="inlineStr">
        <is>
          <t>UN</t>
        </is>
      </c>
      <c r="D2369" t="inlineStr">
        <is>
          <t>United States</t>
        </is>
      </c>
    </row>
    <row r="2370">
      <c r="A2370" t="inlineStr">
        <is>
          <t>U2369</t>
        </is>
      </c>
      <c r="B2370" t="inlineStr">
        <is>
          <t>University of Würzburg</t>
        </is>
      </c>
      <c r="C2370" t="inlineStr">
        <is>
          <t>GE</t>
        </is>
      </c>
      <c r="D2370" t="inlineStr">
        <is>
          <t>Germany</t>
        </is>
      </c>
    </row>
    <row r="2371">
      <c r="A2371" t="inlineStr">
        <is>
          <t>U2370</t>
        </is>
      </c>
      <c r="B2371" t="inlineStr">
        <is>
          <t>University of Waikato</t>
        </is>
      </c>
      <c r="C2371" t="inlineStr">
        <is>
          <t>NE</t>
        </is>
      </c>
      <c r="D2371" t="inlineStr">
        <is>
          <t>New Zealand</t>
        </is>
      </c>
    </row>
    <row r="2372">
      <c r="A2372" t="inlineStr">
        <is>
          <t>U2371</t>
        </is>
      </c>
      <c r="B2372" t="inlineStr">
        <is>
          <t>University of Warmia and Mazury in Olsztyn</t>
        </is>
      </c>
      <c r="C2372" t="inlineStr">
        <is>
          <t>PO</t>
        </is>
      </c>
      <c r="D2372" t="inlineStr">
        <is>
          <t>Poland</t>
        </is>
      </c>
    </row>
    <row r="2373">
      <c r="A2373" t="inlineStr">
        <is>
          <t>U2372</t>
        </is>
      </c>
      <c r="B2373" t="inlineStr">
        <is>
          <t xml:space="preserve">University of Warsaw </t>
        </is>
      </c>
      <c r="C2373" t="inlineStr">
        <is>
          <t>PO</t>
        </is>
      </c>
      <c r="D2373" t="inlineStr">
        <is>
          <t>Poland</t>
        </is>
      </c>
    </row>
    <row r="2374">
      <c r="A2374" t="inlineStr">
        <is>
          <t>U2373</t>
        </is>
      </c>
      <c r="B2374" t="inlineStr">
        <is>
          <t>The University of Warwick</t>
        </is>
      </c>
      <c r="C2374" t="inlineStr">
        <is>
          <t>UN</t>
        </is>
      </c>
      <c r="D2374" t="inlineStr">
        <is>
          <t>United Kingdom</t>
        </is>
      </c>
    </row>
    <row r="2375">
      <c r="A2375" t="inlineStr">
        <is>
          <t>U2374</t>
        </is>
      </c>
      <c r="B2375" t="inlineStr">
        <is>
          <t>University of Washington</t>
        </is>
      </c>
      <c r="C2375" t="inlineStr">
        <is>
          <t>UN</t>
        </is>
      </c>
      <c r="D2375" t="inlineStr">
        <is>
          <t>United States</t>
        </is>
      </c>
    </row>
    <row r="2376">
      <c r="A2376" t="inlineStr">
        <is>
          <t>U2375</t>
        </is>
      </c>
      <c r="B2376" t="inlineStr">
        <is>
          <t>University of Waterloo</t>
        </is>
      </c>
      <c r="C2376" t="inlineStr">
        <is>
          <t>CA</t>
        </is>
      </c>
      <c r="D2376" t="inlineStr">
        <is>
          <t>Canada</t>
        </is>
      </c>
    </row>
    <row r="2377">
      <c r="A2377" t="inlineStr">
        <is>
          <t>U2376</t>
        </is>
      </c>
      <c r="B2377" t="inlineStr">
        <is>
          <t>University of West Attica</t>
        </is>
      </c>
      <c r="C2377" t="inlineStr">
        <is>
          <t>GR</t>
        </is>
      </c>
      <c r="D2377" t="inlineStr">
        <is>
          <t>Greece</t>
        </is>
      </c>
    </row>
    <row r="2378">
      <c r="A2378" t="inlineStr">
        <is>
          <t>U2377</t>
        </is>
      </c>
      <c r="B2378" t="inlineStr">
        <is>
          <t xml:space="preserve">University of West Bohemia </t>
        </is>
      </c>
      <c r="C2378" t="inlineStr">
        <is>
          <t>CZ</t>
        </is>
      </c>
      <c r="D2378" t="inlineStr">
        <is>
          <t>Czech Republic</t>
        </is>
      </c>
    </row>
    <row r="2379">
      <c r="A2379" t="inlineStr">
        <is>
          <t>U2378</t>
        </is>
      </c>
      <c r="B2379" t="inlineStr">
        <is>
          <t>University of West London</t>
        </is>
      </c>
      <c r="C2379" t="inlineStr">
        <is>
          <t>UN</t>
        </is>
      </c>
      <c r="D2379" t="inlineStr">
        <is>
          <t>United Kingdom</t>
        </is>
      </c>
    </row>
    <row r="2380">
      <c r="A2380" t="inlineStr">
        <is>
          <t>U2379</t>
        </is>
      </c>
      <c r="B2380" t="inlineStr">
        <is>
          <t>The University of Western Australia</t>
        </is>
      </c>
      <c r="C2380" t="inlineStr">
        <is>
          <t>AU</t>
        </is>
      </c>
      <c r="D2380" t="inlineStr">
        <is>
          <t>Australia</t>
        </is>
      </c>
    </row>
    <row r="2381">
      <c r="A2381" t="inlineStr">
        <is>
          <t>U2380</t>
        </is>
      </c>
      <c r="B2381" t="inlineStr">
        <is>
          <t>University of Western Macedonia</t>
        </is>
      </c>
      <c r="C2381" t="inlineStr">
        <is>
          <t>GR</t>
        </is>
      </c>
      <c r="D2381" t="inlineStr">
        <is>
          <t>Greece</t>
        </is>
      </c>
    </row>
    <row r="2382">
      <c r="A2382" t="inlineStr">
        <is>
          <t>U2381</t>
        </is>
      </c>
      <c r="B2382" t="inlineStr">
        <is>
          <t>University of Westminster</t>
        </is>
      </c>
      <c r="C2382" t="inlineStr">
        <is>
          <t>UN</t>
        </is>
      </c>
      <c r="D2382" t="inlineStr">
        <is>
          <t>United Kingdom</t>
        </is>
      </c>
    </row>
    <row r="2383">
      <c r="A2383" t="inlineStr">
        <is>
          <t>U2382</t>
        </is>
      </c>
      <c r="B2383" t="inlineStr">
        <is>
          <t>University of Winchester</t>
        </is>
      </c>
      <c r="C2383" t="inlineStr">
        <is>
          <t>UN</t>
        </is>
      </c>
      <c r="D2383" t="inlineStr">
        <is>
          <t>United Kingdom</t>
        </is>
      </c>
    </row>
    <row r="2384">
      <c r="A2384" t="inlineStr">
        <is>
          <t>U2383</t>
        </is>
      </c>
      <c r="B2384" t="inlineStr">
        <is>
          <t>University of Windsor</t>
        </is>
      </c>
      <c r="C2384" t="inlineStr">
        <is>
          <t>CA</t>
        </is>
      </c>
      <c r="D2384" t="inlineStr">
        <is>
          <t>Canada</t>
        </is>
      </c>
    </row>
    <row r="2385">
      <c r="A2385" t="inlineStr">
        <is>
          <t>U2384</t>
        </is>
      </c>
      <c r="B2385" t="inlineStr">
        <is>
          <t>University of Wisconsin-Madison</t>
        </is>
      </c>
      <c r="C2385" t="inlineStr">
        <is>
          <t>UN</t>
        </is>
      </c>
      <c r="D2385" t="inlineStr">
        <is>
          <t>United States</t>
        </is>
      </c>
    </row>
    <row r="2386">
      <c r="A2386" t="inlineStr">
        <is>
          <t>U2385</t>
        </is>
      </c>
      <c r="B2386" t="inlineStr">
        <is>
          <t xml:space="preserve">University of Wisconsin Milwaukee </t>
        </is>
      </c>
      <c r="C2386" t="inlineStr">
        <is>
          <t>UN</t>
        </is>
      </c>
      <c r="D2386" t="inlineStr">
        <is>
          <t>United States</t>
        </is>
      </c>
    </row>
    <row r="2387">
      <c r="A2387" t="inlineStr">
        <is>
          <t>U2386</t>
        </is>
      </c>
      <c r="B2387" t="inlineStr">
        <is>
          <t>University of Witwatersrand</t>
        </is>
      </c>
      <c r="C2387" t="inlineStr">
        <is>
          <t>SO</t>
        </is>
      </c>
      <c r="D2387" t="inlineStr">
        <is>
          <t>South Africa</t>
        </is>
      </c>
    </row>
    <row r="2388">
      <c r="A2388" t="inlineStr">
        <is>
          <t>U2387</t>
        </is>
      </c>
      <c r="B2388" t="inlineStr">
        <is>
          <t>University of Wollongong</t>
        </is>
      </c>
      <c r="C2388" t="inlineStr">
        <is>
          <t>AU</t>
        </is>
      </c>
      <c r="D2388" t="inlineStr">
        <is>
          <t>Australia</t>
        </is>
      </c>
    </row>
    <row r="2389">
      <c r="A2389" t="inlineStr">
        <is>
          <t>U2388</t>
        </is>
      </c>
      <c r="B2389" t="inlineStr">
        <is>
          <t>University of Wolverhampton</t>
        </is>
      </c>
      <c r="C2389" t="inlineStr">
        <is>
          <t>UN</t>
        </is>
      </c>
      <c r="D2389" t="inlineStr">
        <is>
          <t>United Kingdom</t>
        </is>
      </c>
    </row>
    <row r="2390">
      <c r="A2390" t="inlineStr">
        <is>
          <t>U2389</t>
        </is>
      </c>
      <c r="B2390" t="inlineStr">
        <is>
          <t>University of Wrocław</t>
        </is>
      </c>
      <c r="C2390" t="inlineStr">
        <is>
          <t>PO</t>
        </is>
      </c>
      <c r="D2390" t="inlineStr">
        <is>
          <t>Poland</t>
        </is>
      </c>
    </row>
    <row r="2391">
      <c r="A2391" t="inlineStr">
        <is>
          <t>U2390</t>
        </is>
      </c>
      <c r="B2391" t="inlineStr">
        <is>
          <t>University of Wroclaw</t>
        </is>
      </c>
      <c r="C2391" t="inlineStr">
        <is>
          <t>PO</t>
        </is>
      </c>
      <c r="D2391" t="inlineStr">
        <is>
          <t>Poland</t>
        </is>
      </c>
    </row>
    <row r="2392">
      <c r="A2392" t="inlineStr">
        <is>
          <t>U2391</t>
        </is>
      </c>
      <c r="B2392" t="inlineStr">
        <is>
          <t>University of Wuppertal</t>
        </is>
      </c>
      <c r="C2392" t="inlineStr">
        <is>
          <t>GE</t>
        </is>
      </c>
      <c r="D2392" t="inlineStr">
        <is>
          <t>Germany</t>
        </is>
      </c>
    </row>
    <row r="2393">
      <c r="A2393" t="inlineStr">
        <is>
          <t>U2392</t>
        </is>
      </c>
      <c r="B2393" t="inlineStr">
        <is>
          <t>University of Wyoming</t>
        </is>
      </c>
      <c r="C2393" t="inlineStr">
        <is>
          <t>UN</t>
        </is>
      </c>
      <c r="D2393" t="inlineStr">
        <is>
          <t>United States</t>
        </is>
      </c>
    </row>
    <row r="2394">
      <c r="A2394" t="inlineStr">
        <is>
          <t>U2393</t>
        </is>
      </c>
      <c r="B2394" t="inlineStr">
        <is>
          <t>University of Yamanashi</t>
        </is>
      </c>
      <c r="C2394" t="inlineStr">
        <is>
          <t>JA</t>
        </is>
      </c>
      <c r="D2394" t="inlineStr">
        <is>
          <t>Japan</t>
        </is>
      </c>
    </row>
    <row r="2395">
      <c r="A2395" t="inlineStr">
        <is>
          <t>U2394</t>
        </is>
      </c>
      <c r="B2395" t="inlineStr">
        <is>
          <t>University of York</t>
        </is>
      </c>
      <c r="C2395" t="inlineStr">
        <is>
          <t>UN</t>
        </is>
      </c>
      <c r="D2395" t="inlineStr">
        <is>
          <t>United Kingdom</t>
        </is>
      </c>
    </row>
    <row r="2396">
      <c r="A2396" t="inlineStr">
        <is>
          <t>U2395</t>
        </is>
      </c>
      <c r="B2396" t="inlineStr">
        <is>
          <t>University of Zagreb</t>
        </is>
      </c>
      <c r="C2396" t="inlineStr">
        <is>
          <t>CR</t>
        </is>
      </c>
      <c r="D2396" t="inlineStr">
        <is>
          <t>Croatia</t>
        </is>
      </c>
    </row>
    <row r="2397">
      <c r="A2397" t="inlineStr">
        <is>
          <t>U2396</t>
        </is>
      </c>
      <c r="B2397" t="inlineStr">
        <is>
          <t>University of Zambia</t>
        </is>
      </c>
      <c r="C2397" t="inlineStr">
        <is>
          <t>ZA</t>
        </is>
      </c>
      <c r="D2397" t="inlineStr">
        <is>
          <t>Zambia</t>
        </is>
      </c>
    </row>
    <row r="2398">
      <c r="A2398" t="inlineStr">
        <is>
          <t>U2397</t>
        </is>
      </c>
      <c r="B2398" t="inlineStr">
        <is>
          <t>University of Zanjan</t>
        </is>
      </c>
      <c r="C2398" t="inlineStr">
        <is>
          <t>IR</t>
        </is>
      </c>
      <c r="D2398" t="inlineStr">
        <is>
          <t>Iran</t>
        </is>
      </c>
    </row>
    <row r="2399">
      <c r="A2399" t="inlineStr">
        <is>
          <t>U2398</t>
        </is>
      </c>
      <c r="B2399" t="inlineStr">
        <is>
          <t>University of Zaragoza</t>
        </is>
      </c>
      <c r="C2399" t="inlineStr">
        <is>
          <t>SP</t>
        </is>
      </c>
      <c r="D2399" t="inlineStr">
        <is>
          <t>Spain</t>
        </is>
      </c>
    </row>
    <row r="2400">
      <c r="A2400" t="inlineStr">
        <is>
          <t>U2399</t>
        </is>
      </c>
      <c r="B2400" t="inlineStr">
        <is>
          <t>University of Zimbabwe</t>
        </is>
      </c>
      <c r="C2400" t="inlineStr">
        <is>
          <t>ZI</t>
        </is>
      </c>
      <c r="D2400" t="inlineStr">
        <is>
          <t>Zimbabwe</t>
        </is>
      </c>
    </row>
    <row r="2401">
      <c r="A2401" t="inlineStr">
        <is>
          <t>U2400</t>
        </is>
      </c>
      <c r="B2401" t="inlineStr">
        <is>
          <t>University of Zurich</t>
        </is>
      </c>
      <c r="C2401" t="inlineStr">
        <is>
          <t>SW</t>
        </is>
      </c>
      <c r="D2401" t="inlineStr">
        <is>
          <t>Switzerland</t>
        </is>
      </c>
    </row>
    <row r="2402">
      <c r="A2402" t="inlineStr">
        <is>
          <t>U2401</t>
        </is>
      </c>
      <c r="B2402" t="inlineStr">
        <is>
          <t>University Paris 2 Panthéon-Assas</t>
        </is>
      </c>
      <c r="C2402" t="inlineStr">
        <is>
          <t>FR</t>
        </is>
      </c>
      <c r="D2402" t="inlineStr">
        <is>
          <t>France</t>
        </is>
      </c>
    </row>
    <row r="2403">
      <c r="A2403" t="inlineStr">
        <is>
          <t>U2402</t>
        </is>
      </c>
      <c r="B2403" t="inlineStr">
        <is>
          <t>University POLITEHNICA of Bucharest</t>
        </is>
      </c>
      <c r="C2403" t="inlineStr">
        <is>
          <t>RO</t>
        </is>
      </c>
      <c r="D2403" t="inlineStr">
        <is>
          <t>Romania</t>
        </is>
      </c>
    </row>
    <row r="2404">
      <c r="A2404" t="inlineStr">
        <is>
          <t>U2403</t>
        </is>
      </c>
      <c r="B2404" t="inlineStr">
        <is>
          <t>University Politehnica of Timisoara, UPT</t>
        </is>
      </c>
      <c r="C2404" t="inlineStr">
        <is>
          <t>RO</t>
        </is>
      </c>
      <c r="D2404" t="inlineStr">
        <is>
          <t>Romania</t>
        </is>
      </c>
    </row>
    <row r="2405">
      <c r="A2405" t="inlineStr">
        <is>
          <t>U2404</t>
        </is>
      </c>
      <c r="B2405" t="inlineStr">
        <is>
          <t>University Rey Juan Carlos</t>
        </is>
      </c>
      <c r="C2405" t="inlineStr">
        <is>
          <t>SP</t>
        </is>
      </c>
      <c r="D2405" t="inlineStr">
        <is>
          <t>Spain</t>
        </is>
      </c>
    </row>
    <row r="2406">
      <c r="A2406" t="inlineStr">
        <is>
          <t>U2405</t>
        </is>
      </c>
      <c r="B2406" t="inlineStr">
        <is>
          <t>University Ulm</t>
        </is>
      </c>
      <c r="C2406" t="inlineStr">
        <is>
          <t>GE</t>
        </is>
      </c>
      <c r="D2406" t="inlineStr">
        <is>
          <t>Germany</t>
        </is>
      </c>
    </row>
    <row r="2407">
      <c r="A2407" t="inlineStr">
        <is>
          <t>U2406</t>
        </is>
      </c>
      <c r="B2407" t="inlineStr">
        <is>
          <t>UNSW Sydney</t>
        </is>
      </c>
      <c r="C2407" t="inlineStr">
        <is>
          <t>AU</t>
        </is>
      </c>
      <c r="D2407" t="inlineStr">
        <is>
          <t>Australia</t>
        </is>
      </c>
    </row>
    <row r="2408">
      <c r="A2408" t="inlineStr">
        <is>
          <t>U2407</t>
        </is>
      </c>
      <c r="B2408" t="inlineStr">
        <is>
          <t>UPES</t>
        </is>
      </c>
      <c r="C2408" t="inlineStr">
        <is>
          <t>IN</t>
        </is>
      </c>
      <c r="D2408" t="inlineStr">
        <is>
          <t>India</t>
        </is>
      </c>
    </row>
    <row r="2409">
      <c r="A2409" t="inlineStr">
        <is>
          <t>U2408</t>
        </is>
      </c>
      <c r="B2409" t="inlineStr">
        <is>
          <t>Uppsala University</t>
        </is>
      </c>
      <c r="C2409" t="inlineStr">
        <is>
          <t>SW</t>
        </is>
      </c>
      <c r="D2409" t="inlineStr">
        <is>
          <t>Sweden</t>
        </is>
      </c>
    </row>
    <row r="2410">
      <c r="A2410" t="inlineStr">
        <is>
          <t>U2409</t>
        </is>
      </c>
      <c r="B2410" t="inlineStr">
        <is>
          <t>Ural Federal University</t>
        </is>
      </c>
      <c r="C2410" t="inlineStr">
        <is>
          <t>RU</t>
        </is>
      </c>
      <c r="D2410" t="inlineStr">
        <is>
          <t>Russian Federation</t>
        </is>
      </c>
    </row>
    <row r="2411">
      <c r="A2411" t="inlineStr">
        <is>
          <t>U2410</t>
        </is>
      </c>
      <c r="B2411" t="inlineStr">
        <is>
          <t>Ural Federal University - UrFU</t>
        </is>
      </c>
      <c r="C2411" t="inlineStr">
        <is>
          <t>RU</t>
        </is>
      </c>
      <c r="D2411" t="inlineStr">
        <is>
          <t>Russian Federation</t>
        </is>
      </c>
    </row>
    <row r="2412">
      <c r="A2412" t="inlineStr">
        <is>
          <t>U2411</t>
        </is>
      </c>
      <c r="B2412" t="inlineStr">
        <is>
          <t>Urmia University</t>
        </is>
      </c>
      <c r="C2412" t="inlineStr">
        <is>
          <t>IR</t>
        </is>
      </c>
      <c r="D2412" t="inlineStr">
        <is>
          <t>Iran</t>
        </is>
      </c>
    </row>
    <row r="2413">
      <c r="A2413" t="inlineStr">
        <is>
          <t>U2412</t>
        </is>
      </c>
      <c r="B2413" t="inlineStr">
        <is>
          <t>Urmia University of Medical Sciences</t>
        </is>
      </c>
      <c r="C2413" t="inlineStr">
        <is>
          <t>IR</t>
        </is>
      </c>
      <c r="D2413" t="inlineStr">
        <is>
          <t>Iran</t>
        </is>
      </c>
    </row>
    <row r="2414">
      <c r="A2414" t="inlineStr">
        <is>
          <t>U2413</t>
        </is>
      </c>
      <c r="B2414" t="inlineStr">
        <is>
          <t>Urmia University of Technology</t>
        </is>
      </c>
      <c r="C2414" t="inlineStr">
        <is>
          <t>IR</t>
        </is>
      </c>
      <c r="D2414" t="inlineStr">
        <is>
          <t>Iran</t>
        </is>
      </c>
    </row>
    <row r="2415">
      <c r="A2415" t="inlineStr">
        <is>
          <t>U2414</t>
        </is>
      </c>
      <c r="B2415" t="inlineStr">
        <is>
          <t>USAMV Cluj-Napoca</t>
        </is>
      </c>
      <c r="C2415" t="inlineStr">
        <is>
          <t>RO</t>
        </is>
      </c>
      <c r="D2415" t="inlineStr">
        <is>
          <t>Romania</t>
        </is>
      </c>
    </row>
    <row r="2416">
      <c r="A2416" t="inlineStr">
        <is>
          <t>U2415</t>
        </is>
      </c>
      <c r="B2416" t="inlineStr">
        <is>
          <t>USI - Università della Svizzera italiana</t>
        </is>
      </c>
      <c r="C2416" t="inlineStr">
        <is>
          <t>SW</t>
        </is>
      </c>
      <c r="D2416" t="inlineStr">
        <is>
          <t>Switzerland</t>
        </is>
      </c>
    </row>
    <row r="2417">
      <c r="A2417" t="inlineStr">
        <is>
          <t>U2416</t>
        </is>
      </c>
      <c r="B2417" t="inlineStr">
        <is>
          <t xml:space="preserve">Utah State University </t>
        </is>
      </c>
      <c r="C2417" t="inlineStr">
        <is>
          <t>UN</t>
        </is>
      </c>
      <c r="D2417" t="inlineStr">
        <is>
          <t>United States</t>
        </is>
      </c>
    </row>
    <row r="2418">
      <c r="A2418" t="inlineStr">
        <is>
          <t>U2417</t>
        </is>
      </c>
      <c r="B2418" t="inlineStr">
        <is>
          <t>Utrecht University</t>
        </is>
      </c>
      <c r="C2418" t="inlineStr">
        <is>
          <t>NE</t>
        </is>
      </c>
      <c r="D2418" t="inlineStr">
        <is>
          <t>Netherlands</t>
        </is>
      </c>
    </row>
    <row r="2419">
      <c r="A2419" t="inlineStr">
        <is>
          <t>U2418</t>
        </is>
      </c>
      <c r="B2419" t="inlineStr">
        <is>
          <t>Utsunomiya University</t>
        </is>
      </c>
      <c r="C2419" t="inlineStr">
        <is>
          <t>JA</t>
        </is>
      </c>
      <c r="D2419" t="inlineStr">
        <is>
          <t>Japan</t>
        </is>
      </c>
    </row>
    <row r="2420">
      <c r="A2420" t="inlineStr">
        <is>
          <t>U2419</t>
        </is>
      </c>
      <c r="B2420" t="inlineStr">
        <is>
          <t>Uzhhorod National University</t>
        </is>
      </c>
      <c r="C2420" t="inlineStr">
        <is>
          <t>UK</t>
        </is>
      </c>
      <c r="D2420" t="inlineStr">
        <is>
          <t>Ukraine</t>
        </is>
      </c>
    </row>
    <row r="2421">
      <c r="A2421" t="inlineStr">
        <is>
          <t>U2420</t>
        </is>
      </c>
      <c r="B2421" t="inlineStr">
        <is>
          <t>V.I. Vernadsky Crimean Federal University (Vernadsky CFU)</t>
        </is>
      </c>
      <c r="C2421" t="inlineStr">
        <is>
          <t>UK</t>
        </is>
      </c>
      <c r="D2421" t="inlineStr">
        <is>
          <t>Ukraine</t>
        </is>
      </c>
    </row>
    <row r="2422">
      <c r="A2422" t="inlineStr">
        <is>
          <t>U2421</t>
        </is>
      </c>
      <c r="B2422" t="inlineStr">
        <is>
          <t>V. N. Karazin Kharkiv National University</t>
        </is>
      </c>
      <c r="C2422" t="inlineStr">
        <is>
          <t>UK</t>
        </is>
      </c>
      <c r="D2422" t="inlineStr">
        <is>
          <t>Ukraine</t>
        </is>
      </c>
    </row>
    <row r="2423">
      <c r="A2423" t="inlineStr">
        <is>
          <t>U2422</t>
        </is>
      </c>
      <c r="B2423" t="inlineStr">
        <is>
          <t>Van Yüzüncü Yil University</t>
        </is>
      </c>
      <c r="C2423" t="inlineStr">
        <is>
          <t>TU</t>
        </is>
      </c>
      <c r="D2423" t="inlineStr">
        <is>
          <t>Turkey</t>
        </is>
      </c>
    </row>
    <row r="2424">
      <c r="A2424" t="inlineStr">
        <is>
          <t>U2423</t>
        </is>
      </c>
      <c r="B2424" t="inlineStr">
        <is>
          <t>Vancouver Island University</t>
        </is>
      </c>
      <c r="C2424" t="inlineStr">
        <is>
          <t>CA</t>
        </is>
      </c>
      <c r="D2424" t="inlineStr">
        <is>
          <t>Canada</t>
        </is>
      </c>
    </row>
    <row r="2425">
      <c r="A2425" t="inlineStr">
        <is>
          <t>U2424</t>
        </is>
      </c>
      <c r="B2425" t="inlineStr">
        <is>
          <t>Vanderbilt University</t>
        </is>
      </c>
      <c r="C2425" t="inlineStr">
        <is>
          <t>UN</t>
        </is>
      </c>
      <c r="D2425" t="inlineStr">
        <is>
          <t>United States</t>
        </is>
      </c>
    </row>
    <row r="2426">
      <c r="A2426" t="inlineStr">
        <is>
          <t>U2425</t>
        </is>
      </c>
      <c r="B2426" t="inlineStr">
        <is>
          <t>Vellore Institute of Technology (VIT)</t>
        </is>
      </c>
      <c r="C2426" t="inlineStr">
        <is>
          <t>IN</t>
        </is>
      </c>
      <c r="D2426" t="inlineStr">
        <is>
          <t>India</t>
        </is>
      </c>
    </row>
    <row r="2427">
      <c r="A2427" t="inlineStr">
        <is>
          <t>U2426</t>
        </is>
      </c>
      <c r="B2427" t="inlineStr">
        <is>
          <t>Veltech University</t>
        </is>
      </c>
      <c r="C2427" t="inlineStr">
        <is>
          <t>IN</t>
        </is>
      </c>
      <c r="D2427" t="inlineStr">
        <is>
          <t>India</t>
        </is>
      </c>
    </row>
    <row r="2428">
      <c r="A2428" t="inlineStr">
        <is>
          <t>U2427</t>
        </is>
      </c>
      <c r="B2428" t="inlineStr">
        <is>
          <t>Verona University</t>
        </is>
      </c>
      <c r="C2428" t="inlineStr">
        <is>
          <t>IT</t>
        </is>
      </c>
      <c r="D2428" t="inlineStr">
        <is>
          <t>Italy</t>
        </is>
      </c>
    </row>
    <row r="2429">
      <c r="A2429" t="inlineStr">
        <is>
          <t>U2428</t>
        </is>
      </c>
      <c r="B2429" t="inlineStr">
        <is>
          <t xml:space="preserve">Victoria University </t>
        </is>
      </c>
      <c r="C2429" t="inlineStr">
        <is>
          <t>AU</t>
        </is>
      </c>
      <c r="D2429" t="inlineStr">
        <is>
          <t>Australia</t>
        </is>
      </c>
    </row>
    <row r="2430">
      <c r="A2430" t="inlineStr">
        <is>
          <t>U2429</t>
        </is>
      </c>
      <c r="B2430" t="inlineStr">
        <is>
          <t>Victoria University of Wellington</t>
        </is>
      </c>
      <c r="C2430" t="inlineStr">
        <is>
          <t>NE</t>
        </is>
      </c>
      <c r="D2430" t="inlineStr">
        <is>
          <t>New Zealand</t>
        </is>
      </c>
    </row>
    <row r="2431">
      <c r="A2431" t="inlineStr">
        <is>
          <t>U2430</t>
        </is>
      </c>
      <c r="B2431" t="inlineStr">
        <is>
          <t>Viet Nam National University Ho Chi Minh City (VNU-HCM)</t>
        </is>
      </c>
      <c r="C2431" t="inlineStr">
        <is>
          <t>VI</t>
        </is>
      </c>
      <c r="D2431" t="inlineStr">
        <is>
          <t>Vietnam</t>
        </is>
      </c>
    </row>
    <row r="2432">
      <c r="A2432" t="inlineStr">
        <is>
          <t>U2431</t>
        </is>
      </c>
      <c r="B2432" t="inlineStr">
        <is>
          <t>Vietnam National University (Ho Chi Minh City)</t>
        </is>
      </c>
      <c r="C2432" t="inlineStr">
        <is>
          <t>VI</t>
        </is>
      </c>
      <c r="D2432" t="inlineStr">
        <is>
          <t>Vietnam</t>
        </is>
      </c>
    </row>
    <row r="2433">
      <c r="A2433" t="inlineStr">
        <is>
          <t>U2432</t>
        </is>
      </c>
      <c r="B2433" t="inlineStr">
        <is>
          <t xml:space="preserve">Vietnam National University, Hanoi </t>
        </is>
      </c>
      <c r="C2433" t="inlineStr">
        <is>
          <t>VI</t>
        </is>
      </c>
      <c r="D2433" t="inlineStr">
        <is>
          <t>Vietnam</t>
        </is>
      </c>
    </row>
    <row r="2434">
      <c r="A2434" t="inlineStr">
        <is>
          <t>U2433</t>
        </is>
      </c>
      <c r="B2434" t="inlineStr">
        <is>
          <t>Vignan’s Foundation for Science, Technology and Research</t>
        </is>
      </c>
      <c r="C2434" t="inlineStr">
        <is>
          <t>IN</t>
        </is>
      </c>
      <c r="D2434" t="inlineStr">
        <is>
          <t>India</t>
        </is>
      </c>
    </row>
    <row r="2435">
      <c r="A2435" t="inlineStr">
        <is>
          <t>U2434</t>
        </is>
      </c>
      <c r="B2435" t="inlineStr">
        <is>
          <t>Vilnius Gediminas Technical University</t>
        </is>
      </c>
      <c r="C2435" t="inlineStr">
        <is>
          <t>LI</t>
        </is>
      </c>
      <c r="D2435" t="inlineStr">
        <is>
          <t>Lithuania</t>
        </is>
      </c>
    </row>
    <row r="2436">
      <c r="A2436" t="inlineStr">
        <is>
          <t>U2435</t>
        </is>
      </c>
      <c r="B2436" t="inlineStr">
        <is>
          <t xml:space="preserve">Vilnius University </t>
        </is>
      </c>
      <c r="C2436" t="inlineStr">
        <is>
          <t>LI</t>
        </is>
      </c>
      <c r="D2436" t="inlineStr">
        <is>
          <t>Lithuania</t>
        </is>
      </c>
    </row>
    <row r="2437">
      <c r="A2437" t="inlineStr">
        <is>
          <t>U2436</t>
        </is>
      </c>
      <c r="B2437" t="inlineStr">
        <is>
          <t>Virginia Commonwealth University</t>
        </is>
      </c>
      <c r="C2437" t="inlineStr">
        <is>
          <t>UN</t>
        </is>
      </c>
      <c r="D2437" t="inlineStr">
        <is>
          <t>United States</t>
        </is>
      </c>
    </row>
    <row r="2438">
      <c r="A2438" t="inlineStr">
        <is>
          <t>U2437</t>
        </is>
      </c>
      <c r="B2438" t="inlineStr">
        <is>
          <t>Virginia Polytechnic Institute and State University</t>
        </is>
      </c>
      <c r="C2438" t="inlineStr">
        <is>
          <t>UN</t>
        </is>
      </c>
      <c r="D2438" t="inlineStr">
        <is>
          <t>United States</t>
        </is>
      </c>
    </row>
    <row r="2439">
      <c r="A2439" t="inlineStr">
        <is>
          <t>U2438</t>
        </is>
      </c>
      <c r="B2439" t="inlineStr">
        <is>
          <t>Visvesvaraya National Institute of Technology, Nagpur</t>
        </is>
      </c>
      <c r="C2439" t="inlineStr">
        <is>
          <t>IN</t>
        </is>
      </c>
      <c r="D2439" t="inlineStr">
        <is>
          <t>India</t>
        </is>
      </c>
    </row>
    <row r="2440">
      <c r="A2440" t="inlineStr">
        <is>
          <t>U2439</t>
        </is>
      </c>
      <c r="B2440" t="inlineStr">
        <is>
          <t>VIT University</t>
        </is>
      </c>
      <c r="C2440" t="inlineStr">
        <is>
          <t>IN</t>
        </is>
      </c>
      <c r="D2440" t="inlineStr">
        <is>
          <t>India</t>
        </is>
      </c>
    </row>
    <row r="2441">
      <c r="A2441" t="inlineStr">
        <is>
          <t>U2440</t>
        </is>
      </c>
      <c r="B2441" t="inlineStr">
        <is>
          <t>Vita-Salute San Raffaele University</t>
        </is>
      </c>
      <c r="C2441" t="inlineStr">
        <is>
          <t>IT</t>
        </is>
      </c>
      <c r="D2441" t="inlineStr">
        <is>
          <t>Italy</t>
        </is>
      </c>
    </row>
    <row r="2442">
      <c r="A2442" t="inlineStr">
        <is>
          <t>U2441</t>
        </is>
      </c>
      <c r="B2442" t="inlineStr">
        <is>
          <t>Volgograd State Technical University</t>
        </is>
      </c>
      <c r="C2442" t="inlineStr">
        <is>
          <t>RU</t>
        </is>
      </c>
      <c r="D2442" t="inlineStr">
        <is>
          <t>Russian Federation</t>
        </is>
      </c>
    </row>
    <row r="2443">
      <c r="A2443" t="inlineStr">
        <is>
          <t>U2442</t>
        </is>
      </c>
      <c r="B2443" t="inlineStr">
        <is>
          <t>Volgograd State University</t>
        </is>
      </c>
      <c r="C2443" t="inlineStr">
        <is>
          <t>RU</t>
        </is>
      </c>
      <c r="D2443" t="inlineStr">
        <is>
          <t>Russian Federation</t>
        </is>
      </c>
    </row>
    <row r="2444">
      <c r="A2444" t="inlineStr">
        <is>
          <t>U2443</t>
        </is>
      </c>
      <c r="B2444" t="inlineStr">
        <is>
          <t>Voronezh State Technical University</t>
        </is>
      </c>
      <c r="C2444" t="inlineStr">
        <is>
          <t>RU</t>
        </is>
      </c>
      <c r="D2444" t="inlineStr">
        <is>
          <t>Russian Federation</t>
        </is>
      </c>
    </row>
    <row r="2445">
      <c r="A2445" t="inlineStr">
        <is>
          <t>U2444</t>
        </is>
      </c>
      <c r="B2445" t="inlineStr">
        <is>
          <t>Voronezh State University</t>
        </is>
      </c>
      <c r="C2445" t="inlineStr">
        <is>
          <t>RU</t>
        </is>
      </c>
      <c r="D2445" t="inlineStr">
        <is>
          <t>Russian Federation</t>
        </is>
      </c>
    </row>
    <row r="2446">
      <c r="A2446" t="inlineStr">
        <is>
          <t>U2445</t>
        </is>
      </c>
      <c r="B2446" t="inlineStr">
        <is>
          <t>Vrije Universiteit Amsterdam</t>
        </is>
      </c>
      <c r="C2446" t="inlineStr">
        <is>
          <t>NE</t>
        </is>
      </c>
      <c r="D2446" t="inlineStr">
        <is>
          <t>Netherlands</t>
        </is>
      </c>
    </row>
    <row r="2447">
      <c r="A2447" t="inlineStr">
        <is>
          <t>U2446</t>
        </is>
      </c>
      <c r="B2447" t="inlineStr">
        <is>
          <t>Vrije Universiteit Brussel (VUB)</t>
        </is>
      </c>
      <c r="C2447" t="inlineStr">
        <is>
          <t>BE</t>
        </is>
      </c>
      <c r="D2447" t="inlineStr">
        <is>
          <t>Belgium</t>
        </is>
      </c>
    </row>
    <row r="2448">
      <c r="A2448" t="inlineStr">
        <is>
          <t>U2447</t>
        </is>
      </c>
      <c r="B2448" t="inlineStr">
        <is>
          <t>VSB - Technical University of Ostrava</t>
        </is>
      </c>
      <c r="C2448" t="inlineStr">
        <is>
          <t>CZ</t>
        </is>
      </c>
      <c r="D2448" t="inlineStr">
        <is>
          <t>Czech Republic</t>
        </is>
      </c>
    </row>
    <row r="2449">
      <c r="A2449" t="inlineStr">
        <is>
          <t>U2448</t>
        </is>
      </c>
      <c r="B2449" t="inlineStr">
        <is>
          <t>Vytautas Magnus University</t>
        </is>
      </c>
      <c r="C2449" t="inlineStr">
        <is>
          <t>LI</t>
        </is>
      </c>
      <c r="D2449" t="inlineStr">
        <is>
          <t>Lithuania</t>
        </is>
      </c>
    </row>
    <row r="2450">
      <c r="A2450" t="inlineStr">
        <is>
          <t>U2449</t>
        </is>
      </c>
      <c r="B2450" t="inlineStr">
        <is>
          <t>Wageningen University &amp; Research</t>
        </is>
      </c>
      <c r="C2450" t="inlineStr">
        <is>
          <t>NE</t>
        </is>
      </c>
      <c r="D2450" t="inlineStr">
        <is>
          <t>Netherlands</t>
        </is>
      </c>
    </row>
    <row r="2451">
      <c r="A2451" t="inlineStr">
        <is>
          <t>U2450</t>
        </is>
      </c>
      <c r="B2451" t="inlineStr">
        <is>
          <t>Wakayama Medical University</t>
        </is>
      </c>
      <c r="C2451" t="inlineStr">
        <is>
          <t>JA</t>
        </is>
      </c>
      <c r="D2451" t="inlineStr">
        <is>
          <t>Japan</t>
        </is>
      </c>
    </row>
    <row r="2452">
      <c r="A2452" t="inlineStr">
        <is>
          <t>U2451</t>
        </is>
      </c>
      <c r="B2452" t="inlineStr">
        <is>
          <t>Wake Forest University</t>
        </is>
      </c>
      <c r="C2452" t="inlineStr">
        <is>
          <t>UN</t>
        </is>
      </c>
      <c r="D2452" t="inlineStr">
        <is>
          <t>United States</t>
        </is>
      </c>
    </row>
    <row r="2453">
      <c r="A2453" t="inlineStr">
        <is>
          <t>U2452</t>
        </is>
      </c>
      <c r="B2453" t="inlineStr">
        <is>
          <t>Walailak University</t>
        </is>
      </c>
      <c r="C2453" t="inlineStr">
        <is>
          <t>TH</t>
        </is>
      </c>
      <c r="D2453" t="inlineStr">
        <is>
          <t>Thailand</t>
        </is>
      </c>
    </row>
    <row r="2454">
      <c r="A2454" t="inlineStr">
        <is>
          <t>U2453</t>
        </is>
      </c>
      <c r="B2454" t="inlineStr">
        <is>
          <t>Warsaw University of Life Sciences – SGGW (WULS-SGGW)</t>
        </is>
      </c>
      <c r="C2454" t="inlineStr">
        <is>
          <t>PO</t>
        </is>
      </c>
      <c r="D2454" t="inlineStr">
        <is>
          <t>Poland</t>
        </is>
      </c>
    </row>
    <row r="2455">
      <c r="A2455" t="inlineStr">
        <is>
          <t>U2454</t>
        </is>
      </c>
      <c r="B2455" t="inlineStr">
        <is>
          <t>Warsaw University of Technology</t>
        </is>
      </c>
      <c r="C2455" t="inlineStr">
        <is>
          <t>PO</t>
        </is>
      </c>
      <c r="D2455" t="inlineStr">
        <is>
          <t>Poland</t>
        </is>
      </c>
    </row>
    <row r="2456">
      <c r="A2456" t="inlineStr">
        <is>
          <t>U2455</t>
        </is>
      </c>
      <c r="B2456" t="inlineStr">
        <is>
          <t>Waseda University</t>
        </is>
      </c>
      <c r="C2456" t="inlineStr">
        <is>
          <t>JA</t>
        </is>
      </c>
      <c r="D2456" t="inlineStr">
        <is>
          <t>Japan</t>
        </is>
      </c>
    </row>
    <row r="2457">
      <c r="A2457" t="inlineStr">
        <is>
          <t>U2456</t>
        </is>
      </c>
      <c r="B2457" t="inlineStr">
        <is>
          <t>Washington State University</t>
        </is>
      </c>
      <c r="C2457" t="inlineStr">
        <is>
          <t>UN</t>
        </is>
      </c>
      <c r="D2457" t="inlineStr">
        <is>
          <t>United States</t>
        </is>
      </c>
    </row>
    <row r="2458">
      <c r="A2458" t="inlineStr">
        <is>
          <t>U2457</t>
        </is>
      </c>
      <c r="B2458" t="inlineStr">
        <is>
          <t>Washington University in St. Louis</t>
        </is>
      </c>
      <c r="C2458" t="inlineStr">
        <is>
          <t>UN</t>
        </is>
      </c>
      <c r="D2458" t="inlineStr">
        <is>
          <t>United States</t>
        </is>
      </c>
    </row>
    <row r="2459">
      <c r="A2459" t="inlineStr">
        <is>
          <t>U2458</t>
        </is>
      </c>
      <c r="B2459" t="inlineStr">
        <is>
          <t>Wayne State University</t>
        </is>
      </c>
      <c r="C2459" t="inlineStr">
        <is>
          <t>UN</t>
        </is>
      </c>
      <c r="D2459" t="inlineStr">
        <is>
          <t>United States</t>
        </is>
      </c>
    </row>
    <row r="2460">
      <c r="A2460" t="inlineStr">
        <is>
          <t>U2459</t>
        </is>
      </c>
      <c r="B2460" t="inlineStr">
        <is>
          <t>Wenzhou Medical University</t>
        </is>
      </c>
      <c r="C2460" t="inlineStr">
        <is>
          <t>CH</t>
        </is>
      </c>
      <c r="D2460" t="inlineStr">
        <is>
          <t>China</t>
        </is>
      </c>
    </row>
    <row r="2461">
      <c r="A2461" t="inlineStr">
        <is>
          <t>U2460</t>
        </is>
      </c>
      <c r="B2461" t="inlineStr">
        <is>
          <t>Wenzhou University</t>
        </is>
      </c>
      <c r="C2461" t="inlineStr">
        <is>
          <t>CH</t>
        </is>
      </c>
      <c r="D2461" t="inlineStr">
        <is>
          <t>China</t>
        </is>
      </c>
    </row>
    <row r="2462">
      <c r="A2462" t="inlineStr">
        <is>
          <t>U2461</t>
        </is>
      </c>
      <c r="B2462" t="inlineStr">
        <is>
          <t>West University of Timişoara</t>
        </is>
      </c>
      <c r="C2462" t="inlineStr">
        <is>
          <t>RO</t>
        </is>
      </c>
      <c r="D2462" t="inlineStr">
        <is>
          <t>Romania</t>
        </is>
      </c>
    </row>
    <row r="2463">
      <c r="A2463" t="inlineStr">
        <is>
          <t>U2462</t>
        </is>
      </c>
      <c r="B2463" t="inlineStr">
        <is>
          <t>West Virginia University</t>
        </is>
      </c>
      <c r="C2463" t="inlineStr">
        <is>
          <t>UN</t>
        </is>
      </c>
      <c r="D2463" t="inlineStr">
        <is>
          <t>United States</t>
        </is>
      </c>
    </row>
    <row r="2464">
      <c r="A2464" t="inlineStr">
        <is>
          <t>U2463</t>
        </is>
      </c>
      <c r="B2464" t="inlineStr">
        <is>
          <t>Western Michigan University</t>
        </is>
      </c>
      <c r="C2464" t="inlineStr">
        <is>
          <t>UN</t>
        </is>
      </c>
      <c r="D2464" t="inlineStr">
        <is>
          <t>United States</t>
        </is>
      </c>
    </row>
    <row r="2465">
      <c r="A2465" t="inlineStr">
        <is>
          <t>U2464</t>
        </is>
      </c>
      <c r="B2465" t="inlineStr">
        <is>
          <t xml:space="preserve"> Western Sydney University</t>
        </is>
      </c>
      <c r="C2465" t="inlineStr">
        <is>
          <t>AU</t>
        </is>
      </c>
      <c r="D2465" t="inlineStr">
        <is>
          <t>Australia</t>
        </is>
      </c>
    </row>
    <row r="2466">
      <c r="A2466" t="inlineStr">
        <is>
          <t>U2465</t>
        </is>
      </c>
      <c r="B2466" t="inlineStr">
        <is>
          <t>Western University</t>
        </is>
      </c>
      <c r="C2466" t="inlineStr">
        <is>
          <t>CA</t>
        </is>
      </c>
      <c r="D2466" t="inlineStr">
        <is>
          <t>Canada</t>
        </is>
      </c>
    </row>
    <row r="2467">
      <c r="A2467" t="inlineStr">
        <is>
          <t>U2466</t>
        </is>
      </c>
      <c r="B2467" t="inlineStr">
        <is>
          <t>Western Washington University</t>
        </is>
      </c>
      <c r="C2467" t="inlineStr">
        <is>
          <t>UN</t>
        </is>
      </c>
      <c r="D2467" t="inlineStr">
        <is>
          <t>United States</t>
        </is>
      </c>
    </row>
    <row r="2468">
      <c r="A2468" t="inlineStr">
        <is>
          <t>U2467</t>
        </is>
      </c>
      <c r="B2468" t="inlineStr">
        <is>
          <t xml:space="preserve">Westfälische Wilhelms-Universität Münster </t>
        </is>
      </c>
      <c r="C2468" t="inlineStr">
        <is>
          <t>GE</t>
        </is>
      </c>
      <c r="D2468" t="inlineStr">
        <is>
          <t>Germany</t>
        </is>
      </c>
    </row>
    <row r="2469">
      <c r="A2469" t="inlineStr">
        <is>
          <t>U2468</t>
        </is>
      </c>
      <c r="B2469" t="inlineStr">
        <is>
          <t>William &amp; Mary</t>
        </is>
      </c>
      <c r="C2469" t="inlineStr">
        <is>
          <t>UN</t>
        </is>
      </c>
      <c r="D2469" t="inlineStr">
        <is>
          <t>United States</t>
        </is>
      </c>
    </row>
    <row r="2470">
      <c r="A2470" t="inlineStr">
        <is>
          <t>U2469</t>
        </is>
      </c>
      <c r="B2470" t="inlineStr">
        <is>
          <t>Worcester Polytechnic Institute</t>
        </is>
      </c>
      <c r="C2470" t="inlineStr">
        <is>
          <t>UN</t>
        </is>
      </c>
      <c r="D2470" t="inlineStr">
        <is>
          <t>United States</t>
        </is>
      </c>
    </row>
    <row r="2471">
      <c r="A2471" t="inlineStr">
        <is>
          <t>U2470</t>
        </is>
      </c>
      <c r="B2471" t="inlineStr">
        <is>
          <t>Wrocław University of Environmental and Life Sciences</t>
        </is>
      </c>
      <c r="C2471" t="inlineStr">
        <is>
          <t>PO</t>
        </is>
      </c>
      <c r="D2471" t="inlineStr">
        <is>
          <t>Poland</t>
        </is>
      </c>
    </row>
    <row r="2472">
      <c r="A2472" t="inlineStr">
        <is>
          <t>U2471</t>
        </is>
      </c>
      <c r="B2472" t="inlineStr">
        <is>
          <t>Wrocław University of Science and Technology</t>
        </is>
      </c>
      <c r="C2472" t="inlineStr">
        <is>
          <t>PO</t>
        </is>
      </c>
      <c r="D2472" t="inlineStr">
        <is>
          <t>Poland</t>
        </is>
      </c>
    </row>
    <row r="2473">
      <c r="A2473" t="inlineStr">
        <is>
          <t>U2472</t>
        </is>
      </c>
      <c r="B2473" t="inlineStr">
        <is>
          <t>Wroclaw Medical University</t>
        </is>
      </c>
      <c r="C2473" t="inlineStr">
        <is>
          <t>PO</t>
        </is>
      </c>
      <c r="D2473" t="inlineStr">
        <is>
          <t>Poland</t>
        </is>
      </c>
    </row>
    <row r="2474">
      <c r="A2474" t="inlineStr">
        <is>
          <t>U2473</t>
        </is>
      </c>
      <c r="B2474" t="inlineStr">
        <is>
          <t>Wroclaw University of Science and Technology (WRUST)</t>
        </is>
      </c>
      <c r="C2474" t="inlineStr">
        <is>
          <t>PO</t>
        </is>
      </c>
      <c r="D2474" t="inlineStr">
        <is>
          <t>Poland</t>
        </is>
      </c>
    </row>
    <row r="2475">
      <c r="A2475" t="inlineStr">
        <is>
          <t>U2474</t>
        </is>
      </c>
      <c r="B2475" t="inlineStr">
        <is>
          <t>Wuhan Textile University</t>
        </is>
      </c>
      <c r="C2475" t="inlineStr">
        <is>
          <t>CH</t>
        </is>
      </c>
      <c r="D2475" t="inlineStr">
        <is>
          <t>China</t>
        </is>
      </c>
    </row>
    <row r="2476">
      <c r="A2476" t="inlineStr">
        <is>
          <t>U2475</t>
        </is>
      </c>
      <c r="B2476" t="inlineStr">
        <is>
          <t>Wuhan University</t>
        </is>
      </c>
      <c r="C2476" t="inlineStr">
        <is>
          <t>CH</t>
        </is>
      </c>
      <c r="D2476" t="inlineStr">
        <is>
          <t>China</t>
        </is>
      </c>
    </row>
    <row r="2477">
      <c r="A2477" t="inlineStr">
        <is>
          <t>U2476</t>
        </is>
      </c>
      <c r="B2477" t="inlineStr">
        <is>
          <t>Wuhan University of Technology</t>
        </is>
      </c>
      <c r="C2477" t="inlineStr">
        <is>
          <t>CH</t>
        </is>
      </c>
      <c r="D2477" t="inlineStr">
        <is>
          <t>China</t>
        </is>
      </c>
    </row>
    <row r="2478">
      <c r="A2478" t="inlineStr">
        <is>
          <t>U2477</t>
        </is>
      </c>
      <c r="B2478" t="inlineStr">
        <is>
          <t>Xi'an Jiaotong Liverpool University</t>
        </is>
      </c>
      <c r="C2478" t="inlineStr">
        <is>
          <t>CH</t>
        </is>
      </c>
      <c r="D2478" t="inlineStr">
        <is>
          <t>China</t>
        </is>
      </c>
    </row>
    <row r="2479">
      <c r="A2479" t="inlineStr">
        <is>
          <t>U2478</t>
        </is>
      </c>
      <c r="B2479" t="inlineStr">
        <is>
          <t>Xi’an Jiaotong University</t>
        </is>
      </c>
      <c r="C2479" t="inlineStr">
        <is>
          <t>CH</t>
        </is>
      </c>
      <c r="D2479" t="inlineStr">
        <is>
          <t>China</t>
        </is>
      </c>
    </row>
    <row r="2480">
      <c r="A2480" t="inlineStr">
        <is>
          <t>U2479</t>
        </is>
      </c>
      <c r="B2480" t="inlineStr">
        <is>
          <t>Xiamen University</t>
        </is>
      </c>
      <c r="C2480" t="inlineStr">
        <is>
          <t>CH</t>
        </is>
      </c>
      <c r="D2480" t="inlineStr">
        <is>
          <t>China</t>
        </is>
      </c>
    </row>
    <row r="2481">
      <c r="A2481" t="inlineStr">
        <is>
          <t>U2480</t>
        </is>
      </c>
      <c r="B2481" t="inlineStr">
        <is>
          <t>Xiangtan University</t>
        </is>
      </c>
      <c r="C2481" t="inlineStr">
        <is>
          <t>CH</t>
        </is>
      </c>
      <c r="D2481" t="inlineStr">
        <is>
          <t>China</t>
        </is>
      </c>
    </row>
    <row r="2482">
      <c r="A2482" t="inlineStr">
        <is>
          <t>U2481</t>
        </is>
      </c>
      <c r="B2482" t="inlineStr">
        <is>
          <t>Xidian University</t>
        </is>
      </c>
      <c r="C2482" t="inlineStr">
        <is>
          <t>CH</t>
        </is>
      </c>
      <c r="D2482" t="inlineStr">
        <is>
          <t>China</t>
        </is>
      </c>
    </row>
    <row r="2483">
      <c r="A2483" t="inlineStr">
        <is>
          <t>U2482</t>
        </is>
      </c>
      <c r="B2483" t="inlineStr">
        <is>
          <t>Xuzhou Medical University</t>
        </is>
      </c>
      <c r="C2483" t="inlineStr">
        <is>
          <t>CH</t>
        </is>
      </c>
      <c r="D2483" t="inlineStr">
        <is>
          <t>China</t>
        </is>
      </c>
    </row>
    <row r="2484">
      <c r="A2484" t="inlineStr">
        <is>
          <t>U2483</t>
        </is>
      </c>
      <c r="B2484" t="inlineStr">
        <is>
          <t>Yıldız Technical University</t>
        </is>
      </c>
      <c r="C2484" t="inlineStr">
        <is>
          <t>TU</t>
        </is>
      </c>
      <c r="D2484" t="inlineStr">
        <is>
          <t>Turkey</t>
        </is>
      </c>
    </row>
    <row r="2485">
      <c r="A2485" t="inlineStr">
        <is>
          <t>U2484</t>
        </is>
      </c>
      <c r="B2485" t="inlineStr">
        <is>
          <t>Yale University</t>
        </is>
      </c>
      <c r="C2485" t="inlineStr">
        <is>
          <t>UN</t>
        </is>
      </c>
      <c r="D2485" t="inlineStr">
        <is>
          <t>United States</t>
        </is>
      </c>
    </row>
    <row r="2486">
      <c r="A2486" t="inlineStr">
        <is>
          <t>U2485</t>
        </is>
      </c>
      <c r="B2486" t="inlineStr">
        <is>
          <t>Yamagata University</t>
        </is>
      </c>
      <c r="C2486" t="inlineStr">
        <is>
          <t>JA</t>
        </is>
      </c>
      <c r="D2486" t="inlineStr">
        <is>
          <t>Japan</t>
        </is>
      </c>
    </row>
    <row r="2487">
      <c r="A2487" t="inlineStr">
        <is>
          <t>U2486</t>
        </is>
      </c>
      <c r="B2487" t="inlineStr">
        <is>
          <t xml:space="preserve">Yamaguchi University </t>
        </is>
      </c>
      <c r="C2487" t="inlineStr">
        <is>
          <t>JA</t>
        </is>
      </c>
      <c r="D2487" t="inlineStr">
        <is>
          <t>Japan</t>
        </is>
      </c>
    </row>
    <row r="2488">
      <c r="A2488" t="inlineStr">
        <is>
          <t>U2487</t>
        </is>
      </c>
      <c r="B2488" t="inlineStr">
        <is>
          <t>Yangzhou University</t>
        </is>
      </c>
      <c r="C2488" t="inlineStr">
        <is>
          <t>CH</t>
        </is>
      </c>
      <c r="D2488" t="inlineStr">
        <is>
          <t>China</t>
        </is>
      </c>
    </row>
    <row r="2489">
      <c r="A2489" t="inlineStr">
        <is>
          <t>U2488</t>
        </is>
      </c>
      <c r="B2489" t="inlineStr">
        <is>
          <t>Yanshan University</t>
        </is>
      </c>
      <c r="C2489" t="inlineStr">
        <is>
          <t>CH</t>
        </is>
      </c>
      <c r="D2489" t="inlineStr">
        <is>
          <t>China</t>
        </is>
      </c>
    </row>
    <row r="2490">
      <c r="A2490" t="inlineStr">
        <is>
          <t>U2489</t>
        </is>
      </c>
      <c r="B2490" t="inlineStr">
        <is>
          <t>Yarmouk University</t>
        </is>
      </c>
      <c r="C2490" t="inlineStr">
        <is>
          <t>JO</t>
        </is>
      </c>
      <c r="D2490" t="inlineStr">
        <is>
          <t>Jordan</t>
        </is>
      </c>
    </row>
    <row r="2491">
      <c r="A2491" t="inlineStr">
        <is>
          <t>U2490</t>
        </is>
      </c>
      <c r="B2491" t="inlineStr">
        <is>
          <t>Yasouj University</t>
        </is>
      </c>
      <c r="C2491" t="inlineStr">
        <is>
          <t>IR</t>
        </is>
      </c>
      <c r="D2491" t="inlineStr">
        <is>
          <t>Iran</t>
        </is>
      </c>
    </row>
    <row r="2492">
      <c r="A2492" t="inlineStr">
        <is>
          <t>U2491</t>
        </is>
      </c>
      <c r="B2492" t="inlineStr">
        <is>
          <t>Yazd University</t>
        </is>
      </c>
      <c r="C2492" t="inlineStr">
        <is>
          <t>IR</t>
        </is>
      </c>
      <c r="D2492" t="inlineStr">
        <is>
          <t>Iran</t>
        </is>
      </c>
    </row>
    <row r="2493">
      <c r="A2493" t="inlineStr">
        <is>
          <t>U2492</t>
        </is>
      </c>
      <c r="B2493" t="inlineStr">
        <is>
          <t>Yeditepe University</t>
        </is>
      </c>
      <c r="C2493" t="inlineStr">
        <is>
          <t>TU</t>
        </is>
      </c>
      <c r="D2493" t="inlineStr">
        <is>
          <t>Turkey</t>
        </is>
      </c>
    </row>
    <row r="2494">
      <c r="A2494" t="inlineStr">
        <is>
          <t>U2493</t>
        </is>
      </c>
      <c r="B2494" t="inlineStr">
        <is>
          <t>Yerevan State University</t>
        </is>
      </c>
      <c r="C2494" t="inlineStr">
        <is>
          <t>AR</t>
        </is>
      </c>
      <c r="D2494" t="inlineStr">
        <is>
          <t>Armenia</t>
        </is>
      </c>
    </row>
    <row r="2495">
      <c r="A2495" t="inlineStr">
        <is>
          <t>U2494</t>
        </is>
      </c>
      <c r="B2495" t="inlineStr">
        <is>
          <t>Yeshiva University</t>
        </is>
      </c>
      <c r="C2495" t="inlineStr">
        <is>
          <t>UN</t>
        </is>
      </c>
      <c r="D2495" t="inlineStr">
        <is>
          <t>United States</t>
        </is>
      </c>
    </row>
    <row r="2496">
      <c r="A2496" t="inlineStr">
        <is>
          <t>U2495</t>
        </is>
      </c>
      <c r="B2496" t="inlineStr">
        <is>
          <t xml:space="preserve">Yeungnam University </t>
        </is>
      </c>
      <c r="C2496" t="inlineStr">
        <is>
          <t>SO</t>
        </is>
      </c>
      <c r="D2496" t="inlineStr">
        <is>
          <t>South Korea</t>
        </is>
      </c>
    </row>
    <row r="2497">
      <c r="A2497" t="inlineStr">
        <is>
          <t>U2496</t>
        </is>
      </c>
      <c r="B2497" t="inlineStr">
        <is>
          <t>Yildiz Technical University</t>
        </is>
      </c>
      <c r="C2497" t="inlineStr">
        <is>
          <t>TU</t>
        </is>
      </c>
      <c r="D2497" t="inlineStr">
        <is>
          <t>Turkey</t>
        </is>
      </c>
    </row>
    <row r="2498">
      <c r="A2498" t="inlineStr">
        <is>
          <t>U2497</t>
        </is>
      </c>
      <c r="B2498" t="inlineStr">
        <is>
          <t>Yogyakarta State University</t>
        </is>
      </c>
      <c r="C2498" t="inlineStr">
        <is>
          <t>IN</t>
        </is>
      </c>
      <c r="D2498" t="inlineStr">
        <is>
          <t>Indonesia</t>
        </is>
      </c>
    </row>
    <row r="2499">
      <c r="A2499" t="inlineStr">
        <is>
          <t>U2498</t>
        </is>
      </c>
      <c r="B2499" t="inlineStr">
        <is>
          <t>Yokohama City University</t>
        </is>
      </c>
      <c r="C2499" t="inlineStr">
        <is>
          <t>JA</t>
        </is>
      </c>
      <c r="D2499" t="inlineStr">
        <is>
          <t>Japan</t>
        </is>
      </c>
    </row>
    <row r="2500">
      <c r="A2500" t="inlineStr">
        <is>
          <t>U2499</t>
        </is>
      </c>
      <c r="B2500" t="inlineStr">
        <is>
          <t>Yokohama National University</t>
        </is>
      </c>
      <c r="C2500" t="inlineStr">
        <is>
          <t>JA</t>
        </is>
      </c>
      <c r="D2500" t="inlineStr">
        <is>
          <t>Japan</t>
        </is>
      </c>
    </row>
    <row r="2501">
      <c r="A2501" t="inlineStr">
        <is>
          <t>U2500</t>
        </is>
      </c>
      <c r="B2501" t="inlineStr">
        <is>
          <t>Yonsei University</t>
        </is>
      </c>
      <c r="C2501" t="inlineStr">
        <is>
          <t>SO</t>
        </is>
      </c>
      <c r="D2501" t="inlineStr">
        <is>
          <t>South Korea</t>
        </is>
      </c>
    </row>
    <row r="2502">
      <c r="A2502" t="inlineStr">
        <is>
          <t>U2501</t>
        </is>
      </c>
      <c r="B2502" t="inlineStr">
        <is>
          <t>York University</t>
        </is>
      </c>
      <c r="C2502" t="inlineStr">
        <is>
          <t>CA</t>
        </is>
      </c>
      <c r="D2502" t="inlineStr">
        <is>
          <t>Canada</t>
        </is>
      </c>
    </row>
    <row r="2503">
      <c r="A2503" t="inlineStr">
        <is>
          <t>U2502</t>
        </is>
      </c>
      <c r="B2503" t="inlineStr">
        <is>
          <t>Youngsan University</t>
        </is>
      </c>
      <c r="C2503" t="inlineStr">
        <is>
          <t>SO</t>
        </is>
      </c>
      <c r="D2503" t="inlineStr">
        <is>
          <t>South Korea</t>
        </is>
      </c>
    </row>
    <row r="2504">
      <c r="A2504" t="inlineStr">
        <is>
          <t>U2503</t>
        </is>
      </c>
      <c r="B2504" t="inlineStr">
        <is>
          <t>Yuan Ze University</t>
        </is>
      </c>
      <c r="C2504" t="inlineStr">
        <is>
          <t>TA</t>
        </is>
      </c>
      <c r="D2504" t="inlineStr">
        <is>
          <t>Taiwan</t>
        </is>
      </c>
    </row>
    <row r="2505">
      <c r="A2505" t="inlineStr">
        <is>
          <t>U2504</t>
        </is>
      </c>
      <c r="B2505" t="inlineStr">
        <is>
          <t>Yuriy Fedkovych Chernivtsi National University</t>
        </is>
      </c>
      <c r="C2505" t="inlineStr">
        <is>
          <t>UK</t>
        </is>
      </c>
      <c r="D2505" t="inlineStr">
        <is>
          <t>Ukraine</t>
        </is>
      </c>
    </row>
    <row r="2506">
      <c r="A2506" t="inlineStr">
        <is>
          <t>U2505</t>
        </is>
      </c>
      <c r="B2506" t="inlineStr">
        <is>
          <t>Zagazig University</t>
        </is>
      </c>
      <c r="C2506" t="inlineStr">
        <is>
          <t>EG</t>
        </is>
      </c>
      <c r="D2506" t="inlineStr">
        <is>
          <t>Egypt</t>
        </is>
      </c>
    </row>
    <row r="2507">
      <c r="A2507" t="inlineStr">
        <is>
          <t>U2506</t>
        </is>
      </c>
      <c r="B2507" t="inlineStr">
        <is>
          <t>Zanjan University of Medical Sciences</t>
        </is>
      </c>
      <c r="C2507" t="inlineStr">
        <is>
          <t>IR</t>
        </is>
      </c>
      <c r="D2507" t="inlineStr">
        <is>
          <t>Iran</t>
        </is>
      </c>
    </row>
    <row r="2508">
      <c r="A2508" t="inlineStr">
        <is>
          <t>U2507</t>
        </is>
      </c>
      <c r="B2508" t="inlineStr">
        <is>
          <t>Zayed University</t>
        </is>
      </c>
      <c r="C2508" t="inlineStr">
        <is>
          <t>UN</t>
        </is>
      </c>
      <c r="D2508" t="inlineStr">
        <is>
          <t>United Arab Emirates</t>
        </is>
      </c>
    </row>
    <row r="2509">
      <c r="A2509" t="inlineStr">
        <is>
          <t>U2508</t>
        </is>
      </c>
      <c r="B2509" t="inlineStr">
        <is>
          <t>Zewail City of Science and Technology</t>
        </is>
      </c>
      <c r="C2509" t="inlineStr">
        <is>
          <t>EG</t>
        </is>
      </c>
      <c r="D2509" t="inlineStr">
        <is>
          <t>Egypt</t>
        </is>
      </c>
    </row>
    <row r="2510">
      <c r="A2510" t="inlineStr">
        <is>
          <t>U2509</t>
        </is>
      </c>
      <c r="B2510" t="inlineStr">
        <is>
          <t>ZHAW Zurich University of Applied Sciences</t>
        </is>
      </c>
      <c r="C2510" t="inlineStr">
        <is>
          <t>SW</t>
        </is>
      </c>
      <c r="D2510" t="inlineStr">
        <is>
          <t>Switzerland</t>
        </is>
      </c>
    </row>
    <row r="2511">
      <c r="A2511" t="inlineStr">
        <is>
          <t>U2510</t>
        </is>
      </c>
      <c r="B2511" t="inlineStr">
        <is>
          <t>Zhejiang Chinese Medical University</t>
        </is>
      </c>
      <c r="C2511" t="inlineStr">
        <is>
          <t>CH</t>
        </is>
      </c>
      <c r="D2511" t="inlineStr">
        <is>
          <t>China</t>
        </is>
      </c>
    </row>
    <row r="2512">
      <c r="A2512" t="inlineStr">
        <is>
          <t>U2511</t>
        </is>
      </c>
      <c r="B2512" t="inlineStr">
        <is>
          <t>Zhejiang Gongshang University</t>
        </is>
      </c>
      <c r="C2512" t="inlineStr">
        <is>
          <t>CH</t>
        </is>
      </c>
      <c r="D2512" t="inlineStr">
        <is>
          <t>China</t>
        </is>
      </c>
    </row>
    <row r="2513">
      <c r="A2513" t="inlineStr">
        <is>
          <t>U2512</t>
        </is>
      </c>
      <c r="B2513" t="inlineStr">
        <is>
          <t>Zhejiang Normal University</t>
        </is>
      </c>
      <c r="C2513" t="inlineStr">
        <is>
          <t>CH</t>
        </is>
      </c>
      <c r="D2513" t="inlineStr">
        <is>
          <t>China</t>
        </is>
      </c>
    </row>
    <row r="2514">
      <c r="A2514" t="inlineStr">
        <is>
          <t>U2513</t>
        </is>
      </c>
      <c r="B2514" t="inlineStr">
        <is>
          <t>Zhejiang University</t>
        </is>
      </c>
      <c r="C2514" t="inlineStr">
        <is>
          <t>CH</t>
        </is>
      </c>
      <c r="D2514" t="inlineStr">
        <is>
          <t>China</t>
        </is>
      </c>
    </row>
    <row r="2515">
      <c r="A2515" t="inlineStr">
        <is>
          <t>U2514</t>
        </is>
      </c>
      <c r="B2515" t="inlineStr">
        <is>
          <t>Zhejiang University of Finance and Economics</t>
        </is>
      </c>
      <c r="C2515" t="inlineStr">
        <is>
          <t>CH</t>
        </is>
      </c>
      <c r="D2515" t="inlineStr">
        <is>
          <t>China</t>
        </is>
      </c>
    </row>
    <row r="2516">
      <c r="A2516" t="inlineStr">
        <is>
          <t>U2515</t>
        </is>
      </c>
      <c r="B2516" t="inlineStr">
        <is>
          <t>Zhengzhou University</t>
        </is>
      </c>
      <c r="C2516" t="inlineStr">
        <is>
          <t>CH</t>
        </is>
      </c>
      <c r="D2516" t="inlineStr">
        <is>
          <t>China</t>
        </is>
      </c>
    </row>
    <row r="2517">
      <c r="A2517" t="inlineStr">
        <is>
          <t>U2516</t>
        </is>
      </c>
      <c r="B2517" t="inlineStr">
        <is>
          <t>Zonguldak Bülent Ecevit University</t>
        </is>
      </c>
      <c r="C2517" t="inlineStr">
        <is>
          <t>TU</t>
        </is>
      </c>
      <c r="D2517" t="inlineStr">
        <is>
          <t>Turkey</t>
        </is>
      </c>
    </row>
    <row r="2518">
      <c r="A2518" t="inlineStr">
        <is>
          <t>U2517</t>
        </is>
      </c>
      <c r="B2518" t="inlineStr">
        <is>
          <t>Zurich University of Applied Sciences (ZHAW)</t>
        </is>
      </c>
      <c r="C2518" t="inlineStr">
        <is>
          <t>SW</t>
        </is>
      </c>
      <c r="D2518" t="inlineStr">
        <is>
          <t>Switzerland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country_id</t>
        </is>
      </c>
      <c r="B1" t="inlineStr">
        <is>
          <t>Country</t>
        </is>
      </c>
    </row>
    <row r="2">
      <c r="A2" t="inlineStr">
        <is>
          <t>DE</t>
        </is>
      </c>
      <c r="B2" t="inlineStr">
        <is>
          <t>Denmark</t>
        </is>
      </c>
    </row>
    <row r="3">
      <c r="A3" t="inlineStr">
        <is>
          <t>FI</t>
        </is>
      </c>
      <c r="B3" t="inlineStr">
        <is>
          <t>Finland</t>
        </is>
      </c>
    </row>
    <row r="4">
      <c r="A4" t="inlineStr">
        <is>
          <t>KA</t>
        </is>
      </c>
      <c r="B4" t="inlineStr">
        <is>
          <t>Kazakhstan</t>
        </is>
      </c>
    </row>
    <row r="5">
      <c r="A5" t="inlineStr">
        <is>
          <t>MO</t>
        </is>
      </c>
      <c r="B5" t="inlineStr">
        <is>
          <t>Morocco</t>
        </is>
      </c>
    </row>
    <row r="6">
      <c r="A6" t="inlineStr">
        <is>
          <t>PA</t>
        </is>
      </c>
      <c r="B6" t="inlineStr">
        <is>
          <t>Pakistan</t>
        </is>
      </c>
    </row>
    <row r="7">
      <c r="A7" t="inlineStr">
        <is>
          <t>UN</t>
        </is>
      </c>
      <c r="B7" t="inlineStr">
        <is>
          <t>United Kingdom</t>
        </is>
      </c>
    </row>
    <row r="8">
      <c r="A8" t="inlineStr">
        <is>
          <t>UN</t>
        </is>
      </c>
      <c r="B8" t="inlineStr">
        <is>
          <t>United Arab Emirates</t>
        </is>
      </c>
    </row>
    <row r="9">
      <c r="A9" t="inlineStr">
        <is>
          <t>TU</t>
        </is>
      </c>
      <c r="B9" t="inlineStr">
        <is>
          <t>Turkey</t>
        </is>
      </c>
    </row>
    <row r="10">
      <c r="A10" t="inlineStr">
        <is>
          <t>IN</t>
        </is>
      </c>
      <c r="B10" t="inlineStr">
        <is>
          <t>India</t>
        </is>
      </c>
    </row>
    <row r="11">
      <c r="A11" t="inlineStr">
        <is>
          <t>PO</t>
        </is>
      </c>
      <c r="B11" t="inlineStr">
        <is>
          <t>Poland</t>
        </is>
      </c>
    </row>
    <row r="12">
      <c r="A12" t="inlineStr">
        <is>
          <t>ET</t>
        </is>
      </c>
      <c r="B12" t="inlineStr">
        <is>
          <t>Ethiopia</t>
        </is>
      </c>
    </row>
    <row r="13">
      <c r="A13" t="inlineStr">
        <is>
          <t>UN</t>
        </is>
      </c>
      <c r="B13" t="inlineStr">
        <is>
          <t>United States</t>
        </is>
      </c>
    </row>
    <row r="14">
      <c r="A14" t="inlineStr">
        <is>
          <t>CH</t>
        </is>
      </c>
      <c r="B14" t="inlineStr">
        <is>
          <t>Chile</t>
        </is>
      </c>
    </row>
    <row r="15">
      <c r="A15" t="inlineStr">
        <is>
          <t>NI</t>
        </is>
      </c>
      <c r="B15" t="inlineStr">
        <is>
          <t>Nigeria</t>
        </is>
      </c>
    </row>
    <row r="16">
      <c r="A16" t="inlineStr">
        <is>
          <t>BA</t>
        </is>
      </c>
      <c r="B16" t="inlineStr">
        <is>
          <t>Bahrain</t>
        </is>
      </c>
    </row>
    <row r="17">
      <c r="A17" t="inlineStr">
        <is>
          <t>IR</t>
        </is>
      </c>
      <c r="B17" t="inlineStr">
        <is>
          <t>Iran</t>
        </is>
      </c>
    </row>
    <row r="18">
      <c r="A18" t="inlineStr">
        <is>
          <t>JA</t>
        </is>
      </c>
      <c r="B18" t="inlineStr">
        <is>
          <t>Japan</t>
        </is>
      </c>
    </row>
    <row r="19">
      <c r="A19" t="inlineStr">
        <is>
          <t>EG</t>
        </is>
      </c>
      <c r="B19" t="inlineStr">
        <is>
          <t>Egypt</t>
        </is>
      </c>
    </row>
    <row r="20">
      <c r="A20" t="inlineStr">
        <is>
          <t>IN</t>
        </is>
      </c>
      <c r="B20" t="inlineStr">
        <is>
          <t>Indonesia</t>
        </is>
      </c>
    </row>
    <row r="21">
      <c r="A21" t="inlineStr">
        <is>
          <t>FR</t>
        </is>
      </c>
      <c r="B21" t="inlineStr">
        <is>
          <t>France</t>
        </is>
      </c>
    </row>
    <row r="22">
      <c r="A22" t="inlineStr">
        <is>
          <t>SO</t>
        </is>
      </c>
      <c r="B22" t="inlineStr">
        <is>
          <t>South Korea</t>
        </is>
      </c>
    </row>
    <row r="23">
      <c r="A23" t="inlineStr">
        <is>
          <t>JO</t>
        </is>
      </c>
      <c r="B23" t="inlineStr">
        <is>
          <t>Jordan</t>
        </is>
      </c>
    </row>
    <row r="24">
      <c r="A24" t="inlineStr">
        <is>
          <t>IR</t>
        </is>
      </c>
      <c r="B24" t="inlineStr">
        <is>
          <t>Iraq</t>
        </is>
      </c>
    </row>
    <row r="25">
      <c r="A25" t="inlineStr">
        <is>
          <t>PA</t>
        </is>
      </c>
      <c r="B25" t="inlineStr">
        <is>
          <t>Palestine</t>
        </is>
      </c>
    </row>
    <row r="26">
      <c r="A26" t="inlineStr">
        <is>
          <t>GE</t>
        </is>
      </c>
      <c r="B26" t="inlineStr">
        <is>
          <t>Germany</t>
        </is>
      </c>
    </row>
    <row r="27">
      <c r="A27" t="inlineStr">
        <is>
          <t>RO</t>
        </is>
      </c>
      <c r="B27" t="inlineStr">
        <is>
          <t>Romania</t>
        </is>
      </c>
    </row>
    <row r="28">
      <c r="A28" t="inlineStr">
        <is>
          <t>SA</t>
        </is>
      </c>
      <c r="B28" t="inlineStr">
        <is>
          <t>Saudi Arabia</t>
        </is>
      </c>
    </row>
    <row r="29">
      <c r="A29" t="inlineStr">
        <is>
          <t>IT</t>
        </is>
      </c>
      <c r="B29" t="inlineStr">
        <is>
          <t>Italy</t>
        </is>
      </c>
    </row>
    <row r="30">
      <c r="A30" t="inlineStr">
        <is>
          <t>RU</t>
        </is>
      </c>
      <c r="B30" t="inlineStr">
        <is>
          <t>Russian Federation</t>
        </is>
      </c>
    </row>
    <row r="31">
      <c r="A31" t="inlineStr">
        <is>
          <t>LE</t>
        </is>
      </c>
      <c r="B31" t="inlineStr">
        <is>
          <t>Lebanon</t>
        </is>
      </c>
    </row>
    <row r="32">
      <c r="A32" t="inlineStr">
        <is>
          <t>KU</t>
        </is>
      </c>
      <c r="B32" t="inlineStr">
        <is>
          <t>Kuwait</t>
        </is>
      </c>
    </row>
    <row r="33">
      <c r="A33" t="inlineStr">
        <is>
          <t>CO</t>
        </is>
      </c>
      <c r="B33" t="inlineStr">
        <is>
          <t>Colombia</t>
        </is>
      </c>
    </row>
    <row r="34">
      <c r="A34" t="inlineStr">
        <is>
          <t>IS</t>
        </is>
      </c>
      <c r="B34" t="inlineStr">
        <is>
          <t>Israel</t>
        </is>
      </c>
    </row>
    <row r="35">
      <c r="A35" t="inlineStr">
        <is>
          <t>GR</t>
        </is>
      </c>
      <c r="B35" t="inlineStr">
        <is>
          <t>Greece</t>
        </is>
      </c>
    </row>
    <row r="36">
      <c r="A36" t="inlineStr">
        <is>
          <t>MA</t>
        </is>
      </c>
      <c r="B36" t="inlineStr">
        <is>
          <t>Malaysia</t>
        </is>
      </c>
    </row>
    <row r="37">
      <c r="A37" t="inlineStr">
        <is>
          <t>TA</t>
        </is>
      </c>
      <c r="B37" t="inlineStr">
        <is>
          <t>Taiwan</t>
        </is>
      </c>
    </row>
    <row r="38">
      <c r="A38" t="inlineStr">
        <is>
          <t>PH</t>
        </is>
      </c>
      <c r="B38" t="inlineStr">
        <is>
          <t>Philippines</t>
        </is>
      </c>
    </row>
    <row r="39">
      <c r="A39" t="inlineStr">
        <is>
          <t>NE</t>
        </is>
      </c>
      <c r="B39" t="inlineStr">
        <is>
          <t>New Zealand</t>
        </is>
      </c>
    </row>
    <row r="40">
      <c r="A40" t="inlineStr">
        <is>
          <t>AU</t>
        </is>
      </c>
      <c r="B40" t="inlineStr">
        <is>
          <t>Australia</t>
        </is>
      </c>
    </row>
    <row r="41">
      <c r="A41" t="inlineStr">
        <is>
          <t>ME</t>
        </is>
      </c>
      <c r="B41" t="inlineStr">
        <is>
          <t>Mexico</t>
        </is>
      </c>
    </row>
    <row r="42">
      <c r="A42" t="inlineStr">
        <is>
          <t>SP</t>
        </is>
      </c>
      <c r="B42" t="inlineStr">
        <is>
          <t>Spain</t>
        </is>
      </c>
    </row>
    <row r="43">
      <c r="A43" t="inlineStr">
        <is>
          <t>AZ</t>
        </is>
      </c>
      <c r="B43" t="inlineStr">
        <is>
          <t>Azerbaijan</t>
        </is>
      </c>
    </row>
    <row r="44">
      <c r="A44" t="inlineStr">
        <is>
          <t>AL</t>
        </is>
      </c>
      <c r="B44" t="inlineStr">
        <is>
          <t>Algeria</t>
        </is>
      </c>
    </row>
    <row r="45">
      <c r="A45" t="inlineStr">
        <is>
          <t>BA</t>
        </is>
      </c>
      <c r="B45" t="inlineStr">
        <is>
          <t>Bangladesh</t>
        </is>
      </c>
    </row>
    <row r="46">
      <c r="A46" t="inlineStr">
        <is>
          <t>CH</t>
        </is>
      </c>
      <c r="B46" t="inlineStr">
        <is>
          <t>China</t>
        </is>
      </c>
    </row>
    <row r="47">
      <c r="A47" t="inlineStr">
        <is>
          <t>BE</t>
        </is>
      </c>
      <c r="B47" t="inlineStr">
        <is>
          <t>Belarus</t>
        </is>
      </c>
    </row>
    <row r="48">
      <c r="A48" t="inlineStr">
        <is>
          <t>BO</t>
        </is>
      </c>
      <c r="B48" t="inlineStr">
        <is>
          <t>Botswana</t>
        </is>
      </c>
    </row>
    <row r="49">
      <c r="A49" t="inlineStr">
        <is>
          <t>CZ</t>
        </is>
      </c>
      <c r="B49" t="inlineStr">
        <is>
          <t>Czech Republic</t>
        </is>
      </c>
    </row>
    <row r="50">
      <c r="A50" t="inlineStr">
        <is>
          <t>CA</t>
        </is>
      </c>
      <c r="B50" t="inlineStr">
        <is>
          <t>Canada</t>
        </is>
      </c>
    </row>
    <row r="51">
      <c r="A51" t="inlineStr">
        <is>
          <t>HU</t>
        </is>
      </c>
      <c r="B51" t="inlineStr">
        <is>
          <t>Hungary</t>
        </is>
      </c>
    </row>
    <row r="52">
      <c r="A52" t="inlineStr">
        <is>
          <t>TH</t>
        </is>
      </c>
      <c r="B52" t="inlineStr">
        <is>
          <t>Thailand</t>
        </is>
      </c>
    </row>
    <row r="53">
      <c r="A53" t="inlineStr">
        <is>
          <t>AR</t>
        </is>
      </c>
      <c r="B53" t="inlineStr">
        <is>
          <t>Argentina</t>
        </is>
      </c>
    </row>
    <row r="54">
      <c r="A54" t="inlineStr">
        <is>
          <t>BR</t>
        </is>
      </c>
      <c r="B54" t="inlineStr">
        <is>
          <t>Brazil</t>
        </is>
      </c>
    </row>
    <row r="55">
      <c r="A55" t="inlineStr">
        <is>
          <t>PO</t>
        </is>
      </c>
      <c r="B55" t="inlineStr">
        <is>
          <t>Portugal</t>
        </is>
      </c>
    </row>
    <row r="56">
      <c r="A56" t="inlineStr">
        <is>
          <t>SW</t>
        </is>
      </c>
      <c r="B56" t="inlineStr">
        <is>
          <t>Sweden</t>
        </is>
      </c>
    </row>
    <row r="57">
      <c r="A57" t="inlineStr">
        <is>
          <t>HO</t>
        </is>
      </c>
      <c r="B57" t="inlineStr">
        <is>
          <t>Hong Kong</t>
        </is>
      </c>
    </row>
    <row r="58">
      <c r="A58" t="inlineStr">
        <is>
          <t>SW</t>
        </is>
      </c>
      <c r="B58" t="inlineStr">
        <is>
          <t>Switzerland</t>
        </is>
      </c>
    </row>
    <row r="59">
      <c r="A59" t="inlineStr">
        <is>
          <t>SL</t>
        </is>
      </c>
      <c r="B59" t="inlineStr">
        <is>
          <t>Slovakia</t>
        </is>
      </c>
    </row>
    <row r="60">
      <c r="A60" t="inlineStr">
        <is>
          <t>CY</t>
        </is>
      </c>
      <c r="B60" t="inlineStr">
        <is>
          <t>Cyprus</t>
        </is>
      </c>
    </row>
    <row r="61">
      <c r="A61" t="inlineStr">
        <is>
          <t>SY</t>
        </is>
      </c>
      <c r="B61" t="inlineStr">
        <is>
          <t>Syria</t>
        </is>
      </c>
    </row>
    <row r="62">
      <c r="A62" t="inlineStr">
        <is>
          <t>NE</t>
        </is>
      </c>
      <c r="B62" t="inlineStr">
        <is>
          <t>Netherlands</t>
        </is>
      </c>
    </row>
    <row r="63">
      <c r="A63" t="inlineStr">
        <is>
          <t>IR</t>
        </is>
      </c>
      <c r="B63" t="inlineStr">
        <is>
          <t>Ireland</t>
        </is>
      </c>
    </row>
    <row r="64">
      <c r="A64" t="inlineStr">
        <is>
          <t>SO</t>
        </is>
      </c>
      <c r="B64" t="inlineStr">
        <is>
          <t>South Africa</t>
        </is>
      </c>
    </row>
    <row r="65">
      <c r="A65" t="inlineStr">
        <is>
          <t>VI</t>
        </is>
      </c>
      <c r="B65" t="inlineStr">
        <is>
          <t>Vietnam</t>
        </is>
      </c>
    </row>
    <row r="66">
      <c r="A66" t="inlineStr">
        <is>
          <t>NO</t>
        </is>
      </c>
      <c r="B66" t="inlineStr">
        <is>
          <t>Northern Cyprus</t>
        </is>
      </c>
    </row>
    <row r="67">
      <c r="A67" t="inlineStr">
        <is>
          <t>EC</t>
        </is>
      </c>
      <c r="B67" t="inlineStr">
        <is>
          <t>Ecuador</t>
        </is>
      </c>
    </row>
    <row r="68">
      <c r="A68" t="inlineStr">
        <is>
          <t>GE</t>
        </is>
      </c>
      <c r="B68" t="inlineStr">
        <is>
          <t>Georgia</t>
        </is>
      </c>
    </row>
    <row r="69">
      <c r="A69" t="inlineStr">
        <is>
          <t>BE</t>
        </is>
      </c>
      <c r="B69" t="inlineStr">
        <is>
          <t>Belgium</t>
        </is>
      </c>
    </row>
    <row r="70">
      <c r="A70" t="inlineStr">
        <is>
          <t>AU</t>
        </is>
      </c>
      <c r="B70" t="inlineStr">
        <is>
          <t>Austria</t>
        </is>
      </c>
    </row>
    <row r="71">
      <c r="A71" t="inlineStr">
        <is>
          <t>QA</t>
        </is>
      </c>
      <c r="B71" t="inlineStr">
        <is>
          <t>Qatar</t>
        </is>
      </c>
    </row>
    <row r="72">
      <c r="A72" t="inlineStr">
        <is>
          <t>DO</t>
        </is>
      </c>
      <c r="B72" t="inlineStr">
        <is>
          <t>Dominican Republic</t>
        </is>
      </c>
    </row>
    <row r="73">
      <c r="A73" t="inlineStr">
        <is>
          <t>UK</t>
        </is>
      </c>
      <c r="B73" t="inlineStr">
        <is>
          <t>Ukraine</t>
        </is>
      </c>
    </row>
    <row r="74">
      <c r="A74" t="inlineStr">
        <is>
          <t>CR</t>
        </is>
      </c>
      <c r="B74" t="inlineStr">
        <is>
          <t>Croatia</t>
        </is>
      </c>
    </row>
    <row r="75">
      <c r="A75" t="inlineStr">
        <is>
          <t>LI</t>
        </is>
      </c>
      <c r="B75" t="inlineStr">
        <is>
          <t>Lithuania</t>
        </is>
      </c>
    </row>
    <row r="76">
      <c r="A76" t="inlineStr">
        <is>
          <t>KE</t>
        </is>
      </c>
      <c r="B76" t="inlineStr">
        <is>
          <t>Kenya</t>
        </is>
      </c>
    </row>
    <row r="77">
      <c r="A77" t="inlineStr">
        <is>
          <t>GH</t>
        </is>
      </c>
      <c r="B77" t="inlineStr">
        <is>
          <t>Ghana</t>
        </is>
      </c>
    </row>
    <row r="78">
      <c r="A78" t="inlineStr">
        <is>
          <t>KY</t>
        </is>
      </c>
      <c r="B78" t="inlineStr">
        <is>
          <t>Kyrgyzstan</t>
        </is>
      </c>
    </row>
    <row r="79">
      <c r="A79" t="inlineStr">
        <is>
          <t>LA</t>
        </is>
      </c>
      <c r="B79" t="inlineStr">
        <is>
          <t>Latvia</t>
        </is>
      </c>
    </row>
    <row r="80">
      <c r="A80" t="inlineStr">
        <is>
          <t>MA</t>
        </is>
      </c>
      <c r="B80" t="inlineStr">
        <is>
          <t>Macao</t>
        </is>
      </c>
    </row>
    <row r="81">
      <c r="A81" t="inlineStr">
        <is>
          <t>UG</t>
        </is>
      </c>
      <c r="B81" t="inlineStr">
        <is>
          <t>Uganda</t>
        </is>
      </c>
    </row>
    <row r="82">
      <c r="A82" t="inlineStr">
        <is>
          <t>BU</t>
        </is>
      </c>
      <c r="B82" t="inlineStr">
        <is>
          <t>Bulgaria</t>
        </is>
      </c>
    </row>
    <row r="83">
      <c r="A83" t="inlineStr">
        <is>
          <t>TA</t>
        </is>
      </c>
      <c r="B83" t="inlineStr">
        <is>
          <t>Tanzania</t>
        </is>
      </c>
    </row>
    <row r="84">
      <c r="A84" t="inlineStr">
        <is>
          <t>SI</t>
        </is>
      </c>
      <c r="B84" t="inlineStr">
        <is>
          <t>Singapore</t>
        </is>
      </c>
    </row>
    <row r="85">
      <c r="A85" t="inlineStr">
        <is>
          <t>CO</t>
        </is>
      </c>
      <c r="B85" t="inlineStr">
        <is>
          <t>Costa Rica</t>
        </is>
      </c>
    </row>
    <row r="86">
      <c r="A86" t="inlineStr">
        <is>
          <t>UZ</t>
        </is>
      </c>
      <c r="B86" t="inlineStr">
        <is>
          <t>Uzbekistan</t>
        </is>
      </c>
    </row>
    <row r="87">
      <c r="A87" t="inlineStr">
        <is>
          <t>NO</t>
        </is>
      </c>
      <c r="B87" t="inlineStr">
        <is>
          <t>Norway</t>
        </is>
      </c>
    </row>
    <row r="88">
      <c r="A88" t="inlineStr">
        <is>
          <t>PE</t>
        </is>
      </c>
      <c r="B88" t="inlineStr">
        <is>
          <t>Peru</t>
        </is>
      </c>
    </row>
    <row r="89">
      <c r="A89" t="inlineStr">
        <is>
          <t>IC</t>
        </is>
      </c>
      <c r="B89" t="inlineStr">
        <is>
          <t>Iceland</t>
        </is>
      </c>
    </row>
    <row r="90">
      <c r="A90" t="inlineStr">
        <is>
          <t>NO</t>
        </is>
      </c>
      <c r="B90" t="inlineStr">
        <is>
          <t>North Macedonia</t>
        </is>
      </c>
    </row>
    <row r="91">
      <c r="A91" t="inlineStr">
        <is>
          <t>OM</t>
        </is>
      </c>
      <c r="B91" t="inlineStr">
        <is>
          <t>Oman</t>
        </is>
      </c>
    </row>
    <row r="92">
      <c r="A92" t="inlineStr">
        <is>
          <t>ES</t>
        </is>
      </c>
      <c r="B92" t="inlineStr">
        <is>
          <t>Estonia</t>
        </is>
      </c>
    </row>
    <row r="93">
      <c r="A93" t="inlineStr">
        <is>
          <t>NE</t>
        </is>
      </c>
      <c r="B93" t="inlineStr">
        <is>
          <t>Nepal</t>
        </is>
      </c>
    </row>
    <row r="94">
      <c r="A94" t="inlineStr">
        <is>
          <t>VE</t>
        </is>
      </c>
      <c r="B94" t="inlineStr">
        <is>
          <t>Venezuela</t>
        </is>
      </c>
    </row>
    <row r="95">
      <c r="A95" t="inlineStr">
        <is>
          <t>BO</t>
        </is>
      </c>
      <c r="B95" t="inlineStr">
        <is>
          <t>Bolivia</t>
        </is>
      </c>
    </row>
    <row r="96">
      <c r="A96" t="inlineStr">
        <is>
          <t>UR</t>
        </is>
      </c>
      <c r="B96" t="inlineStr">
        <is>
          <t>Uruguay</t>
        </is>
      </c>
    </row>
    <row r="97">
      <c r="A97" t="inlineStr">
        <is>
          <t>CU</t>
        </is>
      </c>
      <c r="B97" t="inlineStr">
        <is>
          <t>Cuba</t>
        </is>
      </c>
    </row>
    <row r="98">
      <c r="A98" t="inlineStr">
        <is>
          <t>PA</t>
        </is>
      </c>
      <c r="B98" t="inlineStr">
        <is>
          <t>Panama</t>
        </is>
      </c>
    </row>
    <row r="99">
      <c r="A99" t="inlineStr">
        <is>
          <t>PU</t>
        </is>
      </c>
      <c r="B99" t="inlineStr">
        <is>
          <t>Puerto Rico</t>
        </is>
      </c>
    </row>
    <row r="100">
      <c r="A100" t="inlineStr">
        <is>
          <t>GU</t>
        </is>
      </c>
      <c r="B100" t="inlineStr">
        <is>
          <t>Guatemala</t>
        </is>
      </c>
    </row>
    <row r="101">
      <c r="A101" t="inlineStr">
        <is>
          <t>HO</t>
        </is>
      </c>
      <c r="B101" t="inlineStr">
        <is>
          <t>Honduras</t>
        </is>
      </c>
    </row>
    <row r="102">
      <c r="A102" t="inlineStr">
        <is>
          <t>PA</t>
        </is>
      </c>
      <c r="B102" t="inlineStr">
        <is>
          <t>Paraguay</t>
        </is>
      </c>
    </row>
    <row r="103">
      <c r="A103" t="inlineStr">
        <is>
          <t>MO</t>
        </is>
      </c>
      <c r="B103" t="inlineStr">
        <is>
          <t>Mozambique</t>
        </is>
      </c>
    </row>
    <row r="104">
      <c r="A104" t="inlineStr">
        <is>
          <t>TU</t>
        </is>
      </c>
      <c r="B104" t="inlineStr">
        <is>
          <t>Tunisia</t>
        </is>
      </c>
    </row>
    <row r="105">
      <c r="A105" t="inlineStr">
        <is>
          <t>BR</t>
        </is>
      </c>
      <c r="B105" t="inlineStr">
        <is>
          <t>Brunei</t>
        </is>
      </c>
    </row>
    <row r="106">
      <c r="A106" t="inlineStr">
        <is>
          <t>SE</t>
        </is>
      </c>
      <c r="B106" t="inlineStr">
        <is>
          <t>Serbia</t>
        </is>
      </c>
    </row>
    <row r="107">
      <c r="A107" t="inlineStr">
        <is>
          <t>SR</t>
        </is>
      </c>
      <c r="B107" t="inlineStr">
        <is>
          <t>Sri Lanka</t>
        </is>
      </c>
    </row>
    <row r="108">
      <c r="A108" t="inlineStr">
        <is>
          <t>SU</t>
        </is>
      </c>
      <c r="B108" t="inlineStr">
        <is>
          <t>Sudan</t>
        </is>
      </c>
    </row>
    <row r="109">
      <c r="A109" t="inlineStr">
        <is>
          <t>SL</t>
        </is>
      </c>
      <c r="B109" t="inlineStr">
        <is>
          <t>Slovenia</t>
        </is>
      </c>
    </row>
    <row r="110">
      <c r="A110" t="inlineStr">
        <is>
          <t>LU</t>
        </is>
      </c>
      <c r="B110" t="inlineStr">
        <is>
          <t>Luxembourg</t>
        </is>
      </c>
    </row>
    <row r="111">
      <c r="A111" t="inlineStr">
        <is>
          <t>MA</t>
        </is>
      </c>
      <c r="B111" t="inlineStr">
        <is>
          <t>Malta</t>
        </is>
      </c>
    </row>
    <row r="112">
      <c r="A112" t="inlineStr">
        <is>
          <t>MA</t>
        </is>
      </c>
      <c r="B112" t="inlineStr">
        <is>
          <t>Mauritius</t>
        </is>
      </c>
    </row>
    <row r="113">
      <c r="A113" t="inlineStr">
        <is>
          <t>MO</t>
        </is>
      </c>
      <c r="B113" t="inlineStr">
        <is>
          <t>Montenegro</t>
        </is>
      </c>
    </row>
    <row r="114">
      <c r="A114" t="inlineStr">
        <is>
          <t>NA</t>
        </is>
      </c>
      <c r="B114" t="inlineStr">
        <is>
          <t>Namibia</t>
        </is>
      </c>
    </row>
    <row r="115">
      <c r="A115" t="inlineStr">
        <is>
          <t>KO</t>
        </is>
      </c>
      <c r="B115" t="inlineStr">
        <is>
          <t>Kosovo</t>
        </is>
      </c>
    </row>
    <row r="116">
      <c r="A116" t="inlineStr">
        <is>
          <t>BO</t>
        </is>
      </c>
      <c r="B116" t="inlineStr">
        <is>
          <t>Bosnia and Herzegovina</t>
        </is>
      </c>
    </row>
    <row r="117">
      <c r="A117" t="inlineStr">
        <is>
          <t>FI</t>
        </is>
      </c>
      <c r="B117" t="inlineStr">
        <is>
          <t>Fiji</t>
        </is>
      </c>
    </row>
    <row r="118">
      <c r="A118" t="inlineStr">
        <is>
          <t>JA</t>
        </is>
      </c>
      <c r="B118" t="inlineStr">
        <is>
          <t>Jamaica</t>
        </is>
      </c>
    </row>
    <row r="119">
      <c r="A119" t="inlineStr">
        <is>
          <t>ZA</t>
        </is>
      </c>
      <c r="B119" t="inlineStr">
        <is>
          <t>Zambia</t>
        </is>
      </c>
    </row>
    <row r="120">
      <c r="A120" t="inlineStr">
        <is>
          <t>ZI</t>
        </is>
      </c>
      <c r="B120" t="inlineStr">
        <is>
          <t>Zimbabwe</t>
        </is>
      </c>
    </row>
    <row r="121">
      <c r="A121" t="inlineStr">
        <is>
          <t>AR</t>
        </is>
      </c>
      <c r="B121" t="inlineStr">
        <is>
          <t>Armenia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2026-09-08T15:07:48Z</dcterms:created>
  <dcterms:modified xsi:type="dcterms:W3CDTF">2026-09-08T15:07:49Z</dcterms:modified>
</cp:coreProperties>
</file>